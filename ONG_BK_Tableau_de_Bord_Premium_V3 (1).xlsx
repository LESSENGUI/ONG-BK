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12.xml" ContentType="application/vnd.openxmlformats-officedocument.spreadsheetml.table+xml"/>
  <Override PartName="/xl/tables/table63.xml" ContentType="application/vnd.openxmlformats-officedocument.spreadsheetml.table+xml"/>
  <Override PartName="/xl/tables/table106.xml" ContentType="application/vnd.openxmlformats-officedocument.spreadsheetml.table+xml"/>
  <Override PartName="/xl/tables/table64.xml" ContentType="application/vnd.openxmlformats-officedocument.spreadsheetml.table+xml"/>
  <Override PartName="/xl/tables/table107.xml" ContentType="application/vnd.openxmlformats-officedocument.spreadsheetml.table+xml"/>
  <Override PartName="/xl/tables/table73.xml" ContentType="application/vnd.openxmlformats-officedocument.spreadsheetml.table+xml"/>
  <Override PartName="/xl/tables/table116.xml" ContentType="application/vnd.openxmlformats-officedocument.spreadsheetml.table+xml"/>
  <Override PartName="/xl/tables/table40.xml" ContentType="application/vnd.openxmlformats-officedocument.spreadsheetml.table+xml"/>
  <Override PartName="/xl/tables/table65.xml" ContentType="application/vnd.openxmlformats-officedocument.spreadsheetml.table+xml"/>
  <Override PartName="/xl/tables/table108.xml" ContentType="application/vnd.openxmlformats-officedocument.spreadsheetml.table+xml"/>
  <Override PartName="/xl/tables/table74.xml" ContentType="application/vnd.openxmlformats-officedocument.spreadsheetml.table+xml"/>
  <Override PartName="/xl/tables/table117.xml" ContentType="application/vnd.openxmlformats-officedocument.spreadsheetml.table+xml"/>
  <Override PartName="/xl/tables/table41.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121.xml" ContentType="application/vnd.openxmlformats-officedocument.spreadsheetml.table+xml"/>
  <Override PartName="/xl/tables/table43.xml" ContentType="application/vnd.openxmlformats-officedocument.spreadsheetml.table+xml"/>
  <Override PartName="/xl/tables/table122.xml" ContentType="application/vnd.openxmlformats-officedocument.spreadsheetml.table+xml"/>
  <Override PartName="/xl/tables/table14.xml" ContentType="application/vnd.openxmlformats-officedocument.spreadsheetml.table+xml"/>
  <Override PartName="/xl/tables/table82.xml" ContentType="application/vnd.openxmlformats-officedocument.spreadsheetml.table+xml"/>
  <Override PartName="/xl/tables/table125.xml" ContentType="application/vnd.openxmlformats-officedocument.spreadsheetml.table+xml"/>
  <Override PartName="/xl/tables/table2.xml" ContentType="application/vnd.openxmlformats-officedocument.spreadsheetml.table+xml"/>
  <Override PartName="/xl/tables/table44.xml" ContentType="application/vnd.openxmlformats-officedocument.spreadsheetml.table+xml"/>
  <Override PartName="/xl/tables/table123.xml" ContentType="application/vnd.openxmlformats-officedocument.spreadsheetml.table+xml"/>
  <Override PartName="/xl/tables/table15.xml" ContentType="application/vnd.openxmlformats-officedocument.spreadsheetml.table+xml"/>
  <Override PartName="/xl/tables/table83.xml" ContentType="application/vnd.openxmlformats-officedocument.spreadsheetml.table+xml"/>
  <Override PartName="/xl/tables/table126.xml" ContentType="application/vnd.openxmlformats-officedocument.spreadsheetml.table+xml"/>
  <Override PartName="/xl/tables/table3.xml" ContentType="application/vnd.openxmlformats-officedocument.spreadsheetml.table+xml"/>
  <Override PartName="/xl/tables/table127.xml" ContentType="application/vnd.openxmlformats-officedocument.spreadsheetml.table+xml"/>
  <Override PartName="/xl/tables/table4.xml" ContentType="application/vnd.openxmlformats-officedocument.spreadsheetml.table+xml"/>
  <Override PartName="/xl/tables/table49.xml" ContentType="application/vnd.openxmlformats-officedocument.spreadsheetml.table+xml"/>
  <Override PartName="/xl/tables/table51.xml" ContentType="application/vnd.openxmlformats-officedocument.spreadsheetml.table+xml"/>
  <Override PartName="/xl/tables/table39.xml" ContentType="application/vnd.openxmlformats-officedocument.spreadsheetml.table+xml"/>
  <Override PartName="/xl/tables/table13.xml" ContentType="application/vnd.openxmlformats-officedocument.spreadsheetml.table+xml"/>
  <Override PartName="/xl/tables/table81.xml" ContentType="application/vnd.openxmlformats-officedocument.spreadsheetml.table+xml"/>
  <Override PartName="/xl/tables/table84.xml" ContentType="application/vnd.openxmlformats-officedocument.spreadsheetml.table+xml"/>
  <Override PartName="/xl/tables/table16.xml" ContentType="application/vnd.openxmlformats-officedocument.spreadsheetml.table+xml"/>
  <Override PartName="/xl/tables/table124.xml" ContentType="application/vnd.openxmlformats-officedocument.spreadsheetml.table+xml"/>
  <Override PartName="/xl/tables/table1.xml" ContentType="application/vnd.openxmlformats-officedocument.spreadsheetml.table+xml"/>
  <Override PartName="/xl/tables/table5.xml" ContentType="application/vnd.openxmlformats-officedocument.spreadsheetml.table+xml"/>
  <Override PartName="/xl/tables/table17.xml" ContentType="application/vnd.openxmlformats-officedocument.spreadsheetml.table+xml"/>
  <Override PartName="/xl/tables/table85.xml" ContentType="application/vnd.openxmlformats-officedocument.spreadsheetml.table+xml"/>
  <Override PartName="/xl/tables/table50.xml" ContentType="application/vnd.openxmlformats-officedocument.spreadsheetml.table+xml"/>
  <Override PartName="/xl/tables/table54.xml" ContentType="application/vnd.openxmlformats-officedocument.spreadsheetml.table+xml"/>
  <Override PartName="/xl/tables/table52.xml" ContentType="application/vnd.openxmlformats-officedocument.spreadsheetml.table+xml"/>
  <Override PartName="/xl/tables/table89.xml" ContentType="application/vnd.openxmlformats-officedocument.spreadsheetml.table+xml"/>
  <Override PartName="/xl/tables/table9.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3.xml" ContentType="application/vnd.openxmlformats-officedocument.spreadsheetml.table+xml"/>
  <Override PartName="/xl/tables/table46.xml" ContentType="application/vnd.openxmlformats-officedocument.spreadsheetml.table+xml"/>
  <Override PartName="/xl/tables/table38.xml" ContentType="application/vnd.openxmlformats-officedocument.spreadsheetml.table+xml"/>
  <Override PartName="/xl/tables/table119.xml" ContentType="application/vnd.openxmlformats-officedocument.spreadsheetml.table+xml"/>
  <Override PartName="/xl/tables/table11.xml" ContentType="application/vnd.openxmlformats-officedocument.spreadsheetml.table+xml"/>
  <Override PartName="/xl/tables/table48.xml" ContentType="application/vnd.openxmlformats-officedocument.spreadsheetml.table+xml"/>
  <Override PartName="/xl/tables/table118.xml" ContentType="application/vnd.openxmlformats-officedocument.spreadsheetml.table+xml"/>
  <Override PartName="/xl/tables/table10.xml" ContentType="application/vnd.openxmlformats-officedocument.spreadsheetml.table+xml"/>
  <Override PartName="/xl/tables/table47.xml" ContentType="application/vnd.openxmlformats-officedocument.spreadsheetml.table+xml"/>
  <Override PartName="/xl/tables/table113.xml" ContentType="application/vnd.openxmlformats-officedocument.spreadsheetml.table+xml"/>
  <Override PartName="/xl/tables/table70.xml" ContentType="application/vnd.openxmlformats-officedocument.spreadsheetml.table+xml"/>
  <Override PartName="/xl/tables/table45.xml" ContentType="application/vnd.openxmlformats-officedocument.spreadsheetml.table+xml"/>
  <Override PartName="/xl/tables/table105.xml" ContentType="application/vnd.openxmlformats-officedocument.spreadsheetml.table+xml"/>
  <Override PartName="/xl/tables/table62.xml" ContentType="application/vnd.openxmlformats-officedocument.spreadsheetml.table+xml"/>
  <Override PartName="/xl/tables/table35.xml" ContentType="application/vnd.openxmlformats-officedocument.spreadsheetml.table+xml"/>
  <Override PartName="/xl/tables/table104.xml" ContentType="application/vnd.openxmlformats-officedocument.spreadsheetml.table+xml"/>
  <Override PartName="/xl/tables/table61.xml" ContentType="application/vnd.openxmlformats-officedocument.spreadsheetml.table+xml"/>
  <Override PartName="/xl/tables/table34.xml" ContentType="application/vnd.openxmlformats-officedocument.spreadsheetml.table+xml"/>
  <Override PartName="/xl/tables/table103.xml" ContentType="application/vnd.openxmlformats-officedocument.spreadsheetml.table+xml"/>
  <Override PartName="/xl/tables/table60.xml" ContentType="application/vnd.openxmlformats-officedocument.spreadsheetml.table+xml"/>
  <Override PartName="/xl/tables/table33.xml" ContentType="application/vnd.openxmlformats-officedocument.spreadsheetml.table+xml"/>
  <Override PartName="/xl/tables/table102.xml" ContentType="application/vnd.openxmlformats-officedocument.spreadsheetml.table+xml"/>
  <Override PartName="/xl/tables/table21.xml" ContentType="application/vnd.openxmlformats-officedocument.spreadsheetml.table+xml"/>
  <Override PartName="/xl/tables/table8.xml" ContentType="application/vnd.openxmlformats-officedocument.spreadsheetml.table+xml"/>
  <Override PartName="/xl/tables/table88.xml" ContentType="application/vnd.openxmlformats-officedocument.spreadsheetml.table+xml"/>
  <Override PartName="/xl/tables/table36.xml" ContentType="application/vnd.openxmlformats-officedocument.spreadsheetml.table+xml"/>
  <Override PartName="/xl/tables/table114.xml" ContentType="application/vnd.openxmlformats-officedocument.spreadsheetml.table+xml"/>
  <Override PartName="/xl/tables/table71.xml" ContentType="application/vnd.openxmlformats-officedocument.spreadsheetml.table+xml"/>
  <Override PartName="/xl/tables/table120.xml" ContentType="application/vnd.openxmlformats-officedocument.spreadsheetml.table+xml"/>
  <Override PartName="/xl/tables/table80.xml" ContentType="application/vnd.openxmlformats-officedocument.spreadsheetml.table+xml"/>
  <Override PartName="/xl/tables/table12.xml" ContentType="application/vnd.openxmlformats-officedocument.spreadsheetml.table+xml"/>
  <Override PartName="/xl/tables/table42.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37.xml" ContentType="application/vnd.openxmlformats-officedocument.spreadsheetml.table+xml"/>
  <Override PartName="/xl/tables/table115.xml" ContentType="application/vnd.openxmlformats-officedocument.spreadsheetml.table+xml"/>
  <Override PartName="/xl/tables/table72.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6.xml" ContentType="application/vnd.openxmlformats-officedocument.spreadsheetml.table+xml"/>
  <Override PartName="/xl/tables/table18.xml" ContentType="application/vnd.openxmlformats-officedocument.spreadsheetml.table+xml"/>
  <Override PartName="/xl/tables/table86.xml" ContentType="application/vnd.openxmlformats-officedocument.spreadsheetml.table+xml"/>
  <Override PartName="/xl/tables/table7.xml" ContentType="application/vnd.openxmlformats-officedocument.spreadsheetml.table+xml"/>
  <Override PartName="/xl/tables/table19.xml" ContentType="application/vnd.openxmlformats-officedocument.spreadsheetml.table+xml"/>
  <Override PartName="/xl/tables/table87.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6.xml" ContentType="application/vnd.openxmlformats-officedocument.spreadsheetml.table+xml"/>
  <Override PartName="/xl/tables/table109.xml" ContentType="application/vnd.openxmlformats-officedocument.spreadsheetml.table+xml"/>
  <Override PartName="/xl/tables/table67.xml" ContentType="application/vnd.openxmlformats-officedocument.spreadsheetml.table+xml"/>
  <Override PartName="/xl/tables/table22.xml" ContentType="application/vnd.openxmlformats-officedocument.spreadsheetml.table+xml"/>
  <Override PartName="/xl/tables/table90.xml" ContentType="application/vnd.openxmlformats-officedocument.spreadsheetml.table+xml"/>
  <Override PartName="/xl/tables/table23.xml" ContentType="application/vnd.openxmlformats-officedocument.spreadsheetml.table+xml"/>
  <Override PartName="/xl/tables/table91.xml" ContentType="application/vnd.openxmlformats-officedocument.spreadsheetml.table+xml"/>
  <Override PartName="/xl/tables/table24.xml" ContentType="application/vnd.openxmlformats-officedocument.spreadsheetml.table+xml"/>
  <Override PartName="/xl/tables/table92.xml" ContentType="application/vnd.openxmlformats-officedocument.spreadsheetml.table+xml"/>
  <Override PartName="/xl/tables/table96.xml" ContentType="application/vnd.openxmlformats-officedocument.spreadsheetml.table+xml"/>
  <Override PartName="/xl/tables/table28.xml" ContentType="application/vnd.openxmlformats-officedocument.spreadsheetml.table+xml"/>
  <Override PartName="/xl/tables/table25.xml" ContentType="application/vnd.openxmlformats-officedocument.spreadsheetml.table+xml"/>
  <Override PartName="/xl/tables/table93.xml" ContentType="application/vnd.openxmlformats-officedocument.spreadsheetml.table+xml"/>
  <Override PartName="/xl/tables/table97.xml" ContentType="application/vnd.openxmlformats-officedocument.spreadsheetml.table+xml"/>
  <Override PartName="/xl/tables/table29.xml" ContentType="application/vnd.openxmlformats-officedocument.spreadsheetml.table+xml"/>
  <Override PartName="/xl/tables/table26.xml" ContentType="application/vnd.openxmlformats-officedocument.spreadsheetml.table+xml"/>
  <Override PartName="/xl/tables/table94.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128.xml" ContentType="application/vnd.openxmlformats-officedocument.spreadsheetml.table+xml"/>
  <Override PartName="/xl/tables/table20.xml" ContentType="application/vnd.openxmlformats-officedocument.spreadsheetml.table+xml"/>
  <Override PartName="/xl/tables/table79.xml" ContentType="application/vnd.openxmlformats-officedocument.spreadsheetml.table+xml"/>
  <Override PartName="/xl/tables/table27.xml" ContentType="application/vnd.openxmlformats-officedocument.spreadsheetml.table+xml"/>
  <Override PartName="/xl/tables/table95.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3"/>
  </bookViews>
  <sheets>
    <sheet name="PARAMETRES" sheetId="1" state="visible" r:id="rId3"/>
    <sheet name="ONG" sheetId="2" state="visible" r:id="rId4"/>
    <sheet name="BENEFICIAIRES" sheetId="3" state="visible" r:id="rId5"/>
    <sheet name="PROJETS" sheetId="4" state="visible" r:id="rId6"/>
    <sheet name="ACTIVITES" sheetId="5" state="visible" r:id="rId7"/>
    <sheet name="PARTENAIRES" sheetId="6" state="visible" r:id="rId8"/>
    <sheet name="DONATEURS" sheetId="7" state="visible" r:id="rId9"/>
    <sheet name="BUDGET" sheetId="8" state="visible" r:id="rId10"/>
    <sheet name="RECETTES" sheetId="9" state="visible" r:id="rId11"/>
    <sheet name="DEPENSES" sheetId="10" state="visible" r:id="rId12"/>
    <sheet name="RESSOURCES HUMAINES" sheetId="11" state="visible" r:id="rId13"/>
    <sheet name="SUIVI-EVALUATION" sheetId="12" state="visible" r:id="rId14"/>
    <sheet name="RAPPORTS" sheetId="13" state="visible" r:id="rId15"/>
    <sheet name="TABLEAU DE BORD" sheetId="14" state="visible" r:id="rId16"/>
  </sheets>
  <definedNames>
    <definedName function="false" hidden="false" localSheetId="1" name="_xlnm.Print_Titles" vbProcedure="false">ONG!$1:$2</definedName>
    <definedName function="false" hidden="false" localSheetId="0" name="_xlnm.Print_Titles" vbProcedure="false">PARAMETRES!$1:$2</definedName>
    <definedName function="false" hidden="false" localSheetId="12" name="_xlnm.Print_Titles" vbProcedure="false">RAPPORTS!$1:$8</definedName>
    <definedName function="false" hidden="false" localSheetId="13" name="_xlnm.Print_Area" vbProcedure="false">'TABLEAU DE BORD'!$B$1:$X$69</definedName>
    <definedName function="false" hidden="false" name="DB_Annee" vbProcedure="false">'TABLEAU DE BORD'!$C$7</definedName>
    <definedName function="false" hidden="false" name="DB_Domaine" vbProcedure="false">'TABLEAU DE BORD'!$K$7</definedName>
    <definedName function="false" hidden="false" name="DB_Donateur" vbProcedure="false">'TABLEAU DE BORD'!$L$12</definedName>
    <definedName function="false" hidden="false" name="DB_Mois" vbProcedure="false">'TABLEAU DE BORD'!$G$7</definedName>
    <definedName function="false" hidden="false" name="DB_Projet" vbProcedure="false">'TABLEAU DE BORD'!$H$12</definedName>
    <definedName function="false" hidden="false" name="DB_Zone" vbProcedure="false">'TABLEAU DE BORD'!$P$12</definedName>
    <definedName function="false" hidden="false" name="Liste_ActivitesID" vbProcedure="false">OFFSET(ACTIVITES!$A$56,0,0,MAX(1,COUNTIF(ACTIVITES!$G$56:$G$105,"&lt;&gt;")),1)</definedName>
    <definedName function="false" hidden="false" name="Liste_ActivitesIDProjets" vbProcedure="false">OFFSET(PROJETS!$A$56,0,0,MAX(1,COUNTIF(PROJETS!$C$56:$C$95,"&lt;&gt;")),1)</definedName>
    <definedName function="false" hidden="false" name="Liste_Annees" vbProcedure="false">tbl_Annees[Annee]</definedName>
    <definedName function="false" hidden="false" name="Liste_AnneesFiltre" vbProcedure="false">PARAMETRES!$B$738:$B$748</definedName>
    <definedName function="false" hidden="false" name="Liste_BudgetLignesID" vbProcedure="false">OFFSET(BUDGET!$A$28,0,0,MAX(1,COUNTIF(BUDGET!$U$28:$U$67,"&lt;&gt;")),1)</definedName>
    <definedName function="false" hidden="false" name="Liste_CategoriesBeneficiaires" vbProcedure="false">tbl_CategoriesBeneficiaires[Libelle]</definedName>
    <definedName function="false" hidden="false" name="Liste_CategoriesDepenses" vbProcedure="false">tbl_CategoriesDepenses[Libelle]</definedName>
    <definedName function="false" hidden="false" name="Liste_Departements" vbProcedure="false">PARAMETRES!$D$536:$D$586</definedName>
    <definedName function="false" hidden="false" name="Liste_DepensesID" vbProcedure="false">OFFSET(DEPENSES!$A$119,0,0,MAX(1,COUNTIF(DEPENSES!$V$119:$V$168,"&lt;&gt;")),1)</definedName>
    <definedName function="false" hidden="false" name="Liste_Domaines" vbProcedure="false">tbl_Domaines[Libelle]</definedName>
    <definedName function="false" hidden="false" name="Liste_DonateursDemandesID" vbProcedure="false">DONATEURS!$A$308:$A$367</definedName>
    <definedName function="false" hidden="false" name="Liste_DonateursID" vbProcedure="false">OFFSET(DONATEURS!$A$56,0,0,MAX(1,COUNTIF(DONATEURS!$B$56:$B$205,"&lt;&gt;")),1)</definedName>
    <definedName function="false" hidden="false" name="Liste_DonateursOpportunitesID" vbProcedure="false">DONATEURS!$A$244:$A$303</definedName>
    <definedName function="false" hidden="false" name="Liste_Fonctions" vbProcedure="false">tbl_Fonctions[Libelle]</definedName>
    <definedName function="false" hidden="false" name="Liste_FrequencesPaiement" vbProcedure="false">PARAMETRES!$B$714:$B$718</definedName>
    <definedName function="false" hidden="false" name="Liste_ModesPaiement" vbProcedure="false">tbl_ModesPaiement[Libelle]</definedName>
    <definedName function="false" hidden="false" name="Liste_Mois" vbProcedure="false">tbl_Mois[Mois]</definedName>
    <definedName function="false" hidden="false" name="Liste_MotifsDepart" vbProcedure="false">PARAMETRES!$B$703:$B$709</definedName>
    <definedName function="false" hidden="false" name="Liste_NiveauxCompetence" vbProcedure="false">PARAMETRES!$B$695:$B$698</definedName>
    <definedName function="false" hidden="false" name="Liste_NiveauxHierarchiques" vbProcedure="false">PARAMETRES!$B$666:$B$671</definedName>
    <definedName function="false" hidden="false" name="Liste_NiveauxPriorite" vbProcedure="false">tbl_NiveauxPriorite[Libelle]</definedName>
    <definedName function="false" hidden="false" name="Liste_NiveauxRisque" vbProcedure="false">tbl_NiveauxRisque[Libelle]</definedName>
    <definedName function="false" hidden="false" name="Liste_PartenairesID" vbProcedure="false">PARTENAIRES!$A$56:$A$115</definedName>
    <definedName function="false" hidden="false" name="Liste_RecettesID" vbProcedure="false">RECETTES!$A$39:$A$88</definedName>
    <definedName function="false" hidden="false" name="Liste_RHID" vbProcedure="false">OFFSET('RESSOURCES HUMAINES'!$A$27,0,0,MAX(1,COUNTIF('RESSOURCES HUMAINES'!$B$27:$B$76,"&lt;&gt;")),1)</definedName>
    <definedName function="false" hidden="false" name="Liste_ServicesRH" vbProcedure="false">PARAMETRES!$B$651:$B$661</definedName>
    <definedName function="false" hidden="false" name="Liste_Sexe" vbProcedure="false">tbl_Sexe[Libelle]</definedName>
    <definedName function="false" hidden="false" name="Liste_SourcesFinancement" vbProcedure="false">tbl_SourcesFinancement[Libelle]</definedName>
    <definedName function="false" hidden="false" name="Liste_StatutsActivites" vbProcedure="false">tbl_StatutsActivites[Libelle]</definedName>
    <definedName function="false" hidden="false" name="Liste_StatutsBudget" vbProcedure="false">tbl_StatutsBudget[Libelle]</definedName>
    <definedName function="false" hidden="false" name="Liste_StatutsConge" vbProcedure="false">PARAMETRES!$B$686:$B$690</definedName>
    <definedName function="false" hidden="false" name="Liste_StatutsDocuments" vbProcedure="false">tbl_StatutsDocuments[Libelle]</definedName>
    <definedName function="false" hidden="false" name="Liste_StatutsGeneraux" vbProcedure="false">tbl_StatutsGeneraux[Libelle]</definedName>
    <definedName function="false" hidden="false" name="Liste_StatutsProjets" vbProcedure="false">tbl_StatutsProjets[Libelle]</definedName>
    <definedName function="false" hidden="false" name="Liste_StatutsRecettes" vbProcedure="false">tbl_StatutsRecettes[Libelle]</definedName>
    <definedName function="false" hidden="false" name="Liste_StatutsRH" vbProcedure="false">PARAMETRES!$B$640:$B$646</definedName>
    <definedName function="false" hidden="false" name="Liste_StatutsRisques" vbProcedure="false">tbl_StatutsRisques[Libelle]</definedName>
    <definedName function="false" hidden="false" name="Liste_TranchesAge" vbProcedure="false">tbl_TranchesAge[Libelle]</definedName>
    <definedName function="false" hidden="false" name="Liste_Trimestres" vbProcedure="false">tbl_Trimestres[Code]</definedName>
    <definedName function="false" hidden="false" name="Liste_TypesActivites" vbProcedure="false">tbl_TypesActivites[Libelle]</definedName>
    <definedName function="false" hidden="false" name="Liste_TypesBudget" vbProcedure="false">tbl_TypesBudget[Libelle]</definedName>
    <definedName function="false" hidden="false" name="Liste_TypesConge" vbProcedure="false">PARAMETRES!$B$676:$B$681</definedName>
    <definedName function="false" hidden="false" name="Liste_TypesContrats" vbProcedure="false">tbl_TypesContrats[Libelle]</definedName>
    <definedName function="false" hidden="false" name="Liste_TypesDocuments" vbProcedure="false">tbl_TypesDocuments[Libelle]</definedName>
    <definedName function="false" hidden="false" name="Liste_TypesDocumentsRH" vbProcedure="false">PARAMETRES!$B$723:$B$733</definedName>
    <definedName function="false" hidden="false" name="Liste_TypesDonateurs" vbProcedure="false">tbl_TypesDonateurs[Libelle]</definedName>
    <definedName function="false" hidden="false" name="Liste_TypesFinancement" vbProcedure="false">tbl_TypesFinancement[Libelle]</definedName>
    <definedName function="false" hidden="false" name="Liste_TypesImmobilisations" vbProcedure="false">tbl_TypesImmobilisations[Libelle]</definedName>
    <definedName function="false" hidden="false" name="Liste_TypesPartenaires" vbProcedure="false">tbl_TypesPartenaires[Libelle]</definedName>
    <definedName function="false" hidden="false" name="Liste_TypesProjets" vbProcedure="false">tbl_TypesProjets[Libelle]</definedName>
    <definedName function="false" hidden="false" name="Liste_TypesRecettes" vbProcedure="false">tbl_TypesRecettes[Libelle]</definedName>
    <definedName function="false" hidden="false" name="Liste_UnitesMesure" vbProcedure="false">tbl_UnitesMesure[Libelle]</definedName>
    <definedName function="false" hidden="false" name="Liste_ZonesGeo" vbProcedure="false">PARAMETRES!$J$536:$J$586</definedName>
    <definedName function="false" hidden="false" name="Seuil_Depassement" vbProcedure="false">PARAMETRES!$C$622</definedName>
    <definedName function="false" hidden="false" name="Seuil_Vigilance" vbProcedure="false">PARAMETRES!$C$621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<sst xmlns="http://schemas.openxmlformats.org/spreadsheetml/2006/main" count="5494" uniqueCount="2569">
  <si>
    <t xml:space="preserve">O.N.G BK — PARAMETRES DU SYSTEME DE GESTION</t>
  </si>
  <si>
    <t xml:space="preserve">Referentiel central du classeur — Donnons la joie a la jeunesse</t>
  </si>
  <si>
    <t xml:space="preserve">LEGENDE :  cellule grisee = Code (identifiant stable, a ne pas modifier)   |   cellule blanche = modifiable   |   colonne Statut = liste deroulante   |   chaque tableau est extensible : ajoutez vos lignes juste en dessous de la derniere ligne du tableau</t>
  </si>
  <si>
    <t xml:space="preserve">SOMMAIRE — cliquez sur un referentiel pour y acceder</t>
  </si>
  <si>
    <t xml:space="preserve">1. ANNEES</t>
  </si>
  <si>
    <t xml:space="preserve">11 element(s)</t>
  </si>
  <si>
    <t xml:space="preserve">2. MOIS</t>
  </si>
  <si>
    <t xml:space="preserve">12 element(s)</t>
  </si>
  <si>
    <t xml:space="preserve">3. TRIMESTRES</t>
  </si>
  <si>
    <t xml:space="preserve">4 element(s)</t>
  </si>
  <si>
    <t xml:space="preserve">4. STATUTS DES PROJETS</t>
  </si>
  <si>
    <t xml:space="preserve">15 element(s)</t>
  </si>
  <si>
    <t xml:space="preserve">5. STATUTS DES ACTIVITES</t>
  </si>
  <si>
    <t xml:space="preserve">9 element(s)</t>
  </si>
  <si>
    <t xml:space="preserve">6. DOMAINES D'INTERVENTION DE L'O.N.G BK</t>
  </si>
  <si>
    <t xml:space="preserve">40 element(s)</t>
  </si>
  <si>
    <t xml:space="preserve">7. TYPES DE PROJETS</t>
  </si>
  <si>
    <t xml:space="preserve">24 element(s)</t>
  </si>
  <si>
    <t xml:space="preserve">8. TYPES D'ACTIVITES</t>
  </si>
  <si>
    <t xml:space="preserve">30 element(s)</t>
  </si>
  <si>
    <t xml:space="preserve">9. CATEGORIES DE BENEFICIAIRES</t>
  </si>
  <si>
    <t xml:space="preserve">29 element(s)</t>
  </si>
  <si>
    <t xml:space="preserve">10. SEXE</t>
  </si>
  <si>
    <t xml:space="preserve">3 element(s)</t>
  </si>
  <si>
    <t xml:space="preserve">11. TRANCHES D'AGE</t>
  </si>
  <si>
    <t xml:space="preserve">12. TYPES DE PARTENAIRES</t>
  </si>
  <si>
    <t xml:space="preserve">19 element(s)</t>
  </si>
  <si>
    <t xml:space="preserve">13. TYPES DE DONATEURS</t>
  </si>
  <si>
    <t xml:space="preserve">13 element(s)</t>
  </si>
  <si>
    <t xml:space="preserve">14. SOURCES DE FINANCEMENT</t>
  </si>
  <si>
    <t xml:space="preserve">14 element(s)</t>
  </si>
  <si>
    <t xml:space="preserve">15. TYPES DE FINANCEMENT</t>
  </si>
  <si>
    <t xml:space="preserve">16. CATEGORIES DE DEPENSES</t>
  </si>
  <si>
    <t xml:space="preserve">17. MODES DE PAIEMENT</t>
  </si>
  <si>
    <t xml:space="preserve">7 element(s)</t>
  </si>
  <si>
    <t xml:space="preserve">18. TYPES DE RECETTES</t>
  </si>
  <si>
    <t xml:space="preserve">10 element(s)</t>
  </si>
  <si>
    <t xml:space="preserve">19. TYPES DE CONTRATS</t>
  </si>
  <si>
    <t xml:space="preserve">20. FONCTIONS / POSTES</t>
  </si>
  <si>
    <t xml:space="preserve">21. NIVEAUX DE PRIORITE</t>
  </si>
  <si>
    <t xml:space="preserve">22. NIVEAUX DE RISQUE</t>
  </si>
  <si>
    <t xml:space="preserve">5 element(s)</t>
  </si>
  <si>
    <t xml:space="preserve">23. STATUTS DES RISQUES</t>
  </si>
  <si>
    <t xml:space="preserve">24. TYPES D'IMMOBILISATIONS</t>
  </si>
  <si>
    <t xml:space="preserve">17 element(s)</t>
  </si>
  <si>
    <t xml:space="preserve">25. UNITES DE MESURE</t>
  </si>
  <si>
    <t xml:space="preserve">26. TYPES DE DOCUMENTS</t>
  </si>
  <si>
    <t xml:space="preserve">25 element(s)</t>
  </si>
  <si>
    <t xml:space="preserve">27. STATUTS DES DOCUMENTS</t>
  </si>
  <si>
    <t xml:space="preserve">28. ZONES GEOGRAPHIQUES (structure hierarchique)</t>
  </si>
  <si>
    <t xml:space="preserve">29. STATUTS GENERAUX</t>
  </si>
  <si>
    <t xml:space="preserve">-&gt; Nouveaux referentiels ajoutes pour BUDGET : 30. STATUTS BUDGET | 31. TYPES DE BUDGET | 32. SEUILS BUDGETAIRES (voir bas de feuille) | 33. STATUTS RECETTES (voir bas de feuille) | Nouveaux referentiels ajoutes pour RESSOURCES HUMAINES : 34. STATUTS RH | 35. SERVICES/DEPARTEMENTS | 36. NIVEAUX HIERARCHIQUES | 37. TYPES DE CONGE | 38. STATUTS CONGE | 39. NIVEAUX DE COMPETENCE | 40. MOTIFS DE DEPART | 41. FREQUENCES DE PAIEMENT | 42. TYPES DE DOCUMENTS RH | 43. FILTRE ANNEES (voir bas de feuille)</t>
  </si>
  <si>
    <t xml:space="preserve">Code</t>
  </si>
  <si>
    <t xml:space="preserve">Annee</t>
  </si>
  <si>
    <t xml:space="preserve">Statut</t>
  </si>
  <si>
    <t xml:space="preserve">AN2024</t>
  </si>
  <si>
    <t xml:space="preserve">Actif</t>
  </si>
  <si>
    <t xml:space="preserve">AN2025</t>
  </si>
  <si>
    <t xml:space="preserve">AN2026</t>
  </si>
  <si>
    <t xml:space="preserve">AN2027</t>
  </si>
  <si>
    <t xml:space="preserve">AN2028</t>
  </si>
  <si>
    <t xml:space="preserve">AN2029</t>
  </si>
  <si>
    <t xml:space="preserve">AN2030</t>
  </si>
  <si>
    <t xml:space="preserve">AN2031</t>
  </si>
  <si>
    <t xml:space="preserve">AN2032</t>
  </si>
  <si>
    <t xml:space="preserve">AN2033</t>
  </si>
  <si>
    <t xml:space="preserve">N°</t>
  </si>
  <si>
    <t xml:space="preserve">Mois</t>
  </si>
  <si>
    <t xml:space="preserve">Trimestre</t>
  </si>
  <si>
    <t xml:space="preserve">Janvier</t>
  </si>
  <si>
    <t xml:space="preserve">T1</t>
  </si>
  <si>
    <t xml:space="preserve">Fevrier</t>
  </si>
  <si>
    <t xml:space="preserve">Mars</t>
  </si>
  <si>
    <t xml:space="preserve">Avril</t>
  </si>
  <si>
    <t xml:space="preserve">T2</t>
  </si>
  <si>
    <t xml:space="preserve">Mai</t>
  </si>
  <si>
    <t xml:space="preserve">Juin</t>
  </si>
  <si>
    <t xml:space="preserve">Juillet</t>
  </si>
  <si>
    <t xml:space="preserve">T3</t>
  </si>
  <si>
    <t xml:space="preserve">Aout</t>
  </si>
  <si>
    <t xml:space="preserve">Septembre</t>
  </si>
  <si>
    <t xml:space="preserve">Octobre</t>
  </si>
  <si>
    <t xml:space="preserve">T4</t>
  </si>
  <si>
    <t xml:space="preserve">Novembre</t>
  </si>
  <si>
    <t xml:space="preserve">Decembre</t>
  </si>
  <si>
    <t xml:space="preserve">↑ Retour au sommaire</t>
  </si>
  <si>
    <t xml:space="preserve">Periode</t>
  </si>
  <si>
    <t xml:space="preserve">Ordre</t>
  </si>
  <si>
    <t xml:space="preserve">1er trimestre</t>
  </si>
  <si>
    <t xml:space="preserve">Janvier - Mars</t>
  </si>
  <si>
    <t xml:space="preserve">2e trimestre</t>
  </si>
  <si>
    <t xml:space="preserve">Avril - Juin</t>
  </si>
  <si>
    <t xml:space="preserve">3e trimestre</t>
  </si>
  <si>
    <t xml:space="preserve">Juillet - Septembre</t>
  </si>
  <si>
    <t xml:space="preserve">4e trimestre</t>
  </si>
  <si>
    <t xml:space="preserve">Octobre - Decembre</t>
  </si>
  <si>
    <t xml:space="preserve">Libelle</t>
  </si>
  <si>
    <t xml:space="preserve">STP01</t>
  </si>
  <si>
    <t xml:space="preserve">Idee</t>
  </si>
  <si>
    <t xml:space="preserve">STP02</t>
  </si>
  <si>
    <t xml:space="preserve">En preparation</t>
  </si>
  <si>
    <t xml:space="preserve">STP03</t>
  </si>
  <si>
    <t xml:space="preserve">En conception</t>
  </si>
  <si>
    <t xml:space="preserve">STP04</t>
  </si>
  <si>
    <t xml:space="preserve">Soumis</t>
  </si>
  <si>
    <t xml:space="preserve">STP05</t>
  </si>
  <si>
    <t xml:space="preserve">En attente de financement</t>
  </si>
  <si>
    <t xml:space="preserve">STP06</t>
  </si>
  <si>
    <t xml:space="preserve">Approuve</t>
  </si>
  <si>
    <t xml:space="preserve">STP07</t>
  </si>
  <si>
    <t xml:space="preserve">Contractualise</t>
  </si>
  <si>
    <t xml:space="preserve">STP08</t>
  </si>
  <si>
    <t xml:space="preserve">En demarrage</t>
  </si>
  <si>
    <t xml:space="preserve">STP09</t>
  </si>
  <si>
    <t xml:space="preserve">En cours</t>
  </si>
  <si>
    <t xml:space="preserve">STP10</t>
  </si>
  <si>
    <t xml:space="preserve">Suspendu</t>
  </si>
  <si>
    <t xml:space="preserve">STP11</t>
  </si>
  <si>
    <t xml:space="preserve">En cloture</t>
  </si>
  <si>
    <t xml:space="preserve">STP12</t>
  </si>
  <si>
    <t xml:space="preserve">Termine</t>
  </si>
  <si>
    <t xml:space="preserve">STP13</t>
  </si>
  <si>
    <t xml:space="preserve">Cloture</t>
  </si>
  <si>
    <t xml:space="preserve">STP14</t>
  </si>
  <si>
    <t xml:space="preserve">Annule</t>
  </si>
  <si>
    <t xml:space="preserve">STP15</t>
  </si>
  <si>
    <t xml:space="preserve">Non retenu</t>
  </si>
  <si>
    <t xml:space="preserve">STA01</t>
  </si>
  <si>
    <t xml:space="preserve">Planifiee</t>
  </si>
  <si>
    <t xml:space="preserve">STA02</t>
  </si>
  <si>
    <t xml:space="preserve">STA03</t>
  </si>
  <si>
    <t xml:space="preserve">Validee</t>
  </si>
  <si>
    <t xml:space="preserve">STA04</t>
  </si>
  <si>
    <t xml:space="preserve">STA05</t>
  </si>
  <si>
    <t xml:space="preserve">Realisee</t>
  </si>
  <si>
    <t xml:space="preserve">STA06</t>
  </si>
  <si>
    <t xml:space="preserve">Partiellement realisee</t>
  </si>
  <si>
    <t xml:space="preserve">STA07</t>
  </si>
  <si>
    <t xml:space="preserve">Reportee</t>
  </si>
  <si>
    <t xml:space="preserve">STA08</t>
  </si>
  <si>
    <t xml:space="preserve">Suspendue</t>
  </si>
  <si>
    <t xml:space="preserve">STA09</t>
  </si>
  <si>
    <t xml:space="preserve">Annulee</t>
  </si>
  <si>
    <t xml:space="preserve">Description</t>
  </si>
  <si>
    <t xml:space="preserve">Domaine prioritaire BK</t>
  </si>
  <si>
    <t xml:space="preserve">DOM01</t>
  </si>
  <si>
    <t xml:space="preserve">Education</t>
  </si>
  <si>
    <t xml:space="preserve">Programmes educatifs et scolaires</t>
  </si>
  <si>
    <t xml:space="preserve">Oui</t>
  </si>
  <si>
    <t xml:space="preserve">DOM02</t>
  </si>
  <si>
    <t xml:space="preserve">Formation professionnelle</t>
  </si>
  <si>
    <t xml:space="preserve">Developpement des competences</t>
  </si>
  <si>
    <t xml:space="preserve">DOM03</t>
  </si>
  <si>
    <t xml:space="preserve">Entrepreneuriat</t>
  </si>
  <si>
    <t xml:space="preserve">Appui a la creation et au developpement d'entreprises</t>
  </si>
  <si>
    <t xml:space="preserve">DOM04</t>
  </si>
  <si>
    <t xml:space="preserve">Culture</t>
  </si>
  <si>
    <t xml:space="preserve">Promotion des arts et des expressions culturelles</t>
  </si>
  <si>
    <t xml:space="preserve">DOM05</t>
  </si>
  <si>
    <t xml:space="preserve">Environnement</t>
  </si>
  <si>
    <t xml:space="preserve">Protection et gestion de l'environnement</t>
  </si>
  <si>
    <t xml:space="preserve">DOM06</t>
  </si>
  <si>
    <t xml:space="preserve">Sante</t>
  </si>
  <si>
    <t xml:space="preserve">Promotion de la sante et acces aux soins</t>
  </si>
  <si>
    <t xml:space="preserve">DOM07</t>
  </si>
  <si>
    <t xml:space="preserve">Genre</t>
  </si>
  <si>
    <t xml:space="preserve">Egalite des genres et autonomisation</t>
  </si>
  <si>
    <t xml:space="preserve">DOM08</t>
  </si>
  <si>
    <t xml:space="preserve">Tourisme</t>
  </si>
  <si>
    <t xml:space="preserve">Valorisation du potentiel touristique</t>
  </si>
  <si>
    <t xml:space="preserve">DOM09</t>
  </si>
  <si>
    <t xml:space="preserve">Sport</t>
  </si>
  <si>
    <t xml:space="preserve">Promotion des activites sportives</t>
  </si>
  <si>
    <t xml:space="preserve">DOM10</t>
  </si>
  <si>
    <t xml:space="preserve">Agriculture et developpement rural</t>
  </si>
  <si>
    <t xml:space="preserve">Appui aux filieres agricoles</t>
  </si>
  <si>
    <t xml:space="preserve">Non</t>
  </si>
  <si>
    <t xml:space="preserve">DOM11</t>
  </si>
  <si>
    <t xml:space="preserve">Elevage</t>
  </si>
  <si>
    <t xml:space="preserve">Appui aux activites d'elevage</t>
  </si>
  <si>
    <t xml:space="preserve">DOM12</t>
  </si>
  <si>
    <t xml:space="preserve">Peche et aquaculture</t>
  </si>
  <si>
    <t xml:space="preserve">Appui aux filieres halieutiques</t>
  </si>
  <si>
    <t xml:space="preserve">DOM13</t>
  </si>
  <si>
    <t xml:space="preserve">Securite alimentaire et nutrition</t>
  </si>
  <si>
    <t xml:space="preserve">Lutte contre l'insecurite alimentaire</t>
  </si>
  <si>
    <t xml:space="preserve">DOM14</t>
  </si>
  <si>
    <t xml:space="preserve">Eau, hygiene et assainissement</t>
  </si>
  <si>
    <t xml:space="preserve">Acces a l'eau potable et a l'assainissement</t>
  </si>
  <si>
    <t xml:space="preserve">DOM15</t>
  </si>
  <si>
    <t xml:space="preserve">Protection sociale</t>
  </si>
  <si>
    <t xml:space="preserve">Filets sociaux et protection des populations</t>
  </si>
  <si>
    <t xml:space="preserve">DOM16</t>
  </si>
  <si>
    <t xml:space="preserve">Protection de l'enfance</t>
  </si>
  <si>
    <t xml:space="preserve">Prevention et prise en charge des enfants vulnerables</t>
  </si>
  <si>
    <t xml:space="preserve">DOM17</t>
  </si>
  <si>
    <t xml:space="preserve">Jeunesse</t>
  </si>
  <si>
    <t xml:space="preserve">Insertion et participation des jeunes</t>
  </si>
  <si>
    <t xml:space="preserve">DOM18</t>
  </si>
  <si>
    <t xml:space="preserve">Autonomisation des femmes</t>
  </si>
  <si>
    <t xml:space="preserve">Renforcement du pouvoir economique des femmes</t>
  </si>
  <si>
    <t xml:space="preserve">DOM19</t>
  </si>
  <si>
    <t xml:space="preserve">Developpement communautaire</t>
  </si>
  <si>
    <t xml:space="preserve">Renforcement des capacites communautaires</t>
  </si>
  <si>
    <t xml:space="preserve">DOM20</t>
  </si>
  <si>
    <t xml:space="preserve">Inclusion sociale</t>
  </si>
  <si>
    <t xml:space="preserve">Lutte contre les exclusions</t>
  </si>
  <si>
    <t xml:space="preserve">DOM21</t>
  </si>
  <si>
    <t xml:space="preserve">Handicap et inclusion des personnes vulnerables</t>
  </si>
  <si>
    <t xml:space="preserve">Inclusion des personnes en situation de handicap</t>
  </si>
  <si>
    <t xml:space="preserve">DOM22</t>
  </si>
  <si>
    <t xml:space="preserve">Emploi et insertion professionnelle</t>
  </si>
  <si>
    <t xml:space="preserve">Acces a l'emploi</t>
  </si>
  <si>
    <t xml:space="preserve">DOM23</t>
  </si>
  <si>
    <t xml:space="preserve">Developpement economique local</t>
  </si>
  <si>
    <t xml:space="preserve">Dynamisation des economies locales</t>
  </si>
  <si>
    <t xml:space="preserve">DOM24</t>
  </si>
  <si>
    <t xml:space="preserve">Artisanat</t>
  </si>
  <si>
    <t xml:space="preserve">Appui aux filieres artisanales</t>
  </si>
  <si>
    <t xml:space="preserve">DOM25</t>
  </si>
  <si>
    <t xml:space="preserve">Numerique et transformation digitale</t>
  </si>
  <si>
    <t xml:space="preserve">Promotion des usages numeriques</t>
  </si>
  <si>
    <t xml:space="preserve">DOM26</t>
  </si>
  <si>
    <t xml:space="preserve">Technologies et innovation</t>
  </si>
  <si>
    <t xml:space="preserve">Promotion de l'innovation technologique</t>
  </si>
  <si>
    <t xml:space="preserve">DOM27</t>
  </si>
  <si>
    <t xml:space="preserve">Recherche et developpement</t>
  </si>
  <si>
    <t xml:space="preserve">Appui a la recherche appliquee</t>
  </si>
  <si>
    <t xml:space="preserve">DOM28</t>
  </si>
  <si>
    <t xml:space="preserve">Gouvernance et citoyennete</t>
  </si>
  <si>
    <t xml:space="preserve">Renforcement de la gouvernance locale</t>
  </si>
  <si>
    <t xml:space="preserve">DOM29</t>
  </si>
  <si>
    <t xml:space="preserve">Droits humains</t>
  </si>
  <si>
    <t xml:space="preserve">Promotion et protection des droits humains</t>
  </si>
  <si>
    <t xml:space="preserve">DOM30</t>
  </si>
  <si>
    <t xml:space="preserve">Paix, cohesion sociale et prevention des conflits</t>
  </si>
  <si>
    <t xml:space="preserve">Consolidation de la paix</t>
  </si>
  <si>
    <t xml:space="preserve">DOM31</t>
  </si>
  <si>
    <t xml:space="preserve">Action humanitaire et gestion des urgences</t>
  </si>
  <si>
    <t xml:space="preserve">Reponse aux situations d'urgence</t>
  </si>
  <si>
    <t xml:space="preserve">DOM32</t>
  </si>
  <si>
    <t xml:space="preserve">Climat et resilience</t>
  </si>
  <si>
    <t xml:space="preserve">Adaptation et attenuation face au changement climatique</t>
  </si>
  <si>
    <t xml:space="preserve">DOM33</t>
  </si>
  <si>
    <t xml:space="preserve">Gestion durable des ressources naturelles</t>
  </si>
  <si>
    <t xml:space="preserve">Preservation des ressources naturelles</t>
  </si>
  <si>
    <t xml:space="preserve">DOM34</t>
  </si>
  <si>
    <t xml:space="preserve">Biodiversite et conservation</t>
  </si>
  <si>
    <t xml:space="preserve">Protection de la biodiversite</t>
  </si>
  <si>
    <t xml:space="preserve">DOM35</t>
  </si>
  <si>
    <t xml:space="preserve">Infrastructures et equipements communautaires</t>
  </si>
  <si>
    <t xml:space="preserve">Realisation d'infrastructures de base</t>
  </si>
  <si>
    <t xml:space="preserve">DOM36</t>
  </si>
  <si>
    <t xml:space="preserve">Developpement urbain et territorial</t>
  </si>
  <si>
    <t xml:space="preserve">Amenagement urbain et territorial</t>
  </si>
  <si>
    <t xml:space="preserve">DOM37</t>
  </si>
  <si>
    <t xml:space="preserve">Communication et information</t>
  </si>
  <si>
    <t xml:space="preserve">Diffusion de l'information</t>
  </si>
  <si>
    <t xml:space="preserve">DOM38</t>
  </si>
  <si>
    <t xml:space="preserve">Mobilite et echanges culturels</t>
  </si>
  <si>
    <t xml:space="preserve">Echanges et mobilite internationale</t>
  </si>
  <si>
    <t xml:space="preserve">DOM39</t>
  </si>
  <si>
    <t xml:space="preserve">Patrimoine et tourisme culturel</t>
  </si>
  <si>
    <t xml:space="preserve">Valorisation du patrimoine culturel</t>
  </si>
  <si>
    <t xml:space="preserve">DOM40</t>
  </si>
  <si>
    <t xml:space="preserve">Autre domaine</t>
  </si>
  <si>
    <t xml:space="preserve">Domaine non repertorie ci-dessus</t>
  </si>
  <si>
    <t xml:space="preserve">TPJ01</t>
  </si>
  <si>
    <t xml:space="preserve">Projet de developpement</t>
  </si>
  <si>
    <t xml:space="preserve">TPJ02</t>
  </si>
  <si>
    <t xml:space="preserve">Projet communautaire</t>
  </si>
  <si>
    <t xml:space="preserve">TPJ03</t>
  </si>
  <si>
    <t xml:space="preserve">Projet educatif</t>
  </si>
  <si>
    <t xml:space="preserve">TPJ04</t>
  </si>
  <si>
    <t xml:space="preserve">Projet de formation</t>
  </si>
  <si>
    <t xml:space="preserve">TPJ05</t>
  </si>
  <si>
    <t xml:space="preserve">Projet entrepreneurial</t>
  </si>
  <si>
    <t xml:space="preserve">TPJ06</t>
  </si>
  <si>
    <t xml:space="preserve">Projet culturel</t>
  </si>
  <si>
    <t xml:space="preserve">TPJ07</t>
  </si>
  <si>
    <t xml:space="preserve">Projet environnemental</t>
  </si>
  <si>
    <t xml:space="preserve">TPJ08</t>
  </si>
  <si>
    <t xml:space="preserve">Projet sanitaire</t>
  </si>
  <si>
    <t xml:space="preserve">TPJ09</t>
  </si>
  <si>
    <t xml:space="preserve">Projet touristique</t>
  </si>
  <si>
    <t xml:space="preserve">TPJ10</t>
  </si>
  <si>
    <t xml:space="preserve">Projet sportif</t>
  </si>
  <si>
    <t xml:space="preserve">TPJ11</t>
  </si>
  <si>
    <t xml:space="preserve">Projet agricole</t>
  </si>
  <si>
    <t xml:space="preserve">TPJ12</t>
  </si>
  <si>
    <t xml:space="preserve">Projet social</t>
  </si>
  <si>
    <t xml:space="preserve">TPJ13</t>
  </si>
  <si>
    <t xml:space="preserve">Projet humanitaire</t>
  </si>
  <si>
    <t xml:space="preserve">TPJ14</t>
  </si>
  <si>
    <t xml:space="preserve">Projet d'infrastructure</t>
  </si>
  <si>
    <t xml:space="preserve">TPJ15</t>
  </si>
  <si>
    <t xml:space="preserve">Projet numerique</t>
  </si>
  <si>
    <t xml:space="preserve">TPJ16</t>
  </si>
  <si>
    <t xml:space="preserve">Projet de recherche</t>
  </si>
  <si>
    <t xml:space="preserve">TPJ17</t>
  </si>
  <si>
    <t xml:space="preserve">Projet d'innovation</t>
  </si>
  <si>
    <t xml:space="preserve">TPJ18</t>
  </si>
  <si>
    <t xml:space="preserve">Projet de jeunesse</t>
  </si>
  <si>
    <t xml:space="preserve">TPJ19</t>
  </si>
  <si>
    <t xml:space="preserve">Projet d'autonomisation des femmes</t>
  </si>
  <si>
    <t xml:space="preserve">TPJ20</t>
  </si>
  <si>
    <t xml:space="preserve">Projet de gouvernance</t>
  </si>
  <si>
    <t xml:space="preserve">TPJ21</t>
  </si>
  <si>
    <t xml:space="preserve">Projet de protection</t>
  </si>
  <si>
    <t xml:space="preserve">TPJ22</t>
  </si>
  <si>
    <t xml:space="preserve">Projet climatique</t>
  </si>
  <si>
    <t xml:space="preserve">TPJ23</t>
  </si>
  <si>
    <t xml:space="preserve">Projet multisectoriel</t>
  </si>
  <si>
    <t xml:space="preserve">TPJ24</t>
  </si>
  <si>
    <t xml:space="preserve">Autre</t>
  </si>
  <si>
    <t xml:space="preserve">TAC01</t>
  </si>
  <si>
    <t xml:space="preserve">Formation</t>
  </si>
  <si>
    <t xml:space="preserve">TAC02</t>
  </si>
  <si>
    <t xml:space="preserve">Atelier</t>
  </si>
  <si>
    <t xml:space="preserve">TAC03</t>
  </si>
  <si>
    <t xml:space="preserve">Seminaire</t>
  </si>
  <si>
    <t xml:space="preserve">TAC04</t>
  </si>
  <si>
    <t xml:space="preserve">Conference</t>
  </si>
  <si>
    <t xml:space="preserve">TAC05</t>
  </si>
  <si>
    <t xml:space="preserve">Sensibilisation</t>
  </si>
  <si>
    <t xml:space="preserve">TAC06</t>
  </si>
  <si>
    <t xml:space="preserve">Campagne</t>
  </si>
  <si>
    <t xml:space="preserve">TAC07</t>
  </si>
  <si>
    <t xml:space="preserve">Coaching</t>
  </si>
  <si>
    <t xml:space="preserve">TAC08</t>
  </si>
  <si>
    <t xml:space="preserve">Accompagnement</t>
  </si>
  <si>
    <t xml:space="preserve">TAC09</t>
  </si>
  <si>
    <t xml:space="preserve">Distribution</t>
  </si>
  <si>
    <t xml:space="preserve">TAC10</t>
  </si>
  <si>
    <t xml:space="preserve">Consultation</t>
  </si>
  <si>
    <t xml:space="preserve">TAC11</t>
  </si>
  <si>
    <t xml:space="preserve">Enquete</t>
  </si>
  <si>
    <t xml:space="preserve">TAC12</t>
  </si>
  <si>
    <t xml:space="preserve">Etude</t>
  </si>
  <si>
    <t xml:space="preserve">TAC13</t>
  </si>
  <si>
    <t xml:space="preserve">Recherche</t>
  </si>
  <si>
    <t xml:space="preserve">TAC14</t>
  </si>
  <si>
    <t xml:space="preserve">Mission terrain</t>
  </si>
  <si>
    <t xml:space="preserve">TAC15</t>
  </si>
  <si>
    <t xml:space="preserve">Visite</t>
  </si>
  <si>
    <t xml:space="preserve">TAC16</t>
  </si>
  <si>
    <t xml:space="preserve">Reunion</t>
  </si>
  <si>
    <t xml:space="preserve">TAC17</t>
  </si>
  <si>
    <t xml:space="preserve">Forum</t>
  </si>
  <si>
    <t xml:space="preserve">TAC18</t>
  </si>
  <si>
    <t xml:space="preserve">Concours</t>
  </si>
  <si>
    <t xml:space="preserve">TAC19</t>
  </si>
  <si>
    <t xml:space="preserve">Competition sportive</t>
  </si>
  <si>
    <t xml:space="preserve">TAC20</t>
  </si>
  <si>
    <t xml:space="preserve">Evenement culturel</t>
  </si>
  <si>
    <t xml:space="preserve">TAC21</t>
  </si>
  <si>
    <t xml:space="preserve">Exposition</t>
  </si>
  <si>
    <t xml:space="preserve">TAC22</t>
  </si>
  <si>
    <t xml:space="preserve">Construction</t>
  </si>
  <si>
    <t xml:space="preserve">TAC23</t>
  </si>
  <si>
    <t xml:space="preserve">Rehabilitation</t>
  </si>
  <si>
    <t xml:space="preserve">TAC24</t>
  </si>
  <si>
    <t xml:space="preserve">Installation d'equipements</t>
  </si>
  <si>
    <t xml:space="preserve">TAC25</t>
  </si>
  <si>
    <t xml:space="preserve">Suivi</t>
  </si>
  <si>
    <t xml:space="preserve">TAC26</t>
  </si>
  <si>
    <t xml:space="preserve">Evaluation</t>
  </si>
  <si>
    <t xml:space="preserve">TAC27</t>
  </si>
  <si>
    <t xml:space="preserve">Audit</t>
  </si>
  <si>
    <t xml:space="preserve">TAC28</t>
  </si>
  <si>
    <t xml:space="preserve">Communication</t>
  </si>
  <si>
    <t xml:space="preserve">TAC29</t>
  </si>
  <si>
    <t xml:space="preserve">Plaidoyer</t>
  </si>
  <si>
    <t xml:space="preserve">TAC30</t>
  </si>
  <si>
    <t xml:space="preserve">CAB01</t>
  </si>
  <si>
    <t xml:space="preserve">Enfant</t>
  </si>
  <si>
    <t xml:space="preserve">CAB02</t>
  </si>
  <si>
    <t xml:space="preserve">Adolescent</t>
  </si>
  <si>
    <t xml:space="preserve">CAB03</t>
  </si>
  <si>
    <t xml:space="preserve">Jeune</t>
  </si>
  <si>
    <t xml:space="preserve">CAB04</t>
  </si>
  <si>
    <t xml:space="preserve">Adulte</t>
  </si>
  <si>
    <t xml:space="preserve">CAB05</t>
  </si>
  <si>
    <t xml:space="preserve">Personne agee</t>
  </si>
  <si>
    <t xml:space="preserve">CAB06</t>
  </si>
  <si>
    <t xml:space="preserve">Femme</t>
  </si>
  <si>
    <t xml:space="preserve">CAB07</t>
  </si>
  <si>
    <t xml:space="preserve">Homme</t>
  </si>
  <si>
    <t xml:space="preserve">CAB08</t>
  </si>
  <si>
    <t xml:space="preserve">Menage</t>
  </si>
  <si>
    <t xml:space="preserve">CAB09</t>
  </si>
  <si>
    <t xml:space="preserve">Famille</t>
  </si>
  <si>
    <t xml:space="preserve">CAB10</t>
  </si>
  <si>
    <t xml:space="preserve">Eleve</t>
  </si>
  <si>
    <t xml:space="preserve">CAB11</t>
  </si>
  <si>
    <t xml:space="preserve">Etudiant</t>
  </si>
  <si>
    <t xml:space="preserve">CAB12</t>
  </si>
  <si>
    <t xml:space="preserve">Enseignant</t>
  </si>
  <si>
    <t xml:space="preserve">CAB13</t>
  </si>
  <si>
    <t xml:space="preserve">Formateur</t>
  </si>
  <si>
    <t xml:space="preserve">CAB14</t>
  </si>
  <si>
    <t xml:space="preserve">Entrepreneur</t>
  </si>
  <si>
    <t xml:space="preserve">CAB15</t>
  </si>
  <si>
    <t xml:space="preserve">Porteur de projet</t>
  </si>
  <si>
    <t xml:space="preserve">CAB16</t>
  </si>
  <si>
    <t xml:space="preserve">Demandeur d'emploi</t>
  </si>
  <si>
    <t xml:space="preserve">CAB17</t>
  </si>
  <si>
    <t xml:space="preserve">Artisan</t>
  </si>
  <si>
    <t xml:space="preserve">CAB18</t>
  </si>
  <si>
    <t xml:space="preserve">Agriculteur</t>
  </si>
  <si>
    <t xml:space="preserve">CAB19</t>
  </si>
  <si>
    <t xml:space="preserve">Eleveur</t>
  </si>
  <si>
    <t xml:space="preserve">CAB20</t>
  </si>
  <si>
    <t xml:space="preserve">Pecheur</t>
  </si>
  <si>
    <t xml:space="preserve">CAB21</t>
  </si>
  <si>
    <t xml:space="preserve">Artiste</t>
  </si>
  <si>
    <t xml:space="preserve">CAB22</t>
  </si>
  <si>
    <t xml:space="preserve">Sportif</t>
  </si>
  <si>
    <t xml:space="preserve">CAB23</t>
  </si>
  <si>
    <t xml:space="preserve">Association</t>
  </si>
  <si>
    <t xml:space="preserve">CAB24</t>
  </si>
  <si>
    <t xml:space="preserve">Organisation communautaire</t>
  </si>
  <si>
    <t xml:space="preserve">CAB25</t>
  </si>
  <si>
    <t xml:space="preserve">Personne en situation de vulnerabilite</t>
  </si>
  <si>
    <t xml:space="preserve">CAB26</t>
  </si>
  <si>
    <t xml:space="preserve">Personne en situation de handicap</t>
  </si>
  <si>
    <t xml:space="preserve">CAB27</t>
  </si>
  <si>
    <t xml:space="preserve">Communaute</t>
  </si>
  <si>
    <t xml:space="preserve">CAB28</t>
  </si>
  <si>
    <t xml:space="preserve">Institution</t>
  </si>
  <si>
    <t xml:space="preserve">CAB29</t>
  </si>
  <si>
    <t xml:space="preserve">SEX01</t>
  </si>
  <si>
    <t xml:space="preserve">Masculin</t>
  </si>
  <si>
    <t xml:space="preserve">SEX02</t>
  </si>
  <si>
    <t xml:space="preserve">Feminin</t>
  </si>
  <si>
    <t xml:space="preserve">SEX03</t>
  </si>
  <si>
    <t xml:space="preserve">Non precise</t>
  </si>
  <si>
    <t xml:space="preserve">AGE01</t>
  </si>
  <si>
    <t xml:space="preserve">0-4 ans</t>
  </si>
  <si>
    <t xml:space="preserve">AGE02</t>
  </si>
  <si>
    <t xml:space="preserve">5-9 ans</t>
  </si>
  <si>
    <t xml:space="preserve">AGE03</t>
  </si>
  <si>
    <t xml:space="preserve">10-14 ans</t>
  </si>
  <si>
    <t xml:space="preserve">AGE04</t>
  </si>
  <si>
    <t xml:space="preserve">15-17 ans</t>
  </si>
  <si>
    <t xml:space="preserve">AGE05</t>
  </si>
  <si>
    <t xml:space="preserve">18-24 ans</t>
  </si>
  <si>
    <t xml:space="preserve">AGE06</t>
  </si>
  <si>
    <t xml:space="preserve">25-34 ans</t>
  </si>
  <si>
    <t xml:space="preserve">AGE07</t>
  </si>
  <si>
    <t xml:space="preserve">35-44 ans</t>
  </si>
  <si>
    <t xml:space="preserve">AGE08</t>
  </si>
  <si>
    <t xml:space="preserve">45-54 ans</t>
  </si>
  <si>
    <t xml:space="preserve">AGE09</t>
  </si>
  <si>
    <t xml:space="preserve">55-64 ans</t>
  </si>
  <si>
    <t xml:space="preserve">AGE10</t>
  </si>
  <si>
    <t xml:space="preserve">65 ans et plus</t>
  </si>
  <si>
    <t xml:space="preserve">AGE11</t>
  </si>
  <si>
    <t xml:space="preserve">TPA01</t>
  </si>
  <si>
    <t xml:space="preserve">Partenaire financier</t>
  </si>
  <si>
    <t xml:space="preserve">TPA02</t>
  </si>
  <si>
    <t xml:space="preserve">Partenaire technique</t>
  </si>
  <si>
    <t xml:space="preserve">TPA03</t>
  </si>
  <si>
    <t xml:space="preserve">Partenaire institutionnel</t>
  </si>
  <si>
    <t xml:space="preserve">TPA04</t>
  </si>
  <si>
    <t xml:space="preserve">Partenaire gouvernemental</t>
  </si>
  <si>
    <t xml:space="preserve">TPA05</t>
  </si>
  <si>
    <t xml:space="preserve">Collectivite locale</t>
  </si>
  <si>
    <t xml:space="preserve">TPA06</t>
  </si>
  <si>
    <t xml:space="preserve">Organisation internationale</t>
  </si>
  <si>
    <t xml:space="preserve">TPA07</t>
  </si>
  <si>
    <t xml:space="preserve">ONG nationale</t>
  </si>
  <si>
    <t xml:space="preserve">TPA08</t>
  </si>
  <si>
    <t xml:space="preserve">ONG internationale</t>
  </si>
  <si>
    <t xml:space="preserve">TPA09</t>
  </si>
  <si>
    <t xml:space="preserve">TPA10</t>
  </si>
  <si>
    <t xml:space="preserve">Entreprise privee</t>
  </si>
  <si>
    <t xml:space="preserve">TPA11</t>
  </si>
  <si>
    <t xml:space="preserve">Fondation</t>
  </si>
  <si>
    <t xml:space="preserve">TPA12</t>
  </si>
  <si>
    <t xml:space="preserve">Universite</t>
  </si>
  <si>
    <t xml:space="preserve">TPA13</t>
  </si>
  <si>
    <t xml:space="preserve">Etablissement scolaire</t>
  </si>
  <si>
    <t xml:space="preserve">TPA14</t>
  </si>
  <si>
    <t xml:space="preserve">Centre de recherche</t>
  </si>
  <si>
    <t xml:space="preserve">TPA15</t>
  </si>
  <si>
    <t xml:space="preserve">TPA16</t>
  </si>
  <si>
    <t xml:space="preserve">Organisation professionnelle</t>
  </si>
  <si>
    <t xml:space="preserve">TPA17</t>
  </si>
  <si>
    <t xml:space="preserve">Media</t>
  </si>
  <si>
    <t xml:space="preserve">TPA18</t>
  </si>
  <si>
    <t xml:space="preserve">Institution financiere</t>
  </si>
  <si>
    <t xml:space="preserve">TPA19</t>
  </si>
  <si>
    <t xml:space="preserve">TDO01</t>
  </si>
  <si>
    <t xml:space="preserve">Gouvernement</t>
  </si>
  <si>
    <t xml:space="preserve">TDO02</t>
  </si>
  <si>
    <t xml:space="preserve">Ministere</t>
  </si>
  <si>
    <t xml:space="preserve">TDO03</t>
  </si>
  <si>
    <t xml:space="preserve">Ambassade</t>
  </si>
  <si>
    <t xml:space="preserve">TDO04</t>
  </si>
  <si>
    <t xml:space="preserve">Agence de cooperation</t>
  </si>
  <si>
    <t xml:space="preserve">TDO05</t>
  </si>
  <si>
    <t xml:space="preserve">TDO06</t>
  </si>
  <si>
    <t xml:space="preserve">TDO07</t>
  </si>
  <si>
    <t xml:space="preserve">Entreprise</t>
  </si>
  <si>
    <t xml:space="preserve">TDO08</t>
  </si>
  <si>
    <t xml:space="preserve">Banque</t>
  </si>
  <si>
    <t xml:space="preserve">TDO09</t>
  </si>
  <si>
    <t xml:space="preserve">TDO10</t>
  </si>
  <si>
    <t xml:space="preserve">ONG</t>
  </si>
  <si>
    <t xml:space="preserve">TDO11</t>
  </si>
  <si>
    <t xml:space="preserve">Particulier</t>
  </si>
  <si>
    <t xml:space="preserve">TDO12</t>
  </si>
  <si>
    <t xml:space="preserve">Mecene</t>
  </si>
  <si>
    <t xml:space="preserve">TDO13</t>
  </si>
  <si>
    <t xml:space="preserve">SFI01</t>
  </si>
  <si>
    <t xml:space="preserve">Subvention</t>
  </si>
  <si>
    <t xml:space="preserve">SFI02</t>
  </si>
  <si>
    <t xml:space="preserve">Don</t>
  </si>
  <si>
    <t xml:space="preserve">SFI03</t>
  </si>
  <si>
    <t xml:space="preserve">Cotisation</t>
  </si>
  <si>
    <t xml:space="preserve">SFI04</t>
  </si>
  <si>
    <t xml:space="preserve">Contribution partenaire</t>
  </si>
  <si>
    <t xml:space="preserve">SFI05</t>
  </si>
  <si>
    <t xml:space="preserve">Autofinancement</t>
  </si>
  <si>
    <t xml:space="preserve">SFI06</t>
  </si>
  <si>
    <t xml:space="preserve">Financement public</t>
  </si>
  <si>
    <t xml:space="preserve">SFI07</t>
  </si>
  <si>
    <t xml:space="preserve">Financement prive</t>
  </si>
  <si>
    <t xml:space="preserve">SFI08</t>
  </si>
  <si>
    <t xml:space="preserve">Financement international</t>
  </si>
  <si>
    <t xml:space="preserve">SFI09</t>
  </si>
  <si>
    <t xml:space="preserve">Financement communautaire</t>
  </si>
  <si>
    <t xml:space="preserve">SFI10</t>
  </si>
  <si>
    <t xml:space="preserve">Financement participatif</t>
  </si>
  <si>
    <t xml:space="preserve">SFI11</t>
  </si>
  <si>
    <t xml:space="preserve">Mecenat</t>
  </si>
  <si>
    <t xml:space="preserve">SFI12</t>
  </si>
  <si>
    <t xml:space="preserve">Sponsoring</t>
  </si>
  <si>
    <t xml:space="preserve">SFI13</t>
  </si>
  <si>
    <t xml:space="preserve">Prestation de services</t>
  </si>
  <si>
    <t xml:space="preserve">SFI14</t>
  </si>
  <si>
    <t xml:space="preserve">TFI01</t>
  </si>
  <si>
    <t xml:space="preserve">TFI02</t>
  </si>
  <si>
    <t xml:space="preserve">TFI03</t>
  </si>
  <si>
    <t xml:space="preserve">Cofinancement</t>
  </si>
  <si>
    <t xml:space="preserve">TFI04</t>
  </si>
  <si>
    <t xml:space="preserve">Contribution financiere</t>
  </si>
  <si>
    <t xml:space="preserve">TFI05</t>
  </si>
  <si>
    <t xml:space="preserve">Contribution en nature</t>
  </si>
  <si>
    <t xml:space="preserve">TFI06</t>
  </si>
  <si>
    <t xml:space="preserve">Pret</t>
  </si>
  <si>
    <t xml:space="preserve">TFI07</t>
  </si>
  <si>
    <t xml:space="preserve">Avance</t>
  </si>
  <si>
    <t xml:space="preserve">TFI08</t>
  </si>
  <si>
    <t xml:space="preserve">Financement base sur les resultats</t>
  </si>
  <si>
    <t xml:space="preserve">TFI09</t>
  </si>
  <si>
    <t xml:space="preserve">CDE01</t>
  </si>
  <si>
    <t xml:space="preserve">Personnel</t>
  </si>
  <si>
    <t xml:space="preserve">CDE02</t>
  </si>
  <si>
    <t xml:space="preserve">Honoraires</t>
  </si>
  <si>
    <t xml:space="preserve">CDE03</t>
  </si>
  <si>
    <t xml:space="preserve">Consultants</t>
  </si>
  <si>
    <t xml:space="preserve">CDE04</t>
  </si>
  <si>
    <t xml:space="preserve">Transport</t>
  </si>
  <si>
    <t xml:space="preserve">CDE05</t>
  </si>
  <si>
    <t xml:space="preserve">Carburant</t>
  </si>
  <si>
    <t xml:space="preserve">CDE06</t>
  </si>
  <si>
    <t xml:space="preserve">Hebergement</t>
  </si>
  <si>
    <t xml:space="preserve">CDE07</t>
  </si>
  <si>
    <t xml:space="preserve">Restauration</t>
  </si>
  <si>
    <t xml:space="preserve">CDE08</t>
  </si>
  <si>
    <t xml:space="preserve">CDE09</t>
  </si>
  <si>
    <t xml:space="preserve">CDE10</t>
  </si>
  <si>
    <t xml:space="preserve">Visibilite</t>
  </si>
  <si>
    <t xml:space="preserve">CDE11</t>
  </si>
  <si>
    <t xml:space="preserve">Fournitures</t>
  </si>
  <si>
    <t xml:space="preserve">CDE12</t>
  </si>
  <si>
    <t xml:space="preserve">Materiel</t>
  </si>
  <si>
    <t xml:space="preserve">CDE13</t>
  </si>
  <si>
    <t xml:space="preserve">Equipements</t>
  </si>
  <si>
    <t xml:space="preserve">CDE14</t>
  </si>
  <si>
    <t xml:space="preserve">CDE15</t>
  </si>
  <si>
    <t xml:space="preserve">CDE16</t>
  </si>
  <si>
    <t xml:space="preserve">Location</t>
  </si>
  <si>
    <t xml:space="preserve">CDE17</t>
  </si>
  <si>
    <t xml:space="preserve">Services</t>
  </si>
  <si>
    <t xml:space="preserve">CDE18</t>
  </si>
  <si>
    <t xml:space="preserve">Telecommunication</t>
  </si>
  <si>
    <t xml:space="preserve">CDE19</t>
  </si>
  <si>
    <t xml:space="preserve">Internet</t>
  </si>
  <si>
    <t xml:space="preserve">CDE20</t>
  </si>
  <si>
    <t xml:space="preserve">Frais bancaires</t>
  </si>
  <si>
    <t xml:space="preserve">CDE21</t>
  </si>
  <si>
    <t xml:space="preserve">Administration</t>
  </si>
  <si>
    <t xml:space="preserve">CDE22</t>
  </si>
  <si>
    <t xml:space="preserve">Mission</t>
  </si>
  <si>
    <t xml:space="preserve">CDE23</t>
  </si>
  <si>
    <t xml:space="preserve">Logistique</t>
  </si>
  <si>
    <t xml:space="preserve">CDE24</t>
  </si>
  <si>
    <t xml:space="preserve">Suivi-evaluation</t>
  </si>
  <si>
    <t xml:space="preserve">CDE25</t>
  </si>
  <si>
    <t xml:space="preserve">CDE26</t>
  </si>
  <si>
    <t xml:space="preserve">Assurance</t>
  </si>
  <si>
    <t xml:space="preserve">CDE27</t>
  </si>
  <si>
    <t xml:space="preserve">Maintenance</t>
  </si>
  <si>
    <t xml:space="preserve">CDE28</t>
  </si>
  <si>
    <t xml:space="preserve">Securite</t>
  </si>
  <si>
    <t xml:space="preserve">CDE29</t>
  </si>
  <si>
    <t xml:space="preserve">Taxes et frais administratifs</t>
  </si>
  <si>
    <t xml:space="preserve">CDE30</t>
  </si>
  <si>
    <t xml:space="preserve">Autres depenses</t>
  </si>
  <si>
    <t xml:space="preserve">MPA01</t>
  </si>
  <si>
    <t xml:space="preserve">Especes</t>
  </si>
  <si>
    <t xml:space="preserve">MPA02</t>
  </si>
  <si>
    <t xml:space="preserve">Virement bancaire</t>
  </si>
  <si>
    <t xml:space="preserve">MPA03</t>
  </si>
  <si>
    <t xml:space="preserve">Cheque</t>
  </si>
  <si>
    <t xml:space="preserve">MPA04</t>
  </si>
  <si>
    <t xml:space="preserve">Mobile Money</t>
  </si>
  <si>
    <t xml:space="preserve">MPA05</t>
  </si>
  <si>
    <t xml:space="preserve">Carte bancaire</t>
  </si>
  <si>
    <t xml:space="preserve">MPA06</t>
  </si>
  <si>
    <t xml:space="preserve">Paiement en ligne</t>
  </si>
  <si>
    <t xml:space="preserve">MPA07</t>
  </si>
  <si>
    <t xml:space="preserve">TRE01</t>
  </si>
  <si>
    <t xml:space="preserve">TRE02</t>
  </si>
  <si>
    <t xml:space="preserve">TRE03</t>
  </si>
  <si>
    <t xml:space="preserve">TRE04</t>
  </si>
  <si>
    <t xml:space="preserve">Contribution</t>
  </si>
  <si>
    <t xml:space="preserve">TRE05</t>
  </si>
  <si>
    <t xml:space="preserve">Financement de projet</t>
  </si>
  <si>
    <t xml:space="preserve">TRE06</t>
  </si>
  <si>
    <t xml:space="preserve">Vente</t>
  </si>
  <si>
    <t xml:space="preserve">TRE07</t>
  </si>
  <si>
    <t xml:space="preserve">TRE08</t>
  </si>
  <si>
    <t xml:space="preserve">TRE09</t>
  </si>
  <si>
    <t xml:space="preserve">TRE10</t>
  </si>
  <si>
    <t xml:space="preserve">TCO01</t>
  </si>
  <si>
    <t xml:space="preserve">CDI</t>
  </si>
  <si>
    <t xml:space="preserve">TCO02</t>
  </si>
  <si>
    <t xml:space="preserve">CDD</t>
  </si>
  <si>
    <t xml:space="preserve">TCO03</t>
  </si>
  <si>
    <t xml:space="preserve">Contrat de projet</t>
  </si>
  <si>
    <t xml:space="preserve">TCO04</t>
  </si>
  <si>
    <t xml:space="preserve">Consultant</t>
  </si>
  <si>
    <t xml:space="preserve">TCO05</t>
  </si>
  <si>
    <t xml:space="preserve">Prestataire</t>
  </si>
  <si>
    <t xml:space="preserve">TCO06</t>
  </si>
  <si>
    <t xml:space="preserve">Stage</t>
  </si>
  <si>
    <t xml:space="preserve">TCO07</t>
  </si>
  <si>
    <t xml:space="preserve">Volontariat</t>
  </si>
  <si>
    <t xml:space="preserve">TCO08</t>
  </si>
  <si>
    <t xml:space="preserve">Benevolat</t>
  </si>
  <si>
    <t xml:space="preserve">TCO09</t>
  </si>
  <si>
    <t xml:space="preserve">Journalier</t>
  </si>
  <si>
    <t xml:space="preserve">TCO10</t>
  </si>
  <si>
    <t xml:space="preserve">FCT01</t>
  </si>
  <si>
    <t xml:space="preserve">President</t>
  </si>
  <si>
    <t xml:space="preserve">FCT02</t>
  </si>
  <si>
    <t xml:space="preserve">Vice-president</t>
  </si>
  <si>
    <t xml:space="preserve">FCT03</t>
  </si>
  <si>
    <t xml:space="preserve">Secretaire general</t>
  </si>
  <si>
    <t xml:space="preserve">FCT04</t>
  </si>
  <si>
    <t xml:space="preserve">Tresorier</t>
  </si>
  <si>
    <t xml:space="preserve">FCT05</t>
  </si>
  <si>
    <t xml:space="preserve">Directeur executif</t>
  </si>
  <si>
    <t xml:space="preserve">FCT06</t>
  </si>
  <si>
    <t xml:space="preserve">Directeur des programmes</t>
  </si>
  <si>
    <t xml:space="preserve">FCT07</t>
  </si>
  <si>
    <t xml:space="preserve">Coordonnateur de projet</t>
  </si>
  <si>
    <t xml:space="preserve">FCT08</t>
  </si>
  <si>
    <t xml:space="preserve">Responsable administratif et financier</t>
  </si>
  <si>
    <t xml:space="preserve">FCT09</t>
  </si>
  <si>
    <t xml:space="preserve">Comptable</t>
  </si>
  <si>
    <t xml:space="preserve">FCT10</t>
  </si>
  <si>
    <t xml:space="preserve">Responsable suivi-evaluation</t>
  </si>
  <si>
    <t xml:space="preserve">FCT11</t>
  </si>
  <si>
    <t xml:space="preserve">Charge de programme</t>
  </si>
  <si>
    <t xml:space="preserve">FCT12</t>
  </si>
  <si>
    <t xml:space="preserve">Charge de projet</t>
  </si>
  <si>
    <t xml:space="preserve">FCT13</t>
  </si>
  <si>
    <t xml:space="preserve">Charge de communication</t>
  </si>
  <si>
    <t xml:space="preserve">FCT14</t>
  </si>
  <si>
    <t xml:space="preserve">Charge des partenariats</t>
  </si>
  <si>
    <t xml:space="preserve">FCT15</t>
  </si>
  <si>
    <t xml:space="preserve">Charge de mobilisation des ressources</t>
  </si>
  <si>
    <t xml:space="preserve">FCT16</t>
  </si>
  <si>
    <t xml:space="preserve">Charge administratif</t>
  </si>
  <si>
    <t xml:space="preserve">FCT17</t>
  </si>
  <si>
    <t xml:space="preserve">Assistant administratif</t>
  </si>
  <si>
    <t xml:space="preserve">FCT18</t>
  </si>
  <si>
    <t xml:space="preserve">Assistant financier</t>
  </si>
  <si>
    <t xml:space="preserve">FCT19</t>
  </si>
  <si>
    <t xml:space="preserve">Logisticien</t>
  </si>
  <si>
    <t xml:space="preserve">FCT20</t>
  </si>
  <si>
    <t xml:space="preserve">Responsable informatique</t>
  </si>
  <si>
    <t xml:space="preserve">FCT21</t>
  </si>
  <si>
    <t xml:space="preserve">Responsable ressources humaines</t>
  </si>
  <si>
    <t xml:space="preserve">FCT22</t>
  </si>
  <si>
    <t xml:space="preserve">Animateur communautaire</t>
  </si>
  <si>
    <t xml:space="preserve">FCT23</t>
  </si>
  <si>
    <t xml:space="preserve">Agent de terrain</t>
  </si>
  <si>
    <t xml:space="preserve">FCT24</t>
  </si>
  <si>
    <t xml:space="preserve">FCT25</t>
  </si>
  <si>
    <t xml:space="preserve">Technicien</t>
  </si>
  <si>
    <t xml:space="preserve">FCT26</t>
  </si>
  <si>
    <t xml:space="preserve">Chauffeur</t>
  </si>
  <si>
    <t xml:space="preserve">FCT27</t>
  </si>
  <si>
    <t xml:space="preserve">Volontaire</t>
  </si>
  <si>
    <t xml:space="preserve">FCT28</t>
  </si>
  <si>
    <t xml:space="preserve">Stagiaire</t>
  </si>
  <si>
    <t xml:space="preserve">FCT29</t>
  </si>
  <si>
    <t xml:space="preserve">PRI01</t>
  </si>
  <si>
    <t xml:space="preserve">Faible</t>
  </si>
  <si>
    <t xml:space="preserve">PRI02</t>
  </si>
  <si>
    <t xml:space="preserve">Moyenne</t>
  </si>
  <si>
    <t xml:space="preserve">PRI03</t>
  </si>
  <si>
    <t xml:space="preserve">Haute</t>
  </si>
  <si>
    <t xml:space="preserve">PRI04</t>
  </si>
  <si>
    <t xml:space="preserve">Critique</t>
  </si>
  <si>
    <t xml:space="preserve">RIS01</t>
  </si>
  <si>
    <t xml:space="preserve">Tres faible</t>
  </si>
  <si>
    <t xml:space="preserve">RIS02</t>
  </si>
  <si>
    <t xml:space="preserve">RIS03</t>
  </si>
  <si>
    <t xml:space="preserve">Modere</t>
  </si>
  <si>
    <t xml:space="preserve">RIS04</t>
  </si>
  <si>
    <t xml:space="preserve">RIS05</t>
  </si>
  <si>
    <t xml:space="preserve">SRI01</t>
  </si>
  <si>
    <t xml:space="preserve">Identifie</t>
  </si>
  <si>
    <t xml:space="preserve">SRI02</t>
  </si>
  <si>
    <t xml:space="preserve">Analyse</t>
  </si>
  <si>
    <t xml:space="preserve">SRI03</t>
  </si>
  <si>
    <t xml:space="preserve">Sous surveillance</t>
  </si>
  <si>
    <t xml:space="preserve">SRI04</t>
  </si>
  <si>
    <t xml:space="preserve">En cours de traitement</t>
  </si>
  <si>
    <t xml:space="preserve">SRI05</t>
  </si>
  <si>
    <t xml:space="preserve">Mesure corrective engagee</t>
  </si>
  <si>
    <t xml:space="preserve">SRI06</t>
  </si>
  <si>
    <t xml:space="preserve">Maitrise</t>
  </si>
  <si>
    <t xml:space="preserve">SRI07</t>
  </si>
  <si>
    <t xml:space="preserve">TIM01</t>
  </si>
  <si>
    <t xml:space="preserve">Terrain</t>
  </si>
  <si>
    <t xml:space="preserve">TIM02</t>
  </si>
  <si>
    <t xml:space="preserve">Batiment</t>
  </si>
  <si>
    <t xml:space="preserve">TIM03</t>
  </si>
  <si>
    <t xml:space="preserve">Vehicule</t>
  </si>
  <si>
    <t xml:space="preserve">TIM04</t>
  </si>
  <si>
    <t xml:space="preserve">Moto</t>
  </si>
  <si>
    <t xml:space="preserve">TIM05</t>
  </si>
  <si>
    <t xml:space="preserve">Ordinateur</t>
  </si>
  <si>
    <t xml:space="preserve">TIM06</t>
  </si>
  <si>
    <t xml:space="preserve">Serveur</t>
  </si>
  <si>
    <t xml:space="preserve">TIM07</t>
  </si>
  <si>
    <t xml:space="preserve">Imprimante</t>
  </si>
  <si>
    <t xml:space="preserve">TIM08</t>
  </si>
  <si>
    <t xml:space="preserve">Photocopieuse</t>
  </si>
  <si>
    <t xml:space="preserve">TIM09</t>
  </si>
  <si>
    <t xml:space="preserve">Mobilier</t>
  </si>
  <si>
    <t xml:space="preserve">TIM10</t>
  </si>
  <si>
    <t xml:space="preserve">Materiel informatique</t>
  </si>
  <si>
    <t xml:space="preserve">TIM11</t>
  </si>
  <si>
    <t xml:space="preserve">Materiel audiovisuel</t>
  </si>
  <si>
    <t xml:space="preserve">TIM12</t>
  </si>
  <si>
    <t xml:space="preserve">Materiel de terrain</t>
  </si>
  <si>
    <t xml:space="preserve">TIM13</t>
  </si>
  <si>
    <t xml:space="preserve">Equipement technique</t>
  </si>
  <si>
    <t xml:space="preserve">TIM14</t>
  </si>
  <si>
    <t xml:space="preserve">Equipement sportif</t>
  </si>
  <si>
    <t xml:space="preserve">TIM15</t>
  </si>
  <si>
    <t xml:space="preserve">Equipement medical</t>
  </si>
  <si>
    <t xml:space="preserve">TIM16</t>
  </si>
  <si>
    <t xml:space="preserve">Equipement agricole</t>
  </si>
  <si>
    <t xml:space="preserve">TIM17</t>
  </si>
  <si>
    <t xml:space="preserve">UNI01</t>
  </si>
  <si>
    <t xml:space="preserve">Unite</t>
  </si>
  <si>
    <t xml:space="preserve">UNI02</t>
  </si>
  <si>
    <t xml:space="preserve">Piece</t>
  </si>
  <si>
    <t xml:space="preserve">UNI03</t>
  </si>
  <si>
    <t xml:space="preserve">Lot</t>
  </si>
  <si>
    <t xml:space="preserve">UNI04</t>
  </si>
  <si>
    <t xml:space="preserve">Kilogramme</t>
  </si>
  <si>
    <t xml:space="preserve">UNI05</t>
  </si>
  <si>
    <t xml:space="preserve">Tonne</t>
  </si>
  <si>
    <t xml:space="preserve">UNI06</t>
  </si>
  <si>
    <t xml:space="preserve">Litre</t>
  </si>
  <si>
    <t xml:space="preserve">UNI07</t>
  </si>
  <si>
    <t xml:space="preserve">Metre</t>
  </si>
  <si>
    <t xml:space="preserve">UNI08</t>
  </si>
  <si>
    <t xml:space="preserve">Metre carre</t>
  </si>
  <si>
    <t xml:space="preserve">UNI09</t>
  </si>
  <si>
    <t xml:space="preserve">Metre cube</t>
  </si>
  <si>
    <t xml:space="preserve">UNI10</t>
  </si>
  <si>
    <t xml:space="preserve">Jour</t>
  </si>
  <si>
    <t xml:space="preserve">UNI11</t>
  </si>
  <si>
    <t xml:space="preserve">Semaine</t>
  </si>
  <si>
    <t xml:space="preserve">UNI12</t>
  </si>
  <si>
    <t xml:space="preserve">UNI13</t>
  </si>
  <si>
    <t xml:space="preserve">Personne</t>
  </si>
  <si>
    <t xml:space="preserve">UNI14</t>
  </si>
  <si>
    <t xml:space="preserve">UNI15</t>
  </si>
  <si>
    <t xml:space="preserve">Session</t>
  </si>
  <si>
    <t xml:space="preserve">UNI16</t>
  </si>
  <si>
    <t xml:space="preserve">UNI17</t>
  </si>
  <si>
    <t xml:space="preserve">UNI18</t>
  </si>
  <si>
    <t xml:space="preserve">Projet</t>
  </si>
  <si>
    <t xml:space="preserve">UNI19</t>
  </si>
  <si>
    <t xml:space="preserve">TDC01</t>
  </si>
  <si>
    <t xml:space="preserve">Statuts</t>
  </si>
  <si>
    <t xml:space="preserve">TDC02</t>
  </si>
  <si>
    <t xml:space="preserve">Reglement interieur</t>
  </si>
  <si>
    <t xml:space="preserve">TDC03</t>
  </si>
  <si>
    <t xml:space="preserve">Agrement</t>
  </si>
  <si>
    <t xml:space="preserve">TDC04</t>
  </si>
  <si>
    <t xml:space="preserve">Convention</t>
  </si>
  <si>
    <t xml:space="preserve">TDC05</t>
  </si>
  <si>
    <t xml:space="preserve">Contrat</t>
  </si>
  <si>
    <t xml:space="preserve">TDC06</t>
  </si>
  <si>
    <t xml:space="preserve">Accord de partenariat</t>
  </si>
  <si>
    <t xml:space="preserve">TDC07</t>
  </si>
  <si>
    <t xml:space="preserve">Accord de financement</t>
  </si>
  <si>
    <t xml:space="preserve">TDC08</t>
  </si>
  <si>
    <t xml:space="preserve">Rapport</t>
  </si>
  <si>
    <t xml:space="preserve">TDC09</t>
  </si>
  <si>
    <t xml:space="preserve">Rapport financier</t>
  </si>
  <si>
    <t xml:space="preserve">TDC10</t>
  </si>
  <si>
    <t xml:space="preserve">Rapport narratif</t>
  </si>
  <si>
    <t xml:space="preserve">TDC11</t>
  </si>
  <si>
    <t xml:space="preserve">Budget</t>
  </si>
  <si>
    <t xml:space="preserve">TDC12</t>
  </si>
  <si>
    <t xml:space="preserve">Facture</t>
  </si>
  <si>
    <t xml:space="preserve">TDC13</t>
  </si>
  <si>
    <t xml:space="preserve">Recu</t>
  </si>
  <si>
    <t xml:space="preserve">TDC14</t>
  </si>
  <si>
    <t xml:space="preserve">Bon de commande</t>
  </si>
  <si>
    <t xml:space="preserve">TDC15</t>
  </si>
  <si>
    <t xml:space="preserve">Bon de livraison</t>
  </si>
  <si>
    <t xml:space="preserve">TDC16</t>
  </si>
  <si>
    <t xml:space="preserve">Proces-verbal</t>
  </si>
  <si>
    <t xml:space="preserve">TDC17</t>
  </si>
  <si>
    <t xml:space="preserve">Termes de reference</t>
  </si>
  <si>
    <t xml:space="preserve">TDC18</t>
  </si>
  <si>
    <t xml:space="preserve">Plan de travail</t>
  </si>
  <si>
    <t xml:space="preserve">TDC19</t>
  </si>
  <si>
    <t xml:space="preserve">Politique interne</t>
  </si>
  <si>
    <t xml:space="preserve">TDC20</t>
  </si>
  <si>
    <t xml:space="preserve">Procedure</t>
  </si>
  <si>
    <t xml:space="preserve">TDC21</t>
  </si>
  <si>
    <t xml:space="preserve">Piece justificative</t>
  </si>
  <si>
    <t xml:space="preserve">TDC22</t>
  </si>
  <si>
    <t xml:space="preserve">Document administratif</t>
  </si>
  <si>
    <t xml:space="preserve">TDC23</t>
  </si>
  <si>
    <t xml:space="preserve">Document juridique</t>
  </si>
  <si>
    <t xml:space="preserve">TDC24</t>
  </si>
  <si>
    <t xml:space="preserve">Document comptable</t>
  </si>
  <si>
    <t xml:space="preserve">TDC25</t>
  </si>
  <si>
    <t xml:space="preserve">SDC01</t>
  </si>
  <si>
    <t xml:space="preserve">Brouillon</t>
  </si>
  <si>
    <t xml:space="preserve">SDC02</t>
  </si>
  <si>
    <t xml:space="preserve">SDC03</t>
  </si>
  <si>
    <t xml:space="preserve">SDC04</t>
  </si>
  <si>
    <t xml:space="preserve">En attente de validation</t>
  </si>
  <si>
    <t xml:space="preserve">SDC05</t>
  </si>
  <si>
    <t xml:space="preserve">Valide</t>
  </si>
  <si>
    <t xml:space="preserve">SDC06</t>
  </si>
  <si>
    <t xml:space="preserve">Signe</t>
  </si>
  <si>
    <t xml:space="preserve">SDC07</t>
  </si>
  <si>
    <t xml:space="preserve">En vigueur</t>
  </si>
  <si>
    <t xml:space="preserve">SDC08</t>
  </si>
  <si>
    <t xml:space="preserve">Archive</t>
  </si>
  <si>
    <t xml:space="preserve">SDC09</t>
  </si>
  <si>
    <t xml:space="preserve">Expire</t>
  </si>
  <si>
    <t xml:space="preserve">SDC10</t>
  </si>
  <si>
    <t xml:space="preserve">Code pays</t>
  </si>
  <si>
    <t xml:space="preserve">Pays</t>
  </si>
  <si>
    <t xml:space="preserve">Code departement</t>
  </si>
  <si>
    <t xml:space="preserve">Departement</t>
  </si>
  <si>
    <t xml:space="preserve">Code district/commune</t>
  </si>
  <si>
    <t xml:space="preserve">District/Commune</t>
  </si>
  <si>
    <t xml:space="preserve">Code arrondissement</t>
  </si>
  <si>
    <t xml:space="preserve">Arrondissement</t>
  </si>
  <si>
    <t xml:space="preserve">Code localite</t>
  </si>
  <si>
    <t xml:space="preserve">Localite</t>
  </si>
  <si>
    <t xml:space="preserve">Type de localite</t>
  </si>
  <si>
    <t xml:space="preserve">PAYS01</t>
  </si>
  <si>
    <t xml:space="preserve">Congo</t>
  </si>
  <si>
    <t xml:space="preserve">DPT01</t>
  </si>
  <si>
    <t xml:space="preserve">Brazzaville</t>
  </si>
  <si>
    <t xml:space="preserve">COM01</t>
  </si>
  <si>
    <t xml:space="preserve">ARR01</t>
  </si>
  <si>
    <t xml:space="preserve">Makélékélé</t>
  </si>
  <si>
    <t xml:space="preserve">LOC0001</t>
  </si>
  <si>
    <t xml:space="preserve">ARR02</t>
  </si>
  <si>
    <t xml:space="preserve">Bacongo</t>
  </si>
  <si>
    <t xml:space="preserve">LOC0002</t>
  </si>
  <si>
    <t xml:space="preserve">ARR03</t>
  </si>
  <si>
    <t xml:space="preserve">Poto-Poto</t>
  </si>
  <si>
    <t xml:space="preserve">LOC0003</t>
  </si>
  <si>
    <t xml:space="preserve">ARR04</t>
  </si>
  <si>
    <t xml:space="preserve">Moungali</t>
  </si>
  <si>
    <t xml:space="preserve">LOC0004</t>
  </si>
  <si>
    <t xml:space="preserve">ARR05</t>
  </si>
  <si>
    <t xml:space="preserve">Ouenzé</t>
  </si>
  <si>
    <t xml:space="preserve">LOC0005</t>
  </si>
  <si>
    <t xml:space="preserve">ARR06</t>
  </si>
  <si>
    <t xml:space="preserve">Talangaï</t>
  </si>
  <si>
    <t xml:space="preserve">LOC0006</t>
  </si>
  <si>
    <t xml:space="preserve">ARR07</t>
  </si>
  <si>
    <t xml:space="preserve">Mfilou</t>
  </si>
  <si>
    <t xml:space="preserve">LOC0007</t>
  </si>
  <si>
    <t xml:space="preserve">ARR08</t>
  </si>
  <si>
    <t xml:space="preserve">Madibou</t>
  </si>
  <si>
    <t xml:space="preserve">LOC0008</t>
  </si>
  <si>
    <t xml:space="preserve">ARR09</t>
  </si>
  <si>
    <t xml:space="preserve">Djiri</t>
  </si>
  <si>
    <t xml:space="preserve">LOC0009</t>
  </si>
  <si>
    <t xml:space="preserve">DPT02</t>
  </si>
  <si>
    <t xml:space="preserve">Pointe-Noire</t>
  </si>
  <si>
    <t xml:space="preserve">COM02</t>
  </si>
  <si>
    <t xml:space="preserve">ARR10</t>
  </si>
  <si>
    <t xml:space="preserve">Lumumba</t>
  </si>
  <si>
    <t xml:space="preserve">LOC0010</t>
  </si>
  <si>
    <t xml:space="preserve">ARR11</t>
  </si>
  <si>
    <t xml:space="preserve">Mvou-Mvou</t>
  </si>
  <si>
    <t xml:space="preserve">LOC0011</t>
  </si>
  <si>
    <t xml:space="preserve">ARR12</t>
  </si>
  <si>
    <t xml:space="preserve">Tié-Tié</t>
  </si>
  <si>
    <t xml:space="preserve">LOC0012</t>
  </si>
  <si>
    <t xml:space="preserve">ARR13</t>
  </si>
  <si>
    <t xml:space="preserve">Loandjili</t>
  </si>
  <si>
    <t xml:space="preserve">LOC0013</t>
  </si>
  <si>
    <t xml:space="preserve">ARR14</t>
  </si>
  <si>
    <t xml:space="preserve">Mongo-Mpoukou</t>
  </si>
  <si>
    <t xml:space="preserve">LOC0014</t>
  </si>
  <si>
    <t xml:space="preserve">ARR15</t>
  </si>
  <si>
    <t xml:space="preserve">Ngoyo</t>
  </si>
  <si>
    <t xml:space="preserve">LOC0015</t>
  </si>
  <si>
    <t xml:space="preserve">DPT03</t>
  </si>
  <si>
    <t xml:space="preserve">Bouenza</t>
  </si>
  <si>
    <t xml:space="preserve">COM03</t>
  </si>
  <si>
    <t xml:space="preserve">Madingou</t>
  </si>
  <si>
    <t xml:space="preserve">LOC0017</t>
  </si>
  <si>
    <t xml:space="preserve">Ville</t>
  </si>
  <si>
    <t xml:space="preserve">Nkayi</t>
  </si>
  <si>
    <t xml:space="preserve">LOC0018</t>
  </si>
  <si>
    <t xml:space="preserve">Boko-Songho</t>
  </si>
  <si>
    <t xml:space="preserve">LOC0019</t>
  </si>
  <si>
    <t xml:space="preserve">Mouyondzi</t>
  </si>
  <si>
    <t xml:space="preserve">LOC0020</t>
  </si>
  <si>
    <t xml:space="preserve">DPT04</t>
  </si>
  <si>
    <t xml:space="preserve">Cuvette</t>
  </si>
  <si>
    <t xml:space="preserve">COM04</t>
  </si>
  <si>
    <t xml:space="preserve">Owando</t>
  </si>
  <si>
    <t xml:space="preserve">LOC0021</t>
  </si>
  <si>
    <t xml:space="preserve">Oyo</t>
  </si>
  <si>
    <t xml:space="preserve">LOC0022</t>
  </si>
  <si>
    <t xml:space="preserve">Makoua</t>
  </si>
  <si>
    <t xml:space="preserve">LOC0023</t>
  </si>
  <si>
    <t xml:space="preserve">Boundji</t>
  </si>
  <si>
    <t xml:space="preserve">LOC0024</t>
  </si>
  <si>
    <t xml:space="preserve">DPT05</t>
  </si>
  <si>
    <t xml:space="preserve">Cuvette-Ouest</t>
  </si>
  <si>
    <t xml:space="preserve">COM05</t>
  </si>
  <si>
    <t xml:space="preserve">Ewo</t>
  </si>
  <si>
    <t xml:space="preserve">LOC0025</t>
  </si>
  <si>
    <t xml:space="preserve">Etoumbi</t>
  </si>
  <si>
    <t xml:space="preserve">LOC0026</t>
  </si>
  <si>
    <t xml:space="preserve">Mbomo</t>
  </si>
  <si>
    <t xml:space="preserve">LOC0027</t>
  </si>
  <si>
    <t xml:space="preserve">DPT06</t>
  </si>
  <si>
    <t xml:space="preserve">Kouilou</t>
  </si>
  <si>
    <t xml:space="preserve">COM06</t>
  </si>
  <si>
    <t xml:space="preserve">Hinda</t>
  </si>
  <si>
    <t xml:space="preserve">LOC0028</t>
  </si>
  <si>
    <t xml:space="preserve">Loango</t>
  </si>
  <si>
    <t xml:space="preserve">LOC0029</t>
  </si>
  <si>
    <t xml:space="preserve">Madingo-Kayes</t>
  </si>
  <si>
    <t xml:space="preserve">LOC0030</t>
  </si>
  <si>
    <t xml:space="preserve">Nzambi</t>
  </si>
  <si>
    <t xml:space="preserve">LOC0031</t>
  </si>
  <si>
    <t xml:space="preserve">DPT07</t>
  </si>
  <si>
    <t xml:space="preserve">Lékoumou</t>
  </si>
  <si>
    <t xml:space="preserve">COM07</t>
  </si>
  <si>
    <t xml:space="preserve">Sibiti</t>
  </si>
  <si>
    <t xml:space="preserve">LOC0032</t>
  </si>
  <si>
    <t xml:space="preserve">Komono</t>
  </si>
  <si>
    <t xml:space="preserve">LOC0033</t>
  </si>
  <si>
    <t xml:space="preserve">Zanaga</t>
  </si>
  <si>
    <t xml:space="preserve">LOC0034</t>
  </si>
  <si>
    <t xml:space="preserve">DPT08</t>
  </si>
  <si>
    <t xml:space="preserve">Likouala</t>
  </si>
  <si>
    <t xml:space="preserve">COM08</t>
  </si>
  <si>
    <t xml:space="preserve">Impfondo</t>
  </si>
  <si>
    <t xml:space="preserve">LOC0035</t>
  </si>
  <si>
    <t xml:space="preserve">Dongou</t>
  </si>
  <si>
    <t xml:space="preserve">LOC0036</t>
  </si>
  <si>
    <t xml:space="preserve">Epena</t>
  </si>
  <si>
    <t xml:space="preserve">LOC0037</t>
  </si>
  <si>
    <t xml:space="preserve">Enyellé</t>
  </si>
  <si>
    <t xml:space="preserve">LOC0038</t>
  </si>
  <si>
    <t xml:space="preserve">DPT09</t>
  </si>
  <si>
    <t xml:space="preserve">Niari</t>
  </si>
  <si>
    <t xml:space="preserve">COM09</t>
  </si>
  <si>
    <t xml:space="preserve">Dolisie</t>
  </si>
  <si>
    <t xml:space="preserve">LOC0039</t>
  </si>
  <si>
    <t xml:space="preserve">Mossendjo</t>
  </si>
  <si>
    <t xml:space="preserve">LOC0040</t>
  </si>
  <si>
    <t xml:space="preserve">Moutamba</t>
  </si>
  <si>
    <t xml:space="preserve">LOC0041</t>
  </si>
  <si>
    <t xml:space="preserve">Kimongo</t>
  </si>
  <si>
    <t xml:space="preserve">LOC0042</t>
  </si>
  <si>
    <t xml:space="preserve">DPT10</t>
  </si>
  <si>
    <t xml:space="preserve">Pool</t>
  </si>
  <si>
    <t xml:space="preserve">COM10</t>
  </si>
  <si>
    <t xml:space="preserve">Kinkala</t>
  </si>
  <si>
    <t xml:space="preserve">LOC0043</t>
  </si>
  <si>
    <t xml:space="preserve">Mindouli</t>
  </si>
  <si>
    <t xml:space="preserve">LOC0044</t>
  </si>
  <si>
    <t xml:space="preserve">Ngabé</t>
  </si>
  <si>
    <t xml:space="preserve">LOC0045</t>
  </si>
  <si>
    <t xml:space="preserve">Kindamba</t>
  </si>
  <si>
    <t xml:space="preserve">LOC0046</t>
  </si>
  <si>
    <t xml:space="preserve">DPT11</t>
  </si>
  <si>
    <t xml:space="preserve">Plateaux</t>
  </si>
  <si>
    <t xml:space="preserve">COM11</t>
  </si>
  <si>
    <t xml:space="preserve">Djambala</t>
  </si>
  <si>
    <t xml:space="preserve">LOC0047</t>
  </si>
  <si>
    <t xml:space="preserve">Gamboma</t>
  </si>
  <si>
    <t xml:space="preserve">LOC0048</t>
  </si>
  <si>
    <t xml:space="preserve">Lekana</t>
  </si>
  <si>
    <t xml:space="preserve">LOC0049</t>
  </si>
  <si>
    <t xml:space="preserve">DPT12</t>
  </si>
  <si>
    <t xml:space="preserve">Sangha</t>
  </si>
  <si>
    <t xml:space="preserve">COM12</t>
  </si>
  <si>
    <t xml:space="preserve">Ouesso</t>
  </si>
  <si>
    <t xml:space="preserve">LOC0050</t>
  </si>
  <si>
    <t xml:space="preserve">Sembé</t>
  </si>
  <si>
    <t xml:space="preserve">LOC0051</t>
  </si>
  <si>
    <t xml:space="preserve">Souanké</t>
  </si>
  <si>
    <t xml:space="preserve">LOC0052</t>
  </si>
  <si>
    <t xml:space="preserve">STG01</t>
  </si>
  <si>
    <t xml:space="preserve">STG02</t>
  </si>
  <si>
    <t xml:space="preserve">Inactif</t>
  </si>
  <si>
    <t xml:space="preserve">STG03</t>
  </si>
  <si>
    <t xml:space="preserve">STG04</t>
  </si>
  <si>
    <t xml:space="preserve">30. STATUTS BUDGET</t>
  </si>
  <si>
    <t xml:space="preserve">SBU01</t>
  </si>
  <si>
    <t xml:space="preserve">Preparation</t>
  </si>
  <si>
    <t xml:space="preserve">SBU02</t>
  </si>
  <si>
    <t xml:space="preserve">SBU03</t>
  </si>
  <si>
    <t xml:space="preserve">SBU04</t>
  </si>
  <si>
    <t xml:space="preserve">SBU05</t>
  </si>
  <si>
    <t xml:space="preserve">Revise</t>
  </si>
  <si>
    <t xml:space="preserve">SBU06</t>
  </si>
  <si>
    <t xml:space="preserve">31. TYPES DE BUDGET</t>
  </si>
  <si>
    <t xml:space="preserve">TBU01</t>
  </si>
  <si>
    <t xml:space="preserve">Budget annuel de l'ONG</t>
  </si>
  <si>
    <t xml:space="preserve">TBU02</t>
  </si>
  <si>
    <t xml:space="preserve">Budget de projet</t>
  </si>
  <si>
    <t xml:space="preserve">TBU03</t>
  </si>
  <si>
    <t xml:space="preserve">Budget d'activite</t>
  </si>
  <si>
    <t xml:space="preserve">TBU04</t>
  </si>
  <si>
    <t xml:space="preserve">Budget de programme</t>
  </si>
  <si>
    <t xml:space="preserve">TBU05</t>
  </si>
  <si>
    <t xml:space="preserve">Budget de fonctionnement</t>
  </si>
  <si>
    <t xml:space="preserve">TBU06</t>
  </si>
  <si>
    <t xml:space="preserve">Budget d'investissement</t>
  </si>
  <si>
    <t xml:space="preserve">TBU07</t>
  </si>
  <si>
    <t xml:space="preserve">Budget special</t>
  </si>
  <si>
    <t xml:space="preserve">TBU08</t>
  </si>
  <si>
    <t xml:space="preserve">Budget revise</t>
  </si>
  <si>
    <t xml:space="preserve">TBU09</t>
  </si>
  <si>
    <t xml:space="preserve">32. SEUILS BUDGETAIRES (alertes de depassement)</t>
  </si>
  <si>
    <t xml:space="preserve">Valeur (%)</t>
  </si>
  <si>
    <t xml:space="preserve">SEU01</t>
  </si>
  <si>
    <t xml:space="preserve">Seuil de vigilance</t>
  </si>
  <si>
    <t xml:space="preserve">SEU02</t>
  </si>
  <si>
    <t xml:space="preserve">Seuil de depassement</t>
  </si>
  <si>
    <t xml:space="preserve">33. STATUTS RECETTES</t>
  </si>
  <si>
    <t xml:space="preserve">SRE01</t>
  </si>
  <si>
    <t xml:space="preserve">Prevue</t>
  </si>
  <si>
    <t xml:space="preserve">SRE02</t>
  </si>
  <si>
    <t xml:space="preserve">Notifiee</t>
  </si>
  <si>
    <t xml:space="preserve">SRE03</t>
  </si>
  <si>
    <t xml:space="preserve">Approuvee</t>
  </si>
  <si>
    <t xml:space="preserve">SRE04</t>
  </si>
  <si>
    <t xml:space="preserve">Engagee</t>
  </si>
  <si>
    <t xml:space="preserve">SRE05</t>
  </si>
  <si>
    <t xml:space="preserve">Attendue</t>
  </si>
  <si>
    <t xml:space="preserve">SRE06</t>
  </si>
  <si>
    <t xml:space="preserve">Partiellement recue</t>
  </si>
  <si>
    <t xml:space="preserve">SRE07</t>
  </si>
  <si>
    <t xml:space="preserve">Recue</t>
  </si>
  <si>
    <t xml:space="preserve">SRE08</t>
  </si>
  <si>
    <t xml:space="preserve">SRE09</t>
  </si>
  <si>
    <t xml:space="preserve">Cloturee</t>
  </si>
  <si>
    <t xml:space="preserve">34. STATUTS RH</t>
  </si>
  <si>
    <t xml:space="preserve">STR01</t>
  </si>
  <si>
    <t xml:space="preserve">STR02</t>
  </si>
  <si>
    <t xml:space="preserve">En conge</t>
  </si>
  <si>
    <t xml:space="preserve">STR03</t>
  </si>
  <si>
    <t xml:space="preserve">STR04</t>
  </si>
  <si>
    <t xml:space="preserve">En mission</t>
  </si>
  <si>
    <t xml:space="preserve">STR05</t>
  </si>
  <si>
    <t xml:space="preserve">En formation</t>
  </si>
  <si>
    <t xml:space="preserve">STR06</t>
  </si>
  <si>
    <t xml:space="preserve">Sorti</t>
  </si>
  <si>
    <t xml:space="preserve">STR07</t>
  </si>
  <si>
    <t xml:space="preserve">35. SERVICES / DEPARTEMENTS INTERNES</t>
  </si>
  <si>
    <t xml:space="preserve">SRV01</t>
  </si>
  <si>
    <t xml:space="preserve">Direction generale</t>
  </si>
  <si>
    <t xml:space="preserve">SRV02</t>
  </si>
  <si>
    <t xml:space="preserve">Administration et finances</t>
  </si>
  <si>
    <t xml:space="preserve">SRV03</t>
  </si>
  <si>
    <t xml:space="preserve">Programmes et projets</t>
  </si>
  <si>
    <t xml:space="preserve">SRV04</t>
  </si>
  <si>
    <t xml:space="preserve">SRV05</t>
  </si>
  <si>
    <t xml:space="preserve">Ressources humaines</t>
  </si>
  <si>
    <t xml:space="preserve">SRV06</t>
  </si>
  <si>
    <t xml:space="preserve">SRV07</t>
  </si>
  <si>
    <t xml:space="preserve">SRV08</t>
  </si>
  <si>
    <t xml:space="preserve">Partenariats et mobilisation de ressources</t>
  </si>
  <si>
    <t xml:space="preserve">SRV09</t>
  </si>
  <si>
    <t xml:space="preserve">Juridique</t>
  </si>
  <si>
    <t xml:space="preserve">SRV10</t>
  </si>
  <si>
    <t xml:space="preserve">Informatique / IT</t>
  </si>
  <si>
    <t xml:space="preserve">SRV11</t>
  </si>
  <si>
    <t xml:space="preserve">36. NIVEAUX HIERARCHIQUES</t>
  </si>
  <si>
    <t xml:space="preserve">NHI01</t>
  </si>
  <si>
    <t xml:space="preserve">Direction</t>
  </si>
  <si>
    <t xml:space="preserve">NHI02</t>
  </si>
  <si>
    <t xml:space="preserve">Cadre</t>
  </si>
  <si>
    <t xml:space="preserve">NHI03</t>
  </si>
  <si>
    <t xml:space="preserve">Agent de maitrise</t>
  </si>
  <si>
    <t xml:space="preserve">NHI04</t>
  </si>
  <si>
    <t xml:space="preserve">Employe</t>
  </si>
  <si>
    <t xml:space="preserve">NHI05</t>
  </si>
  <si>
    <t xml:space="preserve">Stagiaire / Volontaire</t>
  </si>
  <si>
    <t xml:space="preserve">NHI06</t>
  </si>
  <si>
    <t xml:space="preserve">37. TYPES DE CONGE</t>
  </si>
  <si>
    <t xml:space="preserve">TCG01</t>
  </si>
  <si>
    <t xml:space="preserve">Conge annuel</t>
  </si>
  <si>
    <t xml:space="preserve">TCG02</t>
  </si>
  <si>
    <t xml:space="preserve">Conge maladie</t>
  </si>
  <si>
    <t xml:space="preserve">TCG03</t>
  </si>
  <si>
    <t xml:space="preserve">Conge maternite / paternite</t>
  </si>
  <si>
    <t xml:space="preserve">TCG04</t>
  </si>
  <si>
    <t xml:space="preserve">Conge sans solde</t>
  </si>
  <si>
    <t xml:space="preserve">TCG05</t>
  </si>
  <si>
    <t xml:space="preserve">Permission exceptionnelle</t>
  </si>
  <si>
    <t xml:space="preserve">TCG06</t>
  </si>
  <si>
    <t xml:space="preserve">38. STATUTS CONGE</t>
  </si>
  <si>
    <t xml:space="preserve">SCG01</t>
  </si>
  <si>
    <t xml:space="preserve">Demande</t>
  </si>
  <si>
    <t xml:space="preserve">SCG02</t>
  </si>
  <si>
    <t xml:space="preserve">SCG03</t>
  </si>
  <si>
    <t xml:space="preserve">Refuse</t>
  </si>
  <si>
    <t xml:space="preserve">SCG04</t>
  </si>
  <si>
    <t xml:space="preserve">SCG05</t>
  </si>
  <si>
    <t xml:space="preserve">39. NIVEAUX DE COMPETENCE</t>
  </si>
  <si>
    <t xml:space="preserve">NCO01</t>
  </si>
  <si>
    <t xml:space="preserve">Debutant</t>
  </si>
  <si>
    <t xml:space="preserve">NCO02</t>
  </si>
  <si>
    <t xml:space="preserve">Intermediaire</t>
  </si>
  <si>
    <t xml:space="preserve">NCO03</t>
  </si>
  <si>
    <t xml:space="preserve">NCO04</t>
  </si>
  <si>
    <t xml:space="preserve">Expert</t>
  </si>
  <si>
    <t xml:space="preserve">40. MOTIFS DE DEPART</t>
  </si>
  <si>
    <t xml:space="preserve">MDP01</t>
  </si>
  <si>
    <t xml:space="preserve">Demission</t>
  </si>
  <si>
    <t xml:space="preserve">MDP02</t>
  </si>
  <si>
    <t xml:space="preserve">Fin de contrat</t>
  </si>
  <si>
    <t xml:space="preserve">MDP03</t>
  </si>
  <si>
    <t xml:space="preserve">Licenciement</t>
  </si>
  <si>
    <t xml:space="preserve">MDP04</t>
  </si>
  <si>
    <t xml:space="preserve">Fin de mission</t>
  </si>
  <si>
    <t xml:space="preserve">MDP05</t>
  </si>
  <si>
    <t xml:space="preserve">Fin de stage</t>
  </si>
  <si>
    <t xml:space="preserve">MDP06</t>
  </si>
  <si>
    <t xml:space="preserve">Retraite</t>
  </si>
  <si>
    <t xml:space="preserve">MDP07</t>
  </si>
  <si>
    <t xml:space="preserve">41. FREQUENCES DE PAIEMENT</t>
  </si>
  <si>
    <t xml:space="preserve">FRQ01</t>
  </si>
  <si>
    <t xml:space="preserve">Mensuelle</t>
  </si>
  <si>
    <t xml:space="preserve">FRQ02</t>
  </si>
  <si>
    <t xml:space="preserve">Hebdomadaire</t>
  </si>
  <si>
    <t xml:space="preserve">FRQ03</t>
  </si>
  <si>
    <t xml:space="preserve">Journaliere</t>
  </si>
  <si>
    <t xml:space="preserve">FRQ04</t>
  </si>
  <si>
    <t xml:space="preserve">Ponctuelle / Unique</t>
  </si>
  <si>
    <t xml:space="preserve">FRQ05</t>
  </si>
  <si>
    <t xml:space="preserve">Trimestrielle</t>
  </si>
  <si>
    <t xml:space="preserve">42. TYPES DE DOCUMENTS RH</t>
  </si>
  <si>
    <t xml:space="preserve">TDR01</t>
  </si>
  <si>
    <t xml:space="preserve">CV</t>
  </si>
  <si>
    <t xml:space="preserve">TDR02</t>
  </si>
  <si>
    <t xml:space="preserve">Contrat de travail</t>
  </si>
  <si>
    <t xml:space="preserve">TDR03</t>
  </si>
  <si>
    <t xml:space="preserve">Diplome</t>
  </si>
  <si>
    <t xml:space="preserve">TDR04</t>
  </si>
  <si>
    <t xml:space="preserve">Attestation de travail</t>
  </si>
  <si>
    <t xml:space="preserve">TDR05</t>
  </si>
  <si>
    <t xml:space="preserve">Piece d'identite</t>
  </si>
  <si>
    <t xml:space="preserve">TDR06</t>
  </si>
  <si>
    <t xml:space="preserve">Certificat medical</t>
  </si>
  <si>
    <t xml:space="preserve">TDR07</t>
  </si>
  <si>
    <t xml:space="preserve">Casier judiciaire</t>
  </si>
  <si>
    <t xml:space="preserve">TDR08</t>
  </si>
  <si>
    <t xml:space="preserve">Fiche de poste</t>
  </si>
  <si>
    <t xml:space="preserve">TDR09</t>
  </si>
  <si>
    <t xml:space="preserve">TDR10</t>
  </si>
  <si>
    <t xml:space="preserve">Photo</t>
  </si>
  <si>
    <t xml:space="preserve">TDR11</t>
  </si>
  <si>
    <t xml:space="preserve">43. FILTRE ANNEES (liste dynamique utilisee par les filtres Annee des feuilles)</t>
  </si>
  <si>
    <t xml:space="preserve">Valeur</t>
  </si>
  <si>
    <t xml:space="preserve">FLT-ALL</t>
  </si>
  <si>
    <t xml:space="preserve">Total</t>
  </si>
  <si>
    <t xml:space="preserve">FLT-01</t>
  </si>
  <si>
    <t xml:space="preserve">FLT-02</t>
  </si>
  <si>
    <t xml:space="preserve">FLT-03</t>
  </si>
  <si>
    <t xml:space="preserve">FLT-04</t>
  </si>
  <si>
    <t xml:space="preserve">FLT-05</t>
  </si>
  <si>
    <t xml:space="preserve">FLT-06</t>
  </si>
  <si>
    <t xml:space="preserve">FLT-07</t>
  </si>
  <si>
    <t xml:space="preserve">FLT-08</t>
  </si>
  <si>
    <t xml:space="preserve">FLT-09</t>
  </si>
  <si>
    <t xml:space="preserve">FLT-10</t>
  </si>
  <si>
    <t xml:space="preserve">O.N.G BK — FICHE D'IDENTIFICATION ET D'INFORMATIONS INSTITUTIONNELLES</t>
  </si>
  <si>
    <t xml:space="preserve">Referentiel institutionnel du classeur — Donnons la joie a la jeunesse</t>
  </si>
  <si>
    <t xml:space="preserve">Date de derniere mise a jour :</t>
  </si>
  <si>
    <t xml:space="preserve">Annee de reference :</t>
  </si>
  <si>
    <t xml:space="preserve">Statut de l'organisation :</t>
  </si>
  <si>
    <t xml:space="preserve">LEGENDE :  texte bleu = champ a completer par l'ONG   |   texte vert italique = recupere automatiquement depuis PARAMETRES (ou une future feuille)   |   valeur grisee en indicateur = sera calculee automatiquement des la creation de la feuille source correspondante</t>
  </si>
  <si>
    <t xml:space="preserve">SOMMAIRE — cliquez sur une section pour y acceder</t>
  </si>
  <si>
    <t xml:space="preserve">1. IDENTITE DE L'ONG</t>
  </si>
  <si>
    <t xml:space="preserve">fiche</t>
  </si>
  <si>
    <t xml:space="preserve">2. INFORMATIONS JURIDIQUES</t>
  </si>
  <si>
    <t xml:space="preserve">3. SIEGE ET LOCALISATION</t>
  </si>
  <si>
    <t xml:space="preserve">4. CONTACTS OFFICIELS</t>
  </si>
  <si>
    <t xml:space="preserve">tableau</t>
  </si>
  <si>
    <t xml:space="preserve">5. VISION</t>
  </si>
  <si>
    <t xml:space="preserve">zone de texte</t>
  </si>
  <si>
    <t xml:space="preserve">6. MISSION</t>
  </si>
  <si>
    <t xml:space="preserve">7. VALEURS</t>
  </si>
  <si>
    <t xml:space="preserve">8. OBJECTIFS STRATEGIQUES</t>
  </si>
  <si>
    <t xml:space="preserve">9. DOMAINES D'INTERVENTION</t>
  </si>
  <si>
    <t xml:space="preserve">10. ZONES D'INTERVENTION</t>
  </si>
  <si>
    <t xml:space="preserve">11. ORGANISATION INTERNE</t>
  </si>
  <si>
    <t xml:space="preserve">12. EFFECTIF GLOBAL</t>
  </si>
  <si>
    <t xml:space="preserve">indicateurs</t>
  </si>
  <si>
    <t xml:space="preserve">13. PARTENARIATS INSTITUTIONNELS</t>
  </si>
  <si>
    <t xml:space="preserve">15. DOCUMENTS OFFICIELS</t>
  </si>
  <si>
    <t xml:space="preserve">16. INFORMATIONS BANCAIRES</t>
  </si>
  <si>
    <t xml:space="preserve">17. MOYENS DE COMMUNICATION</t>
  </si>
  <si>
    <t xml:space="preserve">18. IDENTITE VISUELLE</t>
  </si>
  <si>
    <t xml:space="preserve">19. PERIODE STRATEGIQUE</t>
  </si>
  <si>
    <t xml:space="preserve">20. GOUVERNANCE - ORGANES</t>
  </si>
  <si>
    <t xml:space="preserve">21. REUNIONS ET GOUVERNANCE</t>
  </si>
  <si>
    <t xml:space="preserve">22. INDICATEURS INSTITUTIONNELS</t>
  </si>
  <si>
    <t xml:space="preserve">23. HISTORIQUE DES MODIFICATIONS</t>
  </si>
  <si>
    <t xml:space="preserve">Nom officiel de l'ONG</t>
  </si>
  <si>
    <t xml:space="preserve">O.N.G BK</t>
  </si>
  <si>
    <t xml:space="preserve">Sigle</t>
  </si>
  <si>
    <t xml:space="preserve">BK O.N.G</t>
  </si>
  <si>
    <t xml:space="preserve">Nom court</t>
  </si>
  <si>
    <t xml:space="preserve">BK</t>
  </si>
  <si>
    <t xml:space="preserve">Type d'organisation</t>
  </si>
  <si>
    <t xml:space="preserve">Statut juridique</t>
  </si>
  <si>
    <t xml:space="preserve">Date de creation</t>
  </si>
  <si>
    <t xml:space="preserve">Date de reconnaissance officielle</t>
  </si>
  <si>
    <t xml:space="preserve">Numero d'enregistrement</t>
  </si>
  <si>
    <t xml:space="preserve">Numero d'agrement</t>
  </si>
  <si>
    <t xml:space="preserve">Numero d'identification fiscale (si applicable)</t>
  </si>
  <si>
    <t xml:space="preserve">Pays d'enregistrement</t>
  </si>
  <si>
    <t xml:space="preserve">Annee de creation</t>
  </si>
  <si>
    <t xml:space="preserve">Devise / slogan</t>
  </si>
  <si>
    <t xml:space="preserve">Donnons la joie a la jeunesse</t>
  </si>
  <si>
    <t xml:space="preserve">Site internet</t>
  </si>
  <si>
    <t xml:space="preserve">Adresse e-mail officielle</t>
  </si>
  <si>
    <t xml:space="preserve">Telephone officiel</t>
  </si>
  <si>
    <t xml:space="preserve">Adresse physique</t>
  </si>
  <si>
    <t xml:space="preserve">Adresse postale</t>
  </si>
  <si>
    <t xml:space="preserve">Forme juridique</t>
  </si>
  <si>
    <t xml:space="preserve">Autorite ayant delivre l'agrement</t>
  </si>
  <si>
    <t xml:space="preserve">Date d'agrement</t>
  </si>
  <si>
    <t xml:space="preserve">Date d'expiration de l'agrement (si applicable)</t>
  </si>
  <si>
    <t xml:space="preserve">Reference du recepisse</t>
  </si>
  <si>
    <t xml:space="preserve">Date du recepisse</t>
  </si>
  <si>
    <t xml:space="preserve">Juridiction competente</t>
  </si>
  <si>
    <t xml:space="preserve">Document justificatif principal</t>
  </si>
  <si>
    <t xml:space="preserve">Localite de reference (PARAMETRES)</t>
  </si>
  <si>
    <t xml:space="preserve">Departement / Province</t>
  </si>
  <si>
    <t xml:space="preserve">District / Commune</t>
  </si>
  <si>
    <t xml:space="preserve">Adresse (rue / avenue)</t>
  </si>
  <si>
    <t xml:space="preserve">Boite postale</t>
  </si>
  <si>
    <t xml:space="preserve">Telephone</t>
  </si>
  <si>
    <t xml:space="preserve">E-mail</t>
  </si>
  <si>
    <t xml:space="preserve">Coordonnees GPS (si disponibles)</t>
  </si>
  <si>
    <t xml:space="preserve">Fonction</t>
  </si>
  <si>
    <t xml:space="preserve">Nom complet</t>
  </si>
  <si>
    <t xml:space="preserve">Email</t>
  </si>
  <si>
    <t xml:space="preserve">Responsable des programmes</t>
  </si>
  <si>
    <t xml:space="preserve">Responsable communication</t>
  </si>
  <si>
    <t xml:space="preserve">Responsable partenariats</t>
  </si>
  <si>
    <t xml:space="preserve">VAL01</t>
  </si>
  <si>
    <t xml:space="preserve">Integrite</t>
  </si>
  <si>
    <t xml:space="preserve">VAL02</t>
  </si>
  <si>
    <t xml:space="preserve">Solidarite</t>
  </si>
  <si>
    <t xml:space="preserve">VAL03</t>
  </si>
  <si>
    <t xml:space="preserve">Inclusion</t>
  </si>
  <si>
    <t xml:space="preserve">VAL04</t>
  </si>
  <si>
    <t xml:space="preserve">Responsabilite</t>
  </si>
  <si>
    <t xml:space="preserve">VAL05</t>
  </si>
  <si>
    <t xml:space="preserve">Innovation</t>
  </si>
  <si>
    <t xml:space="preserve">VAL06</t>
  </si>
  <si>
    <t xml:space="preserve">Transparence</t>
  </si>
  <si>
    <t xml:space="preserve">VAL07</t>
  </si>
  <si>
    <t xml:space="preserve">Equite</t>
  </si>
  <si>
    <t xml:space="preserve">VAL08</t>
  </si>
  <si>
    <t xml:space="preserve">Respect</t>
  </si>
  <si>
    <t xml:space="preserve">VAL09</t>
  </si>
  <si>
    <t xml:space="preserve">Engagement</t>
  </si>
  <si>
    <t xml:space="preserve">Objectif strategique</t>
  </si>
  <si>
    <t xml:space="preserve">OS01</t>
  </si>
  <si>
    <t xml:space="preserve">Exemple : Developper les competences des jeunes</t>
  </si>
  <si>
    <t xml:space="preserve">(ligne d'exemple - a remplacer/completer)</t>
  </si>
  <si>
    <t xml:space="preserve">2026-2030</t>
  </si>
  <si>
    <t xml:space="preserve">Domaine</t>
  </si>
  <si>
    <t xml:space="preserve">Prioritaire</t>
  </si>
  <si>
    <t xml:space="preserve">Localite (reference)</t>
  </si>
  <si>
    <t xml:space="preserve">Statut de la zone</t>
  </si>
  <si>
    <t xml:space="preserve">Annee de debut</t>
  </si>
  <si>
    <t xml:space="preserve">Quartier Bacongo Centre</t>
  </si>
  <si>
    <t xml:space="preserve">Structure</t>
  </si>
  <si>
    <t xml:space="preserve">Type</t>
  </si>
  <si>
    <t xml:space="preserve">Responsable</t>
  </si>
  <si>
    <t xml:space="preserve">Nombre total de collaborateurs</t>
  </si>
  <si>
    <t xml:space="preserve">RESSOURCES HUMAINES (a activer automatiquement des creation de la feuille)</t>
  </si>
  <si>
    <t xml:space="preserve">Hommes</t>
  </si>
  <si>
    <t xml:space="preserve">RESSOURCES HUMAINES</t>
  </si>
  <si>
    <t xml:space="preserve">Femmes</t>
  </si>
  <si>
    <t xml:space="preserve">Personnel permanent</t>
  </si>
  <si>
    <t xml:space="preserve">Personnel temporaire</t>
  </si>
  <si>
    <t xml:space="preserve">Volontaires</t>
  </si>
  <si>
    <t xml:space="preserve">Stagiaires</t>
  </si>
  <si>
    <t xml:space="preserve">Code partenaire</t>
  </si>
  <si>
    <t xml:space="preserve">Partenaire</t>
  </si>
  <si>
    <t xml:space="preserve">Annee debut</t>
  </si>
  <si>
    <t xml:space="preserve">PTS01</t>
  </si>
  <si>
    <t xml:space="preserve">PTS02</t>
  </si>
  <si>
    <t xml:space="preserve">PTS03</t>
  </si>
  <si>
    <t xml:space="preserve">PTS04</t>
  </si>
  <si>
    <t xml:space="preserve">PTS05</t>
  </si>
  <si>
    <t xml:space="preserve">Source</t>
  </si>
  <si>
    <t xml:space="preserve">Type de financement</t>
  </si>
  <si>
    <t xml:space="preserve">Document</t>
  </si>
  <si>
    <t xml:space="preserve">Reference</t>
  </si>
  <si>
    <t xml:space="preserve">Date</t>
  </si>
  <si>
    <t xml:space="preserve">Date d'expiration</t>
  </si>
  <si>
    <t xml:space="preserve">Emplacement</t>
  </si>
  <si>
    <t xml:space="preserve">DOC01</t>
  </si>
  <si>
    <t xml:space="preserve">DOC02</t>
  </si>
  <si>
    <t xml:space="preserve">DOC03</t>
  </si>
  <si>
    <t xml:space="preserve">DOC04</t>
  </si>
  <si>
    <t xml:space="preserve">Recepisse</t>
  </si>
  <si>
    <t xml:space="preserve">Agence</t>
  </si>
  <si>
    <t xml:space="preserve">Intitule du compte</t>
  </si>
  <si>
    <t xml:space="preserve">Numero de compte</t>
  </si>
  <si>
    <t xml:space="preserve">Devise</t>
  </si>
  <si>
    <t xml:space="preserve">Type de compte</t>
  </si>
  <si>
    <t xml:space="preserve">Compte principal</t>
  </si>
  <si>
    <t xml:space="preserve">Canal</t>
  </si>
  <si>
    <t xml:space="preserve">Valeur / Lien</t>
  </si>
  <si>
    <t xml:space="preserve">Actif / Inactif</t>
  </si>
  <si>
    <t xml:space="preserve">Site web</t>
  </si>
  <si>
    <t xml:space="preserve">E-mail general</t>
  </si>
  <si>
    <t xml:space="preserve">WhatsApp professionnel</t>
  </si>
  <si>
    <t xml:space="preserve">Facebook</t>
  </si>
  <si>
    <t xml:space="preserve">LinkedIn</t>
  </si>
  <si>
    <t xml:space="preserve">X / Twitter</t>
  </si>
  <si>
    <t xml:space="preserve">YouTube</t>
  </si>
  <si>
    <t xml:space="preserve">Autres reseaux sociaux</t>
  </si>
  <si>
    <t xml:space="preserve">Logo (emplacement reserve - a inserer par l'ONG)</t>
  </si>
  <si>
    <t xml:space="preserve">Couleur principale</t>
  </si>
  <si>
    <t xml:space="preserve">Couleur secondaire</t>
  </si>
  <si>
    <t xml:space="preserve">Slogan</t>
  </si>
  <si>
    <t xml:space="preserve">Police institutionnelle (si definie)</t>
  </si>
  <si>
    <t xml:space="preserve">Annee de debut du plan strategique</t>
  </si>
  <si>
    <t xml:space="preserve">Annee de fin du plan strategique</t>
  </si>
  <si>
    <t xml:space="preserve">Nom du plan strategique</t>
  </si>
  <si>
    <t xml:space="preserve">Statut du plan</t>
  </si>
  <si>
    <t xml:space="preserve">Date de derniere revision</t>
  </si>
  <si>
    <t xml:space="preserve">Organe</t>
  </si>
  <si>
    <t xml:space="preserve">Date de debut</t>
  </si>
  <si>
    <t xml:space="preserve">Date de fin</t>
  </si>
  <si>
    <t xml:space="preserve">GOV01</t>
  </si>
  <si>
    <t xml:space="preserve">Assemblee generale</t>
  </si>
  <si>
    <t xml:space="preserve">GOV02</t>
  </si>
  <si>
    <t xml:space="preserve">Conseil d'administration</t>
  </si>
  <si>
    <t xml:space="preserve">GOV03</t>
  </si>
  <si>
    <t xml:space="preserve">Bureau executif</t>
  </si>
  <si>
    <t xml:space="preserve">GOV04</t>
  </si>
  <si>
    <t xml:space="preserve">Direction executive</t>
  </si>
  <si>
    <t xml:space="preserve">GOV05</t>
  </si>
  <si>
    <t xml:space="preserve">Commissions</t>
  </si>
  <si>
    <t xml:space="preserve">GOV06</t>
  </si>
  <si>
    <t xml:space="preserve">Comites</t>
  </si>
  <si>
    <t xml:space="preserve">Type de reunion</t>
  </si>
  <si>
    <t xml:space="preserve">Frequence</t>
  </si>
  <si>
    <t xml:space="preserve">Derniere reunion</t>
  </si>
  <si>
    <t xml:space="preserve">Prochaine reunion</t>
  </si>
  <si>
    <t xml:space="preserve">Reunion d'equipe</t>
  </si>
  <si>
    <t xml:space="preserve">Nombre de projets</t>
  </si>
  <si>
    <t xml:space="preserve">PROJETS (a activer automatiquement)</t>
  </si>
  <si>
    <t xml:space="preserve">Nombre de beneficiaires</t>
  </si>
  <si>
    <t xml:space="preserve">BENEFICIAIRES (a activer automatiquement)</t>
  </si>
  <si>
    <t xml:space="preserve">Nombre de partenaires</t>
  </si>
  <si>
    <t xml:space="preserve">PARTENAIRES (a activer automatiquement)</t>
  </si>
  <si>
    <t xml:space="preserve">Nombre de donateurs</t>
  </si>
  <si>
    <t xml:space="preserve">DONATEURS (a activer automatiquement)</t>
  </si>
  <si>
    <t xml:space="preserve">Nombre de zones d'intervention</t>
  </si>
  <si>
    <t xml:space="preserve">Section Zones d'intervention (ci-dessus) / SUIVI-EVALUATION</t>
  </si>
  <si>
    <t xml:space="preserve">Budget annuel (FCFA)</t>
  </si>
  <si>
    <t xml:space="preserve">BUDGET (a activer automatiquement)</t>
  </si>
  <si>
    <t xml:space="preserve">Financements mobilises (FCFA)</t>
  </si>
  <si>
    <t xml:space="preserve">RECETTES / FINANCEMENTS (a activer automatiquement)</t>
  </si>
  <si>
    <t xml:space="preserve">Nombre d'activites realisees</t>
  </si>
  <si>
    <t xml:space="preserve">ACTIVITES (a activer automatiquement)</t>
  </si>
  <si>
    <t xml:space="preserve">Information modifiee</t>
  </si>
  <si>
    <t xml:space="preserve">Ancienne valeur</t>
  </si>
  <si>
    <t xml:space="preserve">Nouvelle valeur</t>
  </si>
  <si>
    <t xml:space="preserve">Auteur de la modification</t>
  </si>
  <si>
    <t xml:space="preserve">Observation</t>
  </si>
  <si>
    <t xml:space="preserve">(exemple)</t>
  </si>
  <si>
    <t xml:space="preserve">Numero de telephone officiel</t>
  </si>
  <si>
    <t xml:space="preserve">-</t>
  </si>
  <si>
    <t xml:space="preserve">Administrateur</t>
  </si>
  <si>
    <t xml:space="preserve">Ligne d'exemple - a adapter ou supprimer</t>
  </si>
  <si>
    <t xml:space="preserve">← Retour a PARAMETRES</t>
  </si>
  <si>
    <t xml:space="preserve">🏠 TABLEAU DE BORD (lien actif des la creation de cette feuille)</t>
  </si>
  <si>
    <t xml:space="preserve">O.N.G BK  —  BASE DE DONNEES DES BENEFICIAIRES</t>
  </si>
  <si>
    <t xml:space="preserve">-&gt; ONG</t>
  </si>
  <si>
    <t xml:space="preserve">Derniere mise a jour :</t>
  </si>
  <si>
    <t xml:space="preserve">Nombre total de beneficiaires :</t>
  </si>
  <si>
    <t xml:space="preserve">-&gt; PARAMETRES</t>
  </si>
  <si>
    <t xml:space="preserve">LEGENDE : texte bleu = champ a completer manuellement | texte vert italique = donnee calculee automatiquement | ne pas modifier les colonnes calculees.</t>
  </si>
  <si>
    <t xml:space="preserve">SYNTHESE GENERALE (calcul automatique)</t>
  </si>
  <si>
    <t xml:space="preserve">Total beneficiaires</t>
  </si>
  <si>
    <t xml:space="preserve">Autres / non precise</t>
  </si>
  <si>
    <t xml:space="preserve">Enfants (0-17 ans)</t>
  </si>
  <si>
    <t xml:space="preserve">Jeunes (18-24 ans)</t>
  </si>
  <si>
    <t xml:space="preserve">Adultes (25-64 ans)</t>
  </si>
  <si>
    <t xml:space="preserve">Personnes agees (65+)</t>
  </si>
  <si>
    <t xml:space="preserve">Personnes handicap</t>
  </si>
  <si>
    <t xml:space="preserve">Menages distincts</t>
  </si>
  <si>
    <t xml:space="preserve">Actifs</t>
  </si>
  <si>
    <t xml:space="preserve">Sortis du programme</t>
  </si>
  <si>
    <t xml:space="preserve">Année sélectionnée</t>
  </si>
  <si>
    <t xml:space="preserve">ANALYSES AUTOMATIQUES (alimentent le futur TABLEAU DE BORD)</t>
  </si>
  <si>
    <t xml:space="preserve">Domaine d'intervention</t>
  </si>
  <si>
    <t xml:space="preserve">Nb beneficiaires</t>
  </si>
  <si>
    <t xml:space="preserve">Projet (nom)</t>
  </si>
  <si>
    <t xml:space="preserve">-&gt; saisir un nom de projet par ligne ci-dessus ; a connecter automatiquement des la creation de la feuille PROJETS.</t>
  </si>
  <si>
    <t xml:space="preserve">TABLEAU PRINCIPAL — LISTE DES BENEFICIAIRES</t>
  </si>
  <si>
    <t xml:space="preserve">ID Beneficiaire</t>
  </si>
  <si>
    <t xml:space="preserve">Type de beneficiaire</t>
  </si>
  <si>
    <t xml:space="preserve">Categorie beneficiaire</t>
  </si>
  <si>
    <t xml:space="preserve">Nom</t>
  </si>
  <si>
    <t xml:space="preserve">Postnom</t>
  </si>
  <si>
    <t xml:space="preserve">Prenom</t>
  </si>
  <si>
    <t xml:space="preserve">Sexe</t>
  </si>
  <si>
    <t xml:space="preserve">Date de naissance</t>
  </si>
  <si>
    <t xml:space="preserve">Age</t>
  </si>
  <si>
    <t xml:space="preserve">Tranche d'age</t>
  </si>
  <si>
    <t xml:space="preserve">Situation matrimoniale</t>
  </si>
  <si>
    <t xml:space="preserve">Nationalite</t>
  </si>
  <si>
    <t xml:space="preserve">ID menage</t>
  </si>
  <si>
    <t xml:space="preserve">Nom du menage</t>
  </si>
  <si>
    <t xml:space="preserve">Taille du menage</t>
  </si>
  <si>
    <t xml:space="preserve">Responsable du menage</t>
  </si>
  <si>
    <t xml:space="preserve">Nb hommes menage</t>
  </si>
  <si>
    <t xml:space="preserve">Nb femmes menage</t>
  </si>
  <si>
    <t xml:space="preserve">Nb enfants menage</t>
  </si>
  <si>
    <t xml:space="preserve">Nb pers. vulnerables menage</t>
  </si>
  <si>
    <t xml:space="preserve">Handicap</t>
  </si>
  <si>
    <t xml:space="preserve">Enfant vulnerable</t>
  </si>
  <si>
    <t xml:space="preserve">Pers. agee vulnerable</t>
  </si>
  <si>
    <t xml:space="preserve">Femme vulnerable</t>
  </si>
  <si>
    <t xml:space="preserve">Menage vulnerable</t>
  </si>
  <si>
    <t xml:space="preserve">Personne deplacee</t>
  </si>
  <si>
    <t xml:space="preserve">Autre vulnerabilite</t>
  </si>
  <si>
    <t xml:space="preserve">Niveau instruction</t>
  </si>
  <si>
    <t xml:space="preserve">Situation professionnelle</t>
  </si>
  <si>
    <t xml:space="preserve">Profession</t>
  </si>
  <si>
    <t xml:space="preserve">Secteur d'activite</t>
  </si>
  <si>
    <t xml:space="preserve">Statut professionnel</t>
  </si>
  <si>
    <t xml:space="preserve">Niveau de revenu</t>
  </si>
  <si>
    <t xml:space="preserve">Activite generatrice revenus</t>
  </si>
  <si>
    <t xml:space="preserve">Statut entrepreneurial</t>
  </si>
  <si>
    <t xml:space="preserve">Situation economique</t>
  </si>
  <si>
    <t xml:space="preserve">Quartier/Village</t>
  </si>
  <si>
    <t xml:space="preserve">Adresse / zone</t>
  </si>
  <si>
    <t xml:space="preserve">Zone d'intervention</t>
  </si>
  <si>
    <t xml:space="preserve">Telephone principal</t>
  </si>
  <si>
    <t xml:space="preserve">Telephone secondaire</t>
  </si>
  <si>
    <t xml:space="preserve">Contact urgence (nom)</t>
  </si>
  <si>
    <t xml:space="preserve">Telephone contact urgence</t>
  </si>
  <si>
    <t xml:space="preserve">ID projet</t>
  </si>
  <si>
    <t xml:space="preserve">Nom du projet</t>
  </si>
  <si>
    <t xml:space="preserve">Date integration projet</t>
  </si>
  <si>
    <t xml:space="preserve">Statut ds le projet</t>
  </si>
  <si>
    <t xml:space="preserve">Statut du beneficiaire</t>
  </si>
  <si>
    <t xml:space="preserve">Date d'inscription</t>
  </si>
  <si>
    <t xml:space="preserve">Date de sortie</t>
  </si>
  <si>
    <t xml:space="preserve">Motif de sortie</t>
  </si>
  <si>
    <t xml:space="preserve">Consentement obtenu</t>
  </si>
  <si>
    <t xml:space="preserve">Autorisation usage donnees</t>
  </si>
  <si>
    <t xml:space="preserve">Autorisation photo</t>
  </si>
  <si>
    <t xml:space="preserve">Autorisation communication</t>
  </si>
  <si>
    <t xml:space="preserve">Source information</t>
  </si>
  <si>
    <t xml:space="preserve">Date de collecte</t>
  </si>
  <si>
    <t xml:space="preserve">ID agent</t>
  </si>
  <si>
    <t xml:space="preserve">Nom de l'agent</t>
  </si>
  <si>
    <t xml:space="preserve">Fonction agent</t>
  </si>
  <si>
    <t xml:space="preserve">Methode de collecte</t>
  </si>
  <si>
    <t xml:space="preserve">Type de document</t>
  </si>
  <si>
    <t xml:space="preserve">N° / reference document</t>
  </si>
  <si>
    <t xml:space="preserve">Document verifie</t>
  </si>
  <si>
    <t xml:space="preserve">Date de verification</t>
  </si>
  <si>
    <t xml:space="preserve">Anciennete (annees)</t>
  </si>
  <si>
    <t xml:space="preserve">Nb activites suivies</t>
  </si>
  <si>
    <t xml:space="preserve">Nb appuis recus</t>
  </si>
  <si>
    <t xml:space="preserve">Alerte doublon</t>
  </si>
  <si>
    <t xml:space="preserve">Observations</t>
  </si>
  <si>
    <t xml:space="preserve">Individu</t>
  </si>
  <si>
    <t xml:space="preserve">MABIALA</t>
  </si>
  <si>
    <t xml:space="preserve">Nzoussi</t>
  </si>
  <si>
    <t xml:space="preserve">Christel</t>
  </si>
  <si>
    <t xml:space="preserve">Celibataire</t>
  </si>
  <si>
    <t xml:space="preserve">PROJ0001</t>
  </si>
  <si>
    <t xml:space="preserve">Projet d'appui a l'insertion professionnelle des jeunes</t>
  </si>
  <si>
    <t xml:space="preserve">PARTICIPATIONS AUX ACTIVITES (une ligne par participation — un beneficiaire peut en avoir plusieurs)</t>
  </si>
  <si>
    <t xml:space="preserve">ID Participation</t>
  </si>
  <si>
    <t xml:space="preserve">ID activite</t>
  </si>
  <si>
    <t xml:space="preserve">Activite</t>
  </si>
  <si>
    <t xml:space="preserve">Type d'activite</t>
  </si>
  <si>
    <t xml:space="preserve">Date participation</t>
  </si>
  <si>
    <t xml:space="preserve">Presence</t>
  </si>
  <si>
    <t xml:space="preserve">Resultat</t>
  </si>
  <si>
    <t xml:space="preserve">APPUIS / SERVICES RECUS (une ligne par appui — un beneficiaire peut en avoir plusieurs)</t>
  </si>
  <si>
    <t xml:space="preserve">ID Appui</t>
  </si>
  <si>
    <t xml:space="preserve">Type d'appui</t>
  </si>
  <si>
    <t xml:space="preserve">Quantite</t>
  </si>
  <si>
    <t xml:space="preserve">Valeur estimee</t>
  </si>
  <si>
    <t xml:space="preserve">Note : les liens vers PROJETS, ACTIVITES, SUIVI-EVALUATION et RAPPORTS seront ajoutes automatiquement des que ces feuilles seront creees, afin de ne jamais generer de lien casse.</t>
  </si>
  <si>
    <t xml:space="preserve">O.N.G BK  —  GESTION DES PROJETS</t>
  </si>
  <si>
    <t xml:space="preserve">-&gt; BENEFICIAIRES</t>
  </si>
  <si>
    <t xml:space="preserve">Derniere mise a jour : voir cellule ci-dessous  —  Cette feuille alimentera ACTIVITES, PARTENAIRES, DONATEURS, BUDGET, RECETTES/FINANCEMENTS, DEPENSES, RH, SUIVI-EVALUATION, RAPPORTS et TABLEAU DE BORD.</t>
  </si>
  <si>
    <t xml:space="preserve">SYNTHESE GENERALE DES PROJETS (calcul automatique)</t>
  </si>
  <si>
    <t xml:space="preserve">Total projets</t>
  </si>
  <si>
    <t xml:space="preserve">Approuves</t>
  </si>
  <si>
    <t xml:space="preserve">Termines</t>
  </si>
  <si>
    <t xml:space="preserve">Suspendus</t>
  </si>
  <si>
    <t xml:space="preserve">Budget total approuve (FCFA)</t>
  </si>
  <si>
    <t xml:space="preserve">Financements recus (FCFA)</t>
  </si>
  <si>
    <t xml:space="preserve">Avancement moyen (%)</t>
  </si>
  <si>
    <t xml:space="preserve">ANALYSES AUTOMATIQUES</t>
  </si>
  <si>
    <t xml:space="preserve">Statut du projet</t>
  </si>
  <si>
    <t xml:space="preserve">Nb projets</t>
  </si>
  <si>
    <t xml:space="preserve">TABLEAU PRINCIPAL — LISTE DES PROJETS</t>
  </si>
  <si>
    <t xml:space="preserve">ID Projet</t>
  </si>
  <si>
    <t xml:space="preserve">Code interne</t>
  </si>
  <si>
    <t xml:space="preserve">Titre complet du projet</t>
  </si>
  <si>
    <t xml:space="preserve">Acronyme</t>
  </si>
  <si>
    <t xml:space="preserve">Resume</t>
  </si>
  <si>
    <t xml:space="preserve">Contexte</t>
  </si>
  <si>
    <t xml:space="preserve">Probleme identifie</t>
  </si>
  <si>
    <t xml:space="preserve">Justification</t>
  </si>
  <si>
    <t xml:space="preserve">Description intervention</t>
  </si>
  <si>
    <t xml:space="preserve">Type de projet</t>
  </si>
  <si>
    <t xml:space="preserve">Objectif general</t>
  </si>
  <si>
    <t xml:space="preserve">ID responsable</t>
  </si>
  <si>
    <t xml:space="preserve">Nom du responsable</t>
  </si>
  <si>
    <t xml:space="preserve">Fonction responsable</t>
  </si>
  <si>
    <t xml:space="preserve">Telephone responsable</t>
  </si>
  <si>
    <t xml:space="preserve">Email responsable</t>
  </si>
  <si>
    <t xml:space="preserve">Zone specifique</t>
  </si>
  <si>
    <t xml:space="preserve">Date debut prevue</t>
  </si>
  <si>
    <t xml:space="preserve">Date debut reelle</t>
  </si>
  <si>
    <t xml:space="preserve">Date fin prevue</t>
  </si>
  <si>
    <t xml:space="preserve">Date fin reelle</t>
  </si>
  <si>
    <t xml:space="preserve">Duree prevue (j)</t>
  </si>
  <si>
    <t xml:space="preserve">Duree reelle (j)</t>
  </si>
  <si>
    <t xml:space="preserve">Niveau de priorite</t>
  </si>
  <si>
    <t xml:space="preserve">Budget demande (FCFA)</t>
  </si>
  <si>
    <t xml:space="preserve">Budget approuve (FCFA)</t>
  </si>
  <si>
    <t xml:space="preserve">Financement recu (FCFA)</t>
  </si>
  <si>
    <t xml:space="preserve">Depenses realisees (FCFA)</t>
  </si>
  <si>
    <t xml:space="preserve">Budget disponible (FCFA)</t>
  </si>
  <si>
    <t xml:space="preserve">Solde (FCFA)</t>
  </si>
  <si>
    <t xml:space="preserve">Taux execution budgetaire</t>
  </si>
  <si>
    <t xml:space="preserve">Nb beneficiaires prevu</t>
  </si>
  <si>
    <t xml:space="preserve">Nb femmes prevu</t>
  </si>
  <si>
    <t xml:space="preserve">Nb hommes prevu</t>
  </si>
  <si>
    <t xml:space="preserve">Nb jeunes prevu</t>
  </si>
  <si>
    <t xml:space="preserve">Nb enfants prevu</t>
  </si>
  <si>
    <t xml:space="preserve">Nb menages prevu</t>
  </si>
  <si>
    <t xml:space="preserve">Nb beneficiaires reels</t>
  </si>
  <si>
    <t xml:space="preserve">Nb femmes reelles</t>
  </si>
  <si>
    <t xml:space="preserve">Nb hommes reels</t>
  </si>
  <si>
    <t xml:space="preserve">Nb pers. vulnerables reelles</t>
  </si>
  <si>
    <t xml:space="preserve">Nb pers. handicap reelles</t>
  </si>
  <si>
    <t xml:space="preserve">Nb activites total</t>
  </si>
  <si>
    <t xml:space="preserve">Activites planifiees</t>
  </si>
  <si>
    <t xml:space="preserve">Activites en cours</t>
  </si>
  <si>
    <t xml:space="preserve">Activites realisees</t>
  </si>
  <si>
    <t xml:space="preserve">Activites annulees</t>
  </si>
  <si>
    <t xml:space="preserve">Taux realisation activites</t>
  </si>
  <si>
    <t xml:space="preserve">Taux d'avancement (%)</t>
  </si>
  <si>
    <t xml:space="preserve">Projet en retard</t>
  </si>
  <si>
    <t xml:space="preserve">Echeance proche (&lt;30j)</t>
  </si>
  <si>
    <t xml:space="preserve">Budget en depassement</t>
  </si>
  <si>
    <t xml:space="preserve">Financement insuffisant</t>
  </si>
  <si>
    <t xml:space="preserve">BK-EDU-2024-01</t>
  </si>
  <si>
    <t xml:space="preserve">PAIJ</t>
  </si>
  <si>
    <t xml:space="preserve">Formation professionnelle et accompagnement de 100 jeunes vers l'emploi.</t>
  </si>
  <si>
    <t xml:space="preserve">Ameliorer l'insertion professionnelle des jeunes de Brazzaville.</t>
  </si>
  <si>
    <t xml:space="preserve">Jean MABIALA</t>
  </si>
  <si>
    <t xml:space="preserve">Coordinateur de projet</t>
  </si>
  <si>
    <t xml:space="preserve">OBJECTIFS SPECIFIQUES PAR PROJET</t>
  </si>
  <si>
    <t xml:space="preserve">Code objectif</t>
  </si>
  <si>
    <t xml:space="preserve">Objectif specifique</t>
  </si>
  <si>
    <t xml:space="preserve">Indicateur associe</t>
  </si>
  <si>
    <t xml:space="preserve">Valeur cible</t>
  </si>
  <si>
    <t xml:space="preserve">Echeance</t>
  </si>
  <si>
    <t xml:space="preserve">RESULTATS ATTENDUS PAR PROJET</t>
  </si>
  <si>
    <t xml:space="preserve">Code resultat</t>
  </si>
  <si>
    <t xml:space="preserve">Resultat attendu</t>
  </si>
  <si>
    <t xml:space="preserve">Indicateur</t>
  </si>
  <si>
    <t xml:space="preserve">Situation reference</t>
  </si>
  <si>
    <t xml:space="preserve">Cible</t>
  </si>
  <si>
    <t xml:space="preserve">Realisation</t>
  </si>
  <si>
    <t xml:space="preserve">Taux atteinte</t>
  </si>
  <si>
    <t xml:space="preserve">EQUIPE DU PROJET</t>
  </si>
  <si>
    <t xml:space="preserve">ID employe</t>
  </si>
  <si>
    <t xml:space="preserve">Role dans le projet</t>
  </si>
  <si>
    <t xml:space="preserve">Date d'affectation</t>
  </si>
  <si>
    <t xml:space="preserve">PARTENAIRES DU PROJET</t>
  </si>
  <si>
    <t xml:space="preserve">ID partenaire</t>
  </si>
  <si>
    <t xml:space="preserve">Nom du partenaire</t>
  </si>
  <si>
    <t xml:space="preserve">Type de partenaire</t>
  </si>
  <si>
    <t xml:space="preserve">Role</t>
  </si>
  <si>
    <t xml:space="preserve">FINANCEMENTS / DONATEURS DU PROJET</t>
  </si>
  <si>
    <t xml:space="preserve">ID donateur</t>
  </si>
  <si>
    <t xml:space="preserve">Nom donateur</t>
  </si>
  <si>
    <t xml:space="preserve">Type donateur</t>
  </si>
  <si>
    <t xml:space="preserve">Source de financement</t>
  </si>
  <si>
    <t xml:space="preserve">Montant demande</t>
  </si>
  <si>
    <t xml:space="preserve">Montant accorde</t>
  </si>
  <si>
    <t xml:space="preserve">Montant recu</t>
  </si>
  <si>
    <t xml:space="preserve">Date de reception</t>
  </si>
  <si>
    <t xml:space="preserve">Fondation XYZ</t>
  </si>
  <si>
    <t xml:space="preserve">Fonds propres</t>
  </si>
  <si>
    <t xml:space="preserve">FCFA</t>
  </si>
  <si>
    <t xml:space="preserve">ZONES D'INTERVENTION DU PROJET (multi-localites)</t>
  </si>
  <si>
    <t xml:space="preserve">CALENDRIER / ETAPES DU PROJET</t>
  </si>
  <si>
    <t xml:space="preserve">Etape</t>
  </si>
  <si>
    <t xml:space="preserve">Date prevue</t>
  </si>
  <si>
    <t xml:space="preserve">Date reelle</t>
  </si>
  <si>
    <t xml:space="preserve">% realisation</t>
  </si>
  <si>
    <t xml:space="preserve">RISQUES DU PROJET</t>
  </si>
  <si>
    <t xml:space="preserve">ID risque</t>
  </si>
  <si>
    <t xml:space="preserve">Risque principal</t>
  </si>
  <si>
    <t xml:space="preserve">Niveau de risque</t>
  </si>
  <si>
    <t xml:space="preserve">Probabilite</t>
  </si>
  <si>
    <t xml:space="preserve">Impact</t>
  </si>
  <si>
    <t xml:space="preserve">Mesure d'attenuation</t>
  </si>
  <si>
    <t xml:space="preserve">INDICATEURS DU PROJET</t>
  </si>
  <si>
    <t xml:space="preserve">Code indicateur</t>
  </si>
  <si>
    <t xml:space="preserve">% atteinte</t>
  </si>
  <si>
    <t xml:space="preserve">DOCUMENTS DU PROJET</t>
  </si>
  <si>
    <t xml:space="preserve">Emplacement / lien</t>
  </si>
  <si>
    <t xml:space="preserve">O.N.G BK  —  PLANIFICATION ET SUIVI DES ACTIVITES</t>
  </si>
  <si>
    <t xml:space="preserve">-&gt; PROJETS</t>
  </si>
  <si>
    <t xml:space="preserve">Derniere mise a jour : voir cellule ci-dessous  —  Cette feuille alimente PROJETS, BENEFICIAIRES, BUDGET, RECETTES/FINANCEMENTS, DEPENSES, RESSOURCES HUMAINES, SUIVI-EVALUATION, RAPPORTS et TABLEAU DE BORD.</t>
  </si>
  <si>
    <t xml:space="preserve">SYNTHESE GENERALE DES ACTIVITES (calcul automatique)</t>
  </si>
  <si>
    <t xml:space="preserve">Total activites</t>
  </si>
  <si>
    <t xml:space="preserve">Planifiees</t>
  </si>
  <si>
    <t xml:space="preserve">Realisees</t>
  </si>
  <si>
    <t xml:space="preserve">Reportees</t>
  </si>
  <si>
    <t xml:space="preserve">Annulees</t>
  </si>
  <si>
    <t xml:space="preserve">Taux global de realisation</t>
  </si>
  <si>
    <t xml:space="preserve">Nb projets concernes</t>
  </si>
  <si>
    <t xml:space="preserve">Statut de l'activite</t>
  </si>
  <si>
    <t xml:space="preserve">Nb activites</t>
  </si>
  <si>
    <t xml:space="preserve">TABLEAU PRINCIPAL — LISTE DES ACTIVITES</t>
  </si>
  <si>
    <t xml:space="preserve">ID Activite</t>
  </si>
  <si>
    <t xml:space="preserve">Domaine d'intervention (projet)</t>
  </si>
  <si>
    <t xml:space="preserve">Responsable du projet</t>
  </si>
  <si>
    <t xml:space="preserve">Intitule de l'activite</t>
  </si>
  <si>
    <t xml:space="preserve">Objectif de l'activite</t>
  </si>
  <si>
    <t xml:space="preserve">Domaine d'intervention (activite)</t>
  </si>
  <si>
    <t xml:space="preserve">Heure debut prevue</t>
  </si>
  <si>
    <t xml:space="preserve">Heure fin prevue</t>
  </si>
  <si>
    <t xml:space="preserve">Duree prevue (h)</t>
  </si>
  <si>
    <t xml:space="preserve">Heure reelle debut</t>
  </si>
  <si>
    <t xml:space="preserve">Heure reelle fin</t>
  </si>
  <si>
    <t xml:space="preserve">Duree reelle (h)</t>
  </si>
  <si>
    <t xml:space="preserve">Activite realisee</t>
  </si>
  <si>
    <t xml:space="preserve">Niveau de realisation (%)</t>
  </si>
  <si>
    <t xml:space="preserve">Ecart (jours)</t>
  </si>
  <si>
    <t xml:space="preserve">Activite en retard</t>
  </si>
  <si>
    <t xml:space="preserve">Nom responsable</t>
  </si>
  <si>
    <t xml:space="preserve">Site exact / Adresse</t>
  </si>
  <si>
    <t xml:space="preserve">Coordonnees GPS</t>
  </si>
  <si>
    <t xml:space="preserve">Hommes prevus</t>
  </si>
  <si>
    <t xml:space="preserve">Femmes prevues</t>
  </si>
  <si>
    <t xml:space="preserve">Enfants prevus</t>
  </si>
  <si>
    <t xml:space="preserve">Jeunes prevus</t>
  </si>
  <si>
    <t xml:space="preserve">Adultes prevus</t>
  </si>
  <si>
    <t xml:space="preserve">Personnes vulnerables prevues</t>
  </si>
  <si>
    <t xml:space="preserve">Nb participants reels</t>
  </si>
  <si>
    <t xml:space="preserve">Hommes reels</t>
  </si>
  <si>
    <t xml:space="preserve">Femmes reelles</t>
  </si>
  <si>
    <t xml:space="preserve">Personnes vulnerables reelles</t>
  </si>
  <si>
    <t xml:space="preserve">Presence enregistree</t>
  </si>
  <si>
    <t xml:space="preserve">Liste de presence disponible</t>
  </si>
  <si>
    <t xml:space="preserve">Reference document presence</t>
  </si>
  <si>
    <t xml:space="preserve">Budget prevu (FCFA)</t>
  </si>
  <si>
    <t xml:space="preserve">Depense reelle (FCFA)</t>
  </si>
  <si>
    <t xml:space="preserve">Taux d'execution budgetaire</t>
  </si>
  <si>
    <t xml:space="preserve">ID financement</t>
  </si>
  <si>
    <t xml:space="preserve">Montant prevu financement (FCFA)</t>
  </si>
  <si>
    <t xml:space="preserve">Montant recu financement (FCFA)</t>
  </si>
  <si>
    <t xml:space="preserve">Statut financement</t>
  </si>
  <si>
    <t xml:space="preserve">Ressources necessaires</t>
  </si>
  <si>
    <t xml:space="preserve">Prestataire / Fournisseur</t>
  </si>
  <si>
    <t xml:space="preserve">Type de prestation</t>
  </si>
  <si>
    <t xml:space="preserve">Reference contrat</t>
  </si>
  <si>
    <t xml:space="preserve">Montant prestation (FCFA)</t>
  </si>
  <si>
    <t xml:space="preserve">Statut prestation</t>
  </si>
  <si>
    <t xml:space="preserve">Resultat obtenu</t>
  </si>
  <si>
    <t xml:space="preserve">Difficultes rencontrees</t>
  </si>
  <si>
    <t xml:space="preserve">Solutions apportees</t>
  </si>
  <si>
    <t xml:space="preserve">Ecart participants (reel-prevu)</t>
  </si>
  <si>
    <t xml:space="preserve">Ecart budgetaire (FCFA)</t>
  </si>
  <si>
    <t xml:space="preserve">Communication realisee</t>
  </si>
  <si>
    <t xml:space="preserve">Photos disponibles</t>
  </si>
  <si>
    <t xml:space="preserve">Video disponible</t>
  </si>
  <si>
    <t xml:space="preserve">Publication realisee</t>
  </si>
  <si>
    <t xml:space="preserve">Support utilise</t>
  </si>
  <si>
    <t xml:space="preserve">Lien support</t>
  </si>
  <si>
    <t xml:space="preserve">Activite evaluee</t>
  </si>
  <si>
    <t xml:space="preserve">Date evaluation</t>
  </si>
  <si>
    <t xml:space="preserve">Evaluateur</t>
  </si>
  <si>
    <t xml:space="preserve">Satisfaction (1-5)</t>
  </si>
  <si>
    <t xml:space="preserve">Lecons apprises</t>
  </si>
  <si>
    <t xml:space="preserve">Recommandations</t>
  </si>
  <si>
    <t xml:space="preserve">Nb documents justificatifs</t>
  </si>
  <si>
    <t xml:space="preserve">Nb risques/incidents</t>
  </si>
  <si>
    <t xml:space="preserve">VBG</t>
  </si>
  <si>
    <t xml:space="preserve">7h00</t>
  </si>
  <si>
    <t xml:space="preserve">EQUIPE MOBILISEE PAR ACTIVITE</t>
  </si>
  <si>
    <t xml:space="preserve">Role dans l'activite</t>
  </si>
  <si>
    <t xml:space="preserve">INDICATEURS DE L'ACTIVITE</t>
  </si>
  <si>
    <t xml:space="preserve">RISQUES ET INCIDENTS DE L'ACTIVITE</t>
  </si>
  <si>
    <t xml:space="preserve">Risque/incident</t>
  </si>
  <si>
    <t xml:space="preserve">Niveau</t>
  </si>
  <si>
    <t xml:space="preserve">Mesure prise</t>
  </si>
  <si>
    <t xml:space="preserve">DOCUMENTS JUSTIFICATIFS DE L'ACTIVITE</t>
  </si>
  <si>
    <t xml:space="preserve">ANALYSE DES ACTIVITES PAR PROJET</t>
  </si>
  <si>
    <t xml:space="preserve">Activites prevues</t>
  </si>
  <si>
    <t xml:space="preserve">Taux de realisation</t>
  </si>
  <si>
    <t xml:space="preserve">ANALYSE DES ACTIVITES PAR DOMAINE</t>
  </si>
  <si>
    <t xml:space="preserve">Taux</t>
  </si>
  <si>
    <t xml:space="preserve">Note : la feuille ACTIVITES est interconnectee avec PARAMETRES (referentiels), PROJETS (rattachement), BENEFICIAIRES (participation via tbl_Beneficiaires_Activites), et alimentera RESSOURCES HUMAINES, BUDGET, RECETTES/FINANCEMENTS, DEPENSES, SUIVI-EVALUATION, RAPPORTS et TABLEAU DE BORD des leur creation. La prochaine feuille sera PARTENAIRES.</t>
  </si>
  <si>
    <t xml:space="preserve">O.N.G BK  —  GESTION DES PARTENAIRES</t>
  </si>
  <si>
    <t xml:space="preserve">-&gt; ACTIVITES</t>
  </si>
  <si>
    <t xml:space="preserve">Derniere mise a jour : voir cellule ci-dessous  —  Cette feuille alimente PROJETS, ACTIVITES, DONATEURS, RECETTES/FINANCEMENTS, DEPENSES, RESSOURCES HUMAINES, SUIVI-EVALUATION, RAPPORTS et TABLEAU DE BORD.</t>
  </si>
  <si>
    <t xml:space="preserve">LEGENDE : texte bleu = champ a completer manuellement | texte vert italique = donnee calculee automatiquement | ne pas modifier les colonnes calculees | cellule grisee = calcul automatique.</t>
  </si>
  <si>
    <t xml:space="preserve">SYNTHESE GENERALE DES PARTENAIRES (calcul automatique)</t>
  </si>
  <si>
    <t xml:space="preserve">Total partenaires</t>
  </si>
  <si>
    <t xml:space="preserve">Prospects</t>
  </si>
  <si>
    <t xml:space="preserve">Inactifs</t>
  </si>
  <si>
    <t xml:space="preserve">Techniques</t>
  </si>
  <si>
    <t xml:space="preserve">Financiers</t>
  </si>
  <si>
    <t xml:space="preserve">Institutionnels</t>
  </si>
  <si>
    <t xml:space="preserve">Conventions actives</t>
  </si>
  <si>
    <t xml:space="preserve">Conventions a renouveler (&lt;=60j)</t>
  </si>
  <si>
    <t xml:space="preserve">Statut du partenaire</t>
  </si>
  <si>
    <t xml:space="preserve">Nb partenaires</t>
  </si>
  <si>
    <t xml:space="preserve">Domaine de collaboration</t>
  </si>
  <si>
    <t xml:space="preserve">Prospect</t>
  </si>
  <si>
    <t xml:space="preserve">En discussion</t>
  </si>
  <si>
    <t xml:space="preserve">En partenariat</t>
  </si>
  <si>
    <t xml:space="preserve">A renouveler</t>
  </si>
  <si>
    <t xml:space="preserve">TABLEAU PRINCIPAL — LISTE DES PARTENAIRES</t>
  </si>
  <si>
    <t xml:space="preserve">ID Partenaire</t>
  </si>
  <si>
    <t xml:space="preserve">Nom officiel</t>
  </si>
  <si>
    <t xml:space="preserve">Categorie de partenariat</t>
  </si>
  <si>
    <t xml:space="preserve">Pays d'origine</t>
  </si>
  <si>
    <t xml:space="preserve">Localite (siege)</t>
  </si>
  <si>
    <t xml:space="preserve">Pays (siege)</t>
  </si>
  <si>
    <t xml:space="preserve">Departement (siege)</t>
  </si>
  <si>
    <t xml:space="preserve">Commune/District (siege)</t>
  </si>
  <si>
    <t xml:space="preserve">Arrondissement (siege)</t>
  </si>
  <si>
    <t xml:space="preserve">Adresse / site exact (siege)</t>
  </si>
  <si>
    <t xml:space="preserve">Email general</t>
  </si>
  <si>
    <t xml:space="preserve">Nom contact principal</t>
  </si>
  <si>
    <t xml:space="preserve">Prenom contact principal</t>
  </si>
  <si>
    <t xml:space="preserve">Fonction contact principal</t>
  </si>
  <si>
    <t xml:space="preserve">Telephone contact principal</t>
  </si>
  <si>
    <t xml:space="preserve">Email contact principal</t>
  </si>
  <si>
    <t xml:space="preserve">WhatsApp contact principal</t>
  </si>
  <si>
    <t xml:space="preserve">Date debut fonction contact</t>
  </si>
  <si>
    <t xml:space="preserve">Statut contact principal</t>
  </si>
  <si>
    <t xml:space="preserve">Domaine de collaboration principal</t>
  </si>
  <si>
    <t xml:space="preserve">Domaine de collaboration secondaire</t>
  </si>
  <si>
    <t xml:space="preserve">Localite d'intervention</t>
  </si>
  <si>
    <t xml:space="preserve">Pays d'intervention</t>
  </si>
  <si>
    <t xml:space="preserve">Departement d'intervention</t>
  </si>
  <si>
    <t xml:space="preserve">Commune d'intervention</t>
  </si>
  <si>
    <t xml:space="preserve">Arrondissement d'intervention</t>
  </si>
  <si>
    <t xml:space="preserve">Date debut collaboration</t>
  </si>
  <si>
    <t xml:space="preserve">Date fin collaboration</t>
  </si>
  <si>
    <t xml:space="preserve">Niveau de partenariat</t>
  </si>
  <si>
    <t xml:space="preserve">Contribution financiere prevue (FCFA)</t>
  </si>
  <si>
    <t xml:space="preserve">Contribution financiere recue (FCFA)</t>
  </si>
  <si>
    <t xml:space="preserve">Ecart contribution (FCFA)</t>
  </si>
  <si>
    <t xml:space="preserve">Type de contribution principale</t>
  </si>
  <si>
    <t xml:space="preserve">Nb projets associes</t>
  </si>
  <si>
    <t xml:space="preserve">Nb conventions</t>
  </si>
  <si>
    <t xml:space="preserve">Alerte convention a renouveler (&lt;=60j)</t>
  </si>
  <si>
    <t xml:space="preserve">Nb documents</t>
  </si>
  <si>
    <t xml:space="preserve">Note globale evaluation (/5)</t>
  </si>
  <si>
    <t xml:space="preserve">Date derniere evaluation</t>
  </si>
  <si>
    <t xml:space="preserve">Nb risques identifies</t>
  </si>
  <si>
    <t xml:space="preserve">Risque eleve/critique present</t>
  </si>
  <si>
    <t xml:space="preserve">Nb contacts secondaires</t>
  </si>
  <si>
    <t xml:space="preserve">Nb opportunites en cours</t>
  </si>
  <si>
    <t xml:space="preserve">Nb actions de prospection</t>
  </si>
  <si>
    <t xml:space="preserve">ID responsable interne</t>
  </si>
  <si>
    <t xml:space="preserve">Nom responsable interne</t>
  </si>
  <si>
    <t xml:space="preserve">Fonction responsable interne</t>
  </si>
  <si>
    <t xml:space="preserve">Telephone responsable interne</t>
  </si>
  <si>
    <t xml:space="preserve">Email responsable interne</t>
  </si>
  <si>
    <t xml:space="preserve">Autre reseau</t>
  </si>
  <si>
    <t xml:space="preserve">Newsletter (Oui/Non)</t>
  </si>
  <si>
    <t xml:space="preserve">Contact presse</t>
  </si>
  <si>
    <t xml:space="preserve">Doublon potentiel</t>
  </si>
  <si>
    <t xml:space="preserve">ANALYSE PAR ZONE (DEPARTEMENT)</t>
  </si>
  <si>
    <t xml:space="preserve">Lekoumou</t>
  </si>
  <si>
    <t xml:space="preserve">CONTACTS SECONDAIRES DES PARTENAIRES</t>
  </si>
  <si>
    <t xml:space="preserve">ID contact</t>
  </si>
  <si>
    <t xml:space="preserve">Principal</t>
  </si>
  <si>
    <t xml:space="preserve">PROJETS ASSOCIES AUX PARTENAIRES</t>
  </si>
  <si>
    <t xml:space="preserve">Role du partenaire</t>
  </si>
  <si>
    <t xml:space="preserve">Date debut</t>
  </si>
  <si>
    <t xml:space="preserve">Date fin</t>
  </si>
  <si>
    <t xml:space="preserve">CONVENTIONS ET ACCORDS</t>
  </si>
  <si>
    <t xml:space="preserve">Type de convention</t>
  </si>
  <si>
    <t xml:space="preserve">Date signature</t>
  </si>
  <si>
    <t xml:space="preserve">Jours avant echeance</t>
  </si>
  <si>
    <t xml:space="preserve">DOCUMENTS DES PARTENAIRES</t>
  </si>
  <si>
    <t xml:space="preserve">Emplacement/lien</t>
  </si>
  <si>
    <t xml:space="preserve">HISTORIQUE DE COLLABORATION</t>
  </si>
  <si>
    <t xml:space="preserve">Projet/Activite concerne</t>
  </si>
  <si>
    <t xml:space="preserve">Action</t>
  </si>
  <si>
    <t xml:space="preserve">EVALUATION DES PARTENAIRES</t>
  </si>
  <si>
    <t xml:space="preserve">Qualite collaboration (1-5)</t>
  </si>
  <si>
    <t xml:space="preserve">Respect engagements (1-5)</t>
  </si>
  <si>
    <t xml:space="preserve">Reactivite (1-5)</t>
  </si>
  <si>
    <t xml:space="preserve">Contribution (1-5)</t>
  </si>
  <si>
    <t xml:space="preserve">Fiabilite (1-5)</t>
  </si>
  <si>
    <t xml:space="preserve">Note globale</t>
  </si>
  <si>
    <t xml:space="preserve">Commentaires</t>
  </si>
  <si>
    <t xml:space="preserve">RISQUES LIES AUX PARTENARIATS</t>
  </si>
  <si>
    <t xml:space="preserve">Risque</t>
  </si>
  <si>
    <t xml:space="preserve">OPPORTUNITES DE COLLABORATION</t>
  </si>
  <si>
    <t xml:space="preserve">Opportunite identifiee</t>
  </si>
  <si>
    <t xml:space="preserve">Projet potentiel</t>
  </si>
  <si>
    <t xml:space="preserve">Prochaine action</t>
  </si>
  <si>
    <t xml:space="preserve">PROSPECTION ET DEVELOPPEMENT DE PARTENARIATS</t>
  </si>
  <si>
    <t xml:space="preserve">Date premier contact</t>
  </si>
  <si>
    <t xml:space="preserve">Moyen de contact</t>
  </si>
  <si>
    <t xml:space="preserve">Personne contactee</t>
  </si>
  <si>
    <t xml:space="preserve">Objet</t>
  </si>
  <si>
    <t xml:space="preserve">Date de relance</t>
  </si>
  <si>
    <t xml:space="preserve">O.N.G BK  —  GESTION DES DONATEURS &amp; OPPORTUNITES DE FINANCEMENT</t>
  </si>
  <si>
    <t xml:space="preserve">-&gt; PARTENAIRES</t>
  </si>
  <si>
    <t xml:space="preserve">Derniere mise a jour : voir cellule ci-dessous  —  Cette feuille est alimentee par PARTENAIRES et alimente PROJETS, BUDGET, RECETTES/FINANCEMENTS, DEPENSES, SUIVI-EVALUATION, RAPPORTS et TABLEAU DE BORD.</t>
  </si>
  <si>
    <t xml:space="preserve">SYNTHESE GENERALE DES DONATEURS (calcul automatique)</t>
  </si>
  <si>
    <t xml:space="preserve">Total donateurs</t>
  </si>
  <si>
    <t xml:space="preserve">Potentiels (prospects)</t>
  </si>
  <si>
    <t xml:space="preserve">Nb opportunites</t>
  </si>
  <si>
    <t xml:space="preserve">Opportunites ouvertes</t>
  </si>
  <si>
    <t xml:space="preserve">Demandes soumises</t>
  </si>
  <si>
    <t xml:space="preserve">Financements obtenus</t>
  </si>
  <si>
    <t xml:space="preserve">Montant total demande (FCFA)</t>
  </si>
  <si>
    <t xml:space="preserve">Montant total obtenu (FCFA)</t>
  </si>
  <si>
    <t xml:space="preserve">Taux de reussite (%)</t>
  </si>
  <si>
    <t xml:space="preserve">Statut du donateur</t>
  </si>
  <si>
    <t xml:space="preserve">Nb donateurs</t>
  </si>
  <si>
    <t xml:space="preserve">Type de donateur</t>
  </si>
  <si>
    <t xml:space="preserve">Domaine finance principal</t>
  </si>
  <si>
    <t xml:space="preserve">Contact etabli</t>
  </si>
  <si>
    <t xml:space="preserve">Financement obtenu</t>
  </si>
  <si>
    <t xml:space="preserve">A relancer</t>
  </si>
  <si>
    <t xml:space="preserve">TABLEAU PRINCIPAL — LISTE DES DONATEURS</t>
  </si>
  <si>
    <t xml:space="preserve">ID Donateur</t>
  </si>
  <si>
    <t xml:space="preserve">Categorie de financement</t>
  </si>
  <si>
    <t xml:space="preserve">Adresse</t>
  </si>
  <si>
    <t xml:space="preserve">Pays contact principal</t>
  </si>
  <si>
    <t xml:space="preserve">Ville contact principal</t>
  </si>
  <si>
    <t xml:space="preserve">Domaine finance secondaire</t>
  </si>
  <si>
    <t xml:space="preserve">Localite financee</t>
  </si>
  <si>
    <t xml:space="preserve">Pays finance</t>
  </si>
  <si>
    <t xml:space="preserve">Departement finance</t>
  </si>
  <si>
    <t xml:space="preserve">Commune finance</t>
  </si>
  <si>
    <t xml:space="preserve">Date premiere prise de contact</t>
  </si>
  <si>
    <t xml:space="preserve">Responsable interne</t>
  </si>
  <si>
    <t xml:space="preserve">Dernier contact</t>
  </si>
  <si>
    <t xml:space="preserve">Prochain contact</t>
  </si>
  <si>
    <t xml:space="preserve">Mode de communication</t>
  </si>
  <si>
    <t xml:space="preserve">Statut de la relation</t>
  </si>
  <si>
    <t xml:space="preserve">Nb demandes</t>
  </si>
  <si>
    <t xml:space="preserve">Nb financements obtenus</t>
  </si>
  <si>
    <t xml:space="preserve">Montant total accorde (FCFA)</t>
  </si>
  <si>
    <t xml:space="preserve">Montant total recu (FCFA)</t>
  </si>
  <si>
    <t xml:space="preserve">Dernier financement (date)</t>
  </si>
  <si>
    <t xml:space="preserve">Financement moyen (FCFA)</t>
  </si>
  <si>
    <t xml:space="preserve">Alerte a relancer</t>
  </si>
  <si>
    <t xml:space="preserve">AUSP</t>
  </si>
  <si>
    <t xml:space="preserve">Courrier</t>
  </si>
  <si>
    <t xml:space="preserve">CONTACTS SECONDAIRES DES DONATEURS</t>
  </si>
  <si>
    <t xml:space="preserve">WhatsApp</t>
  </si>
  <si>
    <t xml:space="preserve">OPPORTUNITES DE FINANCEMENT</t>
  </si>
  <si>
    <t xml:space="preserve">ID opportunite</t>
  </si>
  <si>
    <t xml:space="preserve">Nom du programme</t>
  </si>
  <si>
    <t xml:space="preserve">Titre de l'appel</t>
  </si>
  <si>
    <t xml:space="preserve">Zone geographique</t>
  </si>
  <si>
    <t xml:space="preserve">Montant minimum</t>
  </si>
  <si>
    <t xml:space="preserve">Montant maximum</t>
  </si>
  <si>
    <t xml:space="preserve">Taux de cofinancement</t>
  </si>
  <si>
    <t xml:space="preserve">Duree maximale (mois)</t>
  </si>
  <si>
    <t xml:space="preserve">Date ouverture</t>
  </si>
  <si>
    <t xml:space="preserve">Date cloture</t>
  </si>
  <si>
    <t xml:space="preserve">Lien vers l'appel</t>
  </si>
  <si>
    <t xml:space="preserve">ONG eligible</t>
  </si>
  <si>
    <t xml:space="preserve">Score global (/100)</t>
  </si>
  <si>
    <t xml:space="preserve">Candidater</t>
  </si>
  <si>
    <t xml:space="preserve">Decision</t>
  </si>
  <si>
    <t xml:space="preserve">Date de decision</t>
  </si>
  <si>
    <t xml:space="preserve">DEMANDES DE FINANCEMENT</t>
  </si>
  <si>
    <t xml:space="preserve">ID demande</t>
  </si>
  <si>
    <t xml:space="preserve">Date de soumission</t>
  </si>
  <si>
    <t xml:space="preserve">Date limite</t>
  </si>
  <si>
    <t xml:space="preserve">Date de notification</t>
  </si>
  <si>
    <t xml:space="preserve">Motif du rejet</t>
  </si>
  <si>
    <t xml:space="preserve">Commentaire</t>
  </si>
  <si>
    <t xml:space="preserve">DECAISSEMENTS</t>
  </si>
  <si>
    <t xml:space="preserve">ID decaissement</t>
  </si>
  <si>
    <t xml:space="preserve">Date recue</t>
  </si>
  <si>
    <t xml:space="preserve">Montant prevu</t>
  </si>
  <si>
    <t xml:space="preserve">CONVENTIONS DE FINANCEMENT</t>
  </si>
  <si>
    <t xml:space="preserve">Reference de convention</t>
  </si>
  <si>
    <t xml:space="preserve">Montant contractuel</t>
  </si>
  <si>
    <t xml:space="preserve">Modalites de decaissement</t>
  </si>
  <si>
    <t xml:space="preserve">Conditions particulieres</t>
  </si>
  <si>
    <t xml:space="preserve">RAPPORTING AUX DONATEURS</t>
  </si>
  <si>
    <t xml:space="preserve">Type de rapport</t>
  </si>
  <si>
    <t xml:space="preserve">HISTORIQUE DES RELATIONS</t>
  </si>
  <si>
    <t xml:space="preserve">DOCUMENTS DES DONATEURS</t>
  </si>
  <si>
    <t xml:space="preserve">SYNTHESE FINANCIERE (calcul automatique)</t>
  </si>
  <si>
    <t xml:space="preserve">Montant (FCFA)</t>
  </si>
  <si>
    <t xml:space="preserve">Total demande</t>
  </si>
  <si>
    <t xml:space="preserve">Total accorde</t>
  </si>
  <si>
    <t xml:space="preserve">Total recu</t>
  </si>
  <si>
    <t xml:space="preserve">Solde a recevoir</t>
  </si>
  <si>
    <t xml:space="preserve">Nombre de financements obtenus</t>
  </si>
  <si>
    <t xml:space="preserve">ANALYSE DES OPPORTUNITES ET TAUX DE REUSSITE</t>
  </si>
  <si>
    <t xml:space="preserve">Nombre d'opportunites</t>
  </si>
  <si>
    <t xml:space="preserve">Opportunites a venir</t>
  </si>
  <si>
    <t xml:space="preserve">Opportunites cloturees</t>
  </si>
  <si>
    <t xml:space="preserve">Opportunites ou l'ONG candidate</t>
  </si>
  <si>
    <t xml:space="preserve">Demandes approuvees (gagnees)</t>
  </si>
  <si>
    <t xml:space="preserve">Demandes rejetees (perdues)</t>
  </si>
  <si>
    <t xml:space="preserve">Taux de reussite global</t>
  </si>
  <si>
    <t xml:space="preserve">ANALYSE PAR DOMAINE (alimente le TABLEAU DE BORD)</t>
  </si>
  <si>
    <t xml:space="preserve">Opportunites</t>
  </si>
  <si>
    <t xml:space="preserve">Demandes</t>
  </si>
  <si>
    <t xml:space="preserve">Montant obtenu (FCFA)</t>
  </si>
  <si>
    <t xml:space="preserve">O.N.G BK  —  GESTION ET SUIVI BUDGETAIRE</t>
  </si>
  <si>
    <t xml:space="preserve">-&gt; DONATEURS</t>
  </si>
  <si>
    <t xml:space="preserve">Derniere mise a jour : voir cellule ci-dessous  —  Cette feuille est alimentee par PROJETS, ACTIVITES, DONATEURS et PARAMETRES, et alimente RECETTES/FINANCEMENTS, DEPENSES, RESSOURCES HUMAINES, LOGISTIQUE &amp; IMMOBILISATIONS, SUIVI-EVALUATION, RAPPORTS et TABLEAU DE BORD.</t>
  </si>
  <si>
    <t xml:space="preserve">SYNTHESE GENERALE DU BUDGET (calcul automatique)</t>
  </si>
  <si>
    <t xml:space="preserve">Budget total (FCFA)</t>
  </si>
  <si>
    <t xml:space="preserve">Budget approuve/revise (FCFA)</t>
  </si>
  <si>
    <t xml:space="preserve">Montant engage (FCFA)</t>
  </si>
  <si>
    <t xml:space="preserve">Solde disponible (FCFA)</t>
  </si>
  <si>
    <t xml:space="preserve">Taux d'execution (%)</t>
  </si>
  <si>
    <t xml:space="preserve">Nb projets budgetises</t>
  </si>
  <si>
    <t xml:space="preserve">Nb lignes budgetaires</t>
  </si>
  <si>
    <t xml:space="preserve">Annee selectionnee</t>
  </si>
  <si>
    <t xml:space="preserve">Statut budgetaire</t>
  </si>
  <si>
    <t xml:space="preserve">Nb lignes</t>
  </si>
  <si>
    <t xml:space="preserve">Type de budget</t>
  </si>
  <si>
    <t xml:space="preserve">Statut d'alerte</t>
  </si>
  <si>
    <t xml:space="preserve">Normal</t>
  </si>
  <si>
    <t xml:space="preserve">Vigilance</t>
  </si>
  <si>
    <t xml:space="preserve">Depassement</t>
  </si>
  <si>
    <t xml:space="preserve">SYNTHESE COFINANCEMENT (calcul automatique)</t>
  </si>
  <si>
    <t xml:space="preserve">Contribution ONG (FCFA)</t>
  </si>
  <si>
    <t xml:space="preserve">Contribution bailleur (FCFA)</t>
  </si>
  <si>
    <t xml:space="preserve">Contribution partenaires (FCFA)</t>
  </si>
  <si>
    <t xml:space="preserve">Autres contributions (FCFA)</t>
  </si>
  <si>
    <t xml:space="preserve">Total cofinance (FCFA)</t>
  </si>
  <si>
    <t xml:space="preserve">% ONG</t>
  </si>
  <si>
    <t xml:space="preserve">% Bailleur</t>
  </si>
  <si>
    <t xml:space="preserve">% Partenaires</t>
  </si>
  <si>
    <t xml:space="preserve">% Autres</t>
  </si>
  <si>
    <t xml:space="preserve">TABLEAU PRINCIPAL — LIGNES BUDGETAIRES</t>
  </si>
  <si>
    <t xml:space="preserve">ID Budget</t>
  </si>
  <si>
    <t xml:space="preserve">Annee budgetaire</t>
  </si>
  <si>
    <t xml:space="preserve">Exercice budgetaire</t>
  </si>
  <si>
    <t xml:space="preserve">Intitule activite</t>
  </si>
  <si>
    <t xml:space="preserve">Donateur</t>
  </si>
  <si>
    <t xml:space="preserve">ID Financement</t>
  </si>
  <si>
    <t xml:space="preserve">Categorie budgetaire</t>
  </si>
  <si>
    <t xml:space="preserve">Code ligne</t>
  </si>
  <si>
    <t xml:space="preserve">Cout unitaire (FCFA)</t>
  </si>
  <si>
    <t xml:space="preserve">Montant prevu (FCFA)</t>
  </si>
  <si>
    <t xml:space="preserve">Montant soumis (FCFA)</t>
  </si>
  <si>
    <t xml:space="preserve">Montant approuve (FCFA)</t>
  </si>
  <si>
    <t xml:space="preserve">Ecart approbation (FCFA)</t>
  </si>
  <si>
    <t xml:space="preserve">Budget revise (FCFA)</t>
  </si>
  <si>
    <t xml:space="preserve">Date revision</t>
  </si>
  <si>
    <t xml:space="preserve">Motif revision</t>
  </si>
  <si>
    <t xml:space="preserve">Version budget</t>
  </si>
  <si>
    <t xml:space="preserve">Autorite validation</t>
  </si>
  <si>
    <t xml:space="preserve">Budget de reference (FCFA)</t>
  </si>
  <si>
    <t xml:space="preserve">Solde budgetaire (FCFA)</t>
  </si>
  <si>
    <t xml:space="preserve">Solde apres engagements (FCFA)</t>
  </si>
  <si>
    <t xml:space="preserve">Ecart (%)</t>
  </si>
  <si>
    <t xml:space="preserve">Statut alerte</t>
  </si>
  <si>
    <t xml:space="preserve">% Contribution ONG</t>
  </si>
  <si>
    <t xml:space="preserve">% Contribution bailleur</t>
  </si>
  <si>
    <t xml:space="preserve">Rang projet (technique)</t>
  </si>
  <si>
    <t xml:space="preserve">Rang projet-annee (technique)</t>
  </si>
  <si>
    <t xml:space="preserve">ACT00001</t>
  </si>
  <si>
    <t xml:space="preserve">DON00001</t>
  </si>
  <si>
    <t xml:space="preserve">Donne fournisseur</t>
  </si>
  <si>
    <t xml:space="preserve">REPARTITION MENSUELLE ET TRIMESTRIELLE DU BUDGET (calcul automatique / saisie mensuelle)</t>
  </si>
  <si>
    <t xml:space="preserve">Jan</t>
  </si>
  <si>
    <t xml:space="preserve">Fev</t>
  </si>
  <si>
    <t xml:space="preserve">Mar</t>
  </si>
  <si>
    <t xml:space="preserve">Avr</t>
  </si>
  <si>
    <t xml:space="preserve">Jun</t>
  </si>
  <si>
    <t xml:space="preserve">Jul</t>
  </si>
  <si>
    <t xml:space="preserve">Aou</t>
  </si>
  <si>
    <t xml:space="preserve">Sep</t>
  </si>
  <si>
    <t xml:space="preserve">Oct</t>
  </si>
  <si>
    <t xml:space="preserve">Nov</t>
  </si>
  <si>
    <t xml:space="preserve">Dec</t>
  </si>
  <si>
    <t xml:space="preserve">Total annuel (FCFA)</t>
  </si>
  <si>
    <t xml:space="preserve">SYNTHESE PAR PROJET (calcul automatique)</t>
  </si>
  <si>
    <t xml:space="preserve">SYNTHESE PAR DOMAINE D'INTERVENTION (calcul automatique)</t>
  </si>
  <si>
    <t xml:space="preserve">SYNTHESE PAR CATEGORIE BUDGETAIRE (calcul automatique)</t>
  </si>
  <si>
    <t xml:space="preserve">SYNTHESE PAR DONATEUR (calcul automatique)</t>
  </si>
  <si>
    <t xml:space="preserve">BUDGET DE FONCTIONNEMENT (saisie manuelle)</t>
  </si>
  <si>
    <t xml:space="preserve">Categorie</t>
  </si>
  <si>
    <t xml:space="preserve">Montant realise (FCFA)</t>
  </si>
  <si>
    <t xml:space="preserve">Salaires</t>
  </si>
  <si>
    <t xml:space="preserve">Loyers</t>
  </si>
  <si>
    <t xml:space="preserve">Electricite</t>
  </si>
  <si>
    <t xml:space="preserve">Eau</t>
  </si>
  <si>
    <t xml:space="preserve">Telecommunications</t>
  </si>
  <si>
    <t xml:space="preserve">Frais administratifs</t>
  </si>
  <si>
    <t xml:space="preserve">Autres charges</t>
  </si>
  <si>
    <t xml:space="preserve">BUDGET D'INVESTISSEMENT (saisie manuelle)</t>
  </si>
  <si>
    <t xml:space="preserve">ID Investissement</t>
  </si>
  <si>
    <t xml:space="preserve">Immobilisation</t>
  </si>
  <si>
    <t xml:space="preserve">HISTORIQUE DES REVISIONS BUDGETAIRES (saisie manuelle, ne jamais ecraser)</t>
  </si>
  <si>
    <t xml:space="preserve">Version</t>
  </si>
  <si>
    <t xml:space="preserve">Montant revise (FCFA)</t>
  </si>
  <si>
    <t xml:space="preserve">Motif</t>
  </si>
  <si>
    <t xml:space="preserve">Valide par</t>
  </si>
  <si>
    <t xml:space="preserve">ALERTES BUDGETAIRES (calcul automatique)</t>
  </si>
  <si>
    <t xml:space="preserve">Type d'alerte</t>
  </si>
  <si>
    <t xml:space="preserve">Nombre</t>
  </si>
  <si>
    <t xml:space="preserve">Lignes budgetaires sans montant approuve</t>
  </si>
  <si>
    <t xml:space="preserve">Lignes budgetaires en depassement (&gt;100%)</t>
  </si>
  <si>
    <t xml:space="preserve">Lignes budgetaires en vigilance (80%-100%)</t>
  </si>
  <si>
    <t xml:space="preserve">Budgets non approuves (Preparation ou Soumis)</t>
  </si>
  <si>
    <t xml:space="preserve">Lignes budgetaires sans projet associe</t>
  </si>
  <si>
    <t xml:space="preserve">Lignes budgetaires sans activite associee</t>
  </si>
  <si>
    <t xml:space="preserve">Lignes budgetaires sans financement associe</t>
  </si>
  <si>
    <t xml:space="preserve">Projets sans aucune ligne budgetaire</t>
  </si>
  <si>
    <t xml:space="preserve">FILTRES ET RECHERCHE : utilisez les fleches d'auto-filtre sur l'entete du tableau principal (Annee, Projet, Activite, Donateur, Domaine, Categorie, Type de budget, Statut) et la cellule J7 'Annee selectionnee' pour filtrer les indicateurs de synthese. Recherche rapide possible par ID Budget, ID Projet, ID Activite ou Code ligne via Ctrl+F.</t>
  </si>
  <si>
    <t xml:space="preserve">O.N.G BK  —  GESTION DES RECETTES &amp; FINANCEMENTS</t>
  </si>
  <si>
    <t xml:space="preserve">-&gt; BUDGET</t>
  </si>
  <si>
    <t xml:space="preserve">Derniere mise a jour : voir cellule ci-dessous  —  Cette feuille est alimentee par DONATEURS, PROJETS, ACTIVITES, BUDGET et PARAMETRES, et alimente DEPENSES, RAPPORTS et TABLEAU DE BORD.</t>
  </si>
  <si>
    <t xml:space="preserve">SYNTHESE GENERALE DES RECETTES / FINANCEMENTS (calcul automatique)</t>
  </si>
  <si>
    <t xml:space="preserve">Montant attendu (FCFA)</t>
  </si>
  <si>
    <t xml:space="preserve">Montant recu (FCFA)</t>
  </si>
  <si>
    <t xml:space="preserve">Solde a recevoir (FCFA)</t>
  </si>
  <si>
    <t xml:space="preserve">Recettes propres (FCFA)</t>
  </si>
  <si>
    <t xml:space="preserve">Nb operations</t>
  </si>
  <si>
    <t xml:space="preserve">Nb donateurs distincts</t>
  </si>
  <si>
    <t xml:space="preserve">Nb projets finances</t>
  </si>
  <si>
    <t xml:space="preserve">Taux de decaissement (%)</t>
  </si>
  <si>
    <t xml:space="preserve">Statut de la recette</t>
  </si>
  <si>
    <t xml:space="preserve">Nb</t>
  </si>
  <si>
    <t xml:space="preserve">Type d'operation</t>
  </si>
  <si>
    <t xml:space="preserve">Retard</t>
  </si>
  <si>
    <t xml:space="preserve">Relance necessaire</t>
  </si>
  <si>
    <t xml:space="preserve">Recu integralement</t>
  </si>
  <si>
    <t xml:space="preserve">SYNTHESE PAR ANNEE (calcul automatique)</t>
  </si>
  <si>
    <t xml:space="preserve">TABLEAU PRINCIPAL — RECETTES / FINANCEMENTS</t>
  </si>
  <si>
    <t xml:space="preserve">ID Recette</t>
  </si>
  <si>
    <t xml:space="preserve">ID Decaissement (DONATEURS)</t>
  </si>
  <si>
    <t xml:space="preserve">Nom du donateur</t>
  </si>
  <si>
    <t xml:space="preserve">Responsable projet</t>
  </si>
  <si>
    <t xml:space="preserve">ID Budget (ligne budgetaire)</t>
  </si>
  <si>
    <t xml:space="preserve">Financement affecte</t>
  </si>
  <si>
    <t xml:space="preserve">Recette propre</t>
  </si>
  <si>
    <t xml:space="preserve">Date operation (effective)</t>
  </si>
  <si>
    <t xml:space="preserve">Taux de change</t>
  </si>
  <si>
    <t xml:space="preserve">Montant recu (devise orig.)</t>
  </si>
  <si>
    <t xml:space="preserve">Moyen de reception</t>
  </si>
  <si>
    <t xml:space="preserve">Compte / reference compte</t>
  </si>
  <si>
    <t xml:space="preserve">Reference transaction</t>
  </si>
  <si>
    <t xml:space="preserve">Numero de recu</t>
  </si>
  <si>
    <t xml:space="preserve">Date de valeur</t>
  </si>
  <si>
    <t xml:space="preserve">Piece justificative - type</t>
  </si>
  <si>
    <t xml:space="preserve">Piece justificative - reference</t>
  </si>
  <si>
    <t xml:space="preserve">Piece justificative - date</t>
  </si>
  <si>
    <t xml:space="preserve">Piece justificative - statut</t>
  </si>
  <si>
    <t xml:space="preserve">Piece justificative - lien/emplacement</t>
  </si>
  <si>
    <t xml:space="preserve">Responsable du suivi</t>
  </si>
  <si>
    <t xml:space="preserve">Derniere relance</t>
  </si>
  <si>
    <t xml:space="preserve">Prochaine relance</t>
  </si>
  <si>
    <t xml:space="preserve">Nombre de relances</t>
  </si>
  <si>
    <t xml:space="preserve">Moyen de contact relance</t>
  </si>
  <si>
    <t xml:space="preserve">Resultat relance</t>
  </si>
  <si>
    <t xml:space="preserve">Commentaire relance</t>
  </si>
  <si>
    <t xml:space="preserve">Rapprochement - Enregistree</t>
  </si>
  <si>
    <t xml:space="preserve">Rapprochement - Sur releve</t>
  </si>
  <si>
    <t xml:space="preserve">Rapprochement - Rapprochee</t>
  </si>
  <si>
    <t xml:space="preserve">Date de rapprochement</t>
  </si>
  <si>
    <t xml:space="preserve">Responsable rapprochement</t>
  </si>
  <si>
    <t xml:space="preserve">Rang donateur (technique)</t>
  </si>
  <si>
    <t xml:space="preserve">ALERTES (calcul automatique)</t>
  </si>
  <si>
    <t xml:space="preserve">Alerte</t>
  </si>
  <si>
    <t xml:space="preserve">Signification</t>
  </si>
  <si>
    <t xml:space="preserve">Financement en retard (date prevue depassee, rien recu)</t>
  </si>
  <si>
    <t xml:space="preserve">Une relance devait etre faite a ce jour</t>
  </si>
  <si>
    <t xml:space="preserve">Solde a recevoir superieur a 50% du montant attendu</t>
  </si>
  <si>
    <t xml:space="preserve">Financement entierement recu</t>
  </si>
  <si>
    <t xml:space="preserve">Situation normale, sans alerte particuliere</t>
  </si>
  <si>
    <t xml:space="preserve">O.N.G BK  —  GESTION ET SUIVI DES DEPENSES</t>
  </si>
  <si>
    <t xml:space="preserve">-&gt; RECETTES</t>
  </si>
  <si>
    <t xml:space="preserve">Derniere mise a jour : voir cellule ci-dessous  —  Cette feuille est alimentee par BUDGET, PROJETS, ACTIVITES, DONATEURS, RECETTES et PARAMETRES, et alimente BUDGET, PROJETS, ACTIVITES, RESSOURCES HUMAINES, LOGISTIQUE &amp; IMMOBILISATIONS, RAPPORTS et TABLEAU DE BORD.</t>
  </si>
  <si>
    <t xml:space="preserve">SYNTHESE GENERALE DES DEPENSES (calcul automatique)</t>
  </si>
  <si>
    <t xml:space="preserve">Total des depenses (FCFA)</t>
  </si>
  <si>
    <t xml:space="preserve">Depenses du mois (FCFA)</t>
  </si>
  <si>
    <t xml:space="preserve">Depenses de l'annee en cours (FCFA)</t>
  </si>
  <si>
    <t xml:space="preserve">Depenses engagees (FCFA)</t>
  </si>
  <si>
    <t xml:space="preserve">Depenses payees (FCFA)</t>
  </si>
  <si>
    <t xml:space="preserve">Depenses en attente (FCFA)</t>
  </si>
  <si>
    <t xml:space="preserve">Budget consomme (%)</t>
  </si>
  <si>
    <t xml:space="preserve">Statut de la depense</t>
  </si>
  <si>
    <t xml:space="preserve">Type de depense</t>
  </si>
  <si>
    <t xml:space="preserve">Centre de cout</t>
  </si>
  <si>
    <t xml:space="preserve">Depassement budgetaire</t>
  </si>
  <si>
    <t xml:space="preserve">Demande soumise</t>
  </si>
  <si>
    <t xml:space="preserve">Pieces manquantes</t>
  </si>
  <si>
    <t xml:space="preserve">En validation</t>
  </si>
  <si>
    <t xml:space="preserve">Programme</t>
  </si>
  <si>
    <t xml:space="preserve">Depense non validee</t>
  </si>
  <si>
    <t xml:space="preserve">Engagement non paye</t>
  </si>
  <si>
    <t xml:space="preserve">Fonctionnement</t>
  </si>
  <si>
    <t xml:space="preserve">Paiement en attente</t>
  </si>
  <si>
    <t xml:space="preserve">Partiellement payee</t>
  </si>
  <si>
    <t xml:space="preserve">Investissement</t>
  </si>
  <si>
    <t xml:space="preserve">Paiement partiel</t>
  </si>
  <si>
    <t xml:space="preserve">Payee</t>
  </si>
  <si>
    <t xml:space="preserve">Rapprochement manquant</t>
  </si>
  <si>
    <t xml:space="preserve">Rejetee</t>
  </si>
  <si>
    <t xml:space="preserve">Dossier complet et paye</t>
  </si>
  <si>
    <t xml:space="preserve">Rapprochee</t>
  </si>
  <si>
    <t xml:space="preserve">Depenses (FCFA)</t>
  </si>
  <si>
    <t xml:space="preserve">ANALYSE PAR PROJET (calcul automatique)</t>
  </si>
  <si>
    <t xml:space="preserve">Budget (FCFA)</t>
  </si>
  <si>
    <t xml:space="preserve">Engage (FCFA)</t>
  </si>
  <si>
    <t xml:space="preserve">Depense (FCFA)</t>
  </si>
  <si>
    <t xml:space="preserve">ANALYSE PAR DONATEUR / FINANCEMENT (calcul automatique)</t>
  </si>
  <si>
    <t xml:space="preserve">ANALYSE PAR PERIODE - MENSUELLE (annee selectionnee en I8) (calcul automatique)</t>
  </si>
  <si>
    <t xml:space="preserve">TABLEAU PRINCIPAL — DEPENSES</t>
  </si>
  <si>
    <t xml:space="preserve">ID Depense</t>
  </si>
  <si>
    <t xml:space="preserve">Code ligne budgetaire</t>
  </si>
  <si>
    <t xml:space="preserve">Beneficiaire du paiement</t>
  </si>
  <si>
    <t xml:space="preserve">Telephone beneficiaire</t>
  </si>
  <si>
    <t xml:space="preserve">E-mail beneficiaire</t>
  </si>
  <si>
    <t xml:space="preserve">Objet de la depense</t>
  </si>
  <si>
    <t xml:space="preserve">Description detaillee</t>
  </si>
  <si>
    <t xml:space="preserve">Prix unitaire (devise orig.)</t>
  </si>
  <si>
    <t xml:space="preserve">Montant HT (devise orig.)</t>
  </si>
  <si>
    <t xml:space="preserve">Taxes (devise orig.)</t>
  </si>
  <si>
    <t xml:space="preserve">Autres frais (devise orig.)</t>
  </si>
  <si>
    <t xml:space="preserve">Montant TTC (devise orig.)</t>
  </si>
  <si>
    <t xml:space="preserve">Montant TTC (FCFA)</t>
  </si>
  <si>
    <t xml:space="preserve">Mode de paiement</t>
  </si>
  <si>
    <t xml:space="preserve">Banque / Compte utilise</t>
  </si>
  <si>
    <t xml:space="preserve">Reference du paiement</t>
  </si>
  <si>
    <t xml:space="preserve">Nom du demandeur</t>
  </si>
  <si>
    <t xml:space="preserve">Fonction demandeur</t>
  </si>
  <si>
    <t xml:space="preserve">Date de demande</t>
  </si>
  <si>
    <t xml:space="preserve">Validateur</t>
  </si>
  <si>
    <t xml:space="preserve">Fonction validateur</t>
  </si>
  <si>
    <t xml:space="preserve">Date de validation</t>
  </si>
  <si>
    <t xml:space="preserve">Decision de validation</t>
  </si>
  <si>
    <t xml:space="preserve">Depense engagee (Oui/Non)</t>
  </si>
  <si>
    <t xml:space="preserve">Date d'engagement</t>
  </si>
  <si>
    <t xml:space="preserve">Reference engagement</t>
  </si>
  <si>
    <t xml:space="preserve">Paiement effectue (Oui/Non)</t>
  </si>
  <si>
    <t xml:space="preserve">Date de paiement</t>
  </si>
  <si>
    <t xml:space="preserve">Montant paye (FCFA)</t>
  </si>
  <si>
    <t xml:space="preserve">Solde a payer (FCFA)</t>
  </si>
  <si>
    <t xml:space="preserve">Piece justificative - disponible (Oui/Non)</t>
  </si>
  <si>
    <t xml:space="preserve">Dossier complet (Oui/Non)</t>
  </si>
  <si>
    <t xml:space="preserve">Rapprochement bancaire effectue (Oui/Non)</t>
  </si>
  <si>
    <t xml:space="preserve">Compte comptable</t>
  </si>
  <si>
    <t xml:space="preserve">Code analytique</t>
  </si>
  <si>
    <t xml:space="preserve">Date operation (retenue pour analyse)</t>
  </si>
  <si>
    <t xml:space="preserve">Budget disponible avant depense (FCFA)</t>
  </si>
  <si>
    <t xml:space="preserve">Budget restant apres depense (FCFA)</t>
  </si>
  <si>
    <t xml:space="preserve">Poids sur budget de la ligne (%)</t>
  </si>
  <si>
    <t xml:space="preserve">Rang categorie budgetaire (technique)</t>
  </si>
  <si>
    <t xml:space="preserve">BUD0001</t>
  </si>
  <si>
    <t xml:space="preserve">Fournisseur</t>
  </si>
  <si>
    <t xml:space="preserve">O.N.G BK  —  GESTION DES RESSOURCES HUMAINES</t>
  </si>
  <si>
    <t xml:space="preserve">-&gt; DEPENSES</t>
  </si>
  <si>
    <t xml:space="preserve">Derniere mise a jour : voir cellule ci-dessous  —  Cette feuille est alimentee par PARAMETRES, PROJETS et ACTIVITES, et alimente BUDGET, DEPENSES, LOGISTIQUE &amp; IMMOBILISATIONS, SUIVI-EVALUATION, RAPPORTS et TABLEAU DE BORD.</t>
  </si>
  <si>
    <t xml:space="preserve">LEGENDE : texte bleu = champ a completer manuellement | texte vert italique = donnee calculee automatiquement | ne pas modifier les colonnes calculees | cellule grisee = calcul automatique | les donnees de remuneration (colonnes AF a AK) sont confidentielles : a ne pas afficher dans le TABLEAU DE BORD general.</t>
  </si>
  <si>
    <t xml:space="preserve">SYNTHESE GENERALE DES RESSOURCES HUMAINES (calcul automatique)</t>
  </si>
  <si>
    <t xml:space="preserve">Effectif total</t>
  </si>
  <si>
    <t xml:space="preserve">Permanents (CDI)</t>
  </si>
  <si>
    <t xml:space="preserve">Contractuels (CDD)</t>
  </si>
  <si>
    <t xml:space="preserve">Consultants / Prestataires</t>
  </si>
  <si>
    <t xml:space="preserve">Benevoles / Volontaires</t>
  </si>
  <si>
    <t xml:space="preserve">Nouveaux (12 derniers mois)</t>
  </si>
  <si>
    <t xml:space="preserve">Contrats a renouveler (&lt;=60j)</t>
  </si>
  <si>
    <t xml:space="preserve"> </t>
  </si>
  <si>
    <t xml:space="preserve">Statut du personnel</t>
  </si>
  <si>
    <t xml:space="preserve">Type de collaboration</t>
  </si>
  <si>
    <t xml:space="preserve">Service / Departement</t>
  </si>
  <si>
    <t xml:space="preserve">Alerte RH</t>
  </si>
  <si>
    <t xml:space="preserve">Contrats expires</t>
  </si>
  <si>
    <t xml:space="preserve">Documents manquants</t>
  </si>
  <si>
    <t xml:space="preserve">Competences/certifs a renouveler (&lt;=60j)</t>
  </si>
  <si>
    <t xml:space="preserve">Conges en attente de validation</t>
  </si>
  <si>
    <t xml:space="preserve">Actifs avec contrat a jour</t>
  </si>
  <si>
    <t xml:space="preserve">TABLEAU PRINCIPAL — LISTE DU PERSONNEL</t>
  </si>
  <si>
    <t xml:space="preserve">ID RH</t>
  </si>
  <si>
    <t xml:space="preserve">Etat civil</t>
  </si>
  <si>
    <t xml:space="preserve">Poste / intitule precis</t>
  </si>
  <si>
    <t xml:space="preserve">Departement / Service</t>
  </si>
  <si>
    <t xml:space="preserve">Niveau hierarchique</t>
  </si>
  <si>
    <t xml:space="preserve">Responsable direct</t>
  </si>
  <si>
    <t xml:space="preserve">Date d'entree</t>
  </si>
  <si>
    <t xml:space="preserve">Annee d'entree</t>
  </si>
  <si>
    <t xml:space="preserve">Anciennete</t>
  </si>
  <si>
    <t xml:space="preserve">Type de contrat</t>
  </si>
  <si>
    <t xml:space="preserve">Date debut contrat</t>
  </si>
  <si>
    <t xml:space="preserve">Date fin contrat</t>
  </si>
  <si>
    <t xml:space="preserve">Duree contrat</t>
  </si>
  <si>
    <t xml:space="preserve">Renouvelable</t>
  </si>
  <si>
    <t xml:space="preserve">Statut du contrat</t>
  </si>
  <si>
    <t xml:space="preserve">Salaire / honoraires de base (FCFA)</t>
  </si>
  <si>
    <t xml:space="preserve">Frequence de paiement</t>
  </si>
  <si>
    <t xml:space="preserve">Indemnites (FCFA)</t>
  </si>
  <si>
    <t xml:space="preserve">Primes (FCFA)</t>
  </si>
  <si>
    <t xml:space="preserve">Total brut (FCFA)</t>
  </si>
  <si>
    <t xml:space="preserve">Contact d'urgence - Nom</t>
  </si>
  <si>
    <t xml:space="preserve">Contact d'urgence - Relation</t>
  </si>
  <si>
    <t xml:space="preserve">Contact d'urgence - Telephone</t>
  </si>
  <si>
    <t xml:space="preserve">Date de depart</t>
  </si>
  <si>
    <t xml:space="preserve">Motif de depart</t>
  </si>
  <si>
    <t xml:space="preserve">AFFECTATIONS AUX PROJETS</t>
  </si>
  <si>
    <t xml:space="preserve">ID</t>
  </si>
  <si>
    <t xml:space="preserve">Fonction sur le projet</t>
  </si>
  <si>
    <t xml:space="preserve">% affectation</t>
  </si>
  <si>
    <t xml:space="preserve">AFFECTATIONS AUX ACTIVITES</t>
  </si>
  <si>
    <t xml:space="preserve">FORMATIONS DU PERSONNEL</t>
  </si>
  <si>
    <t xml:space="preserve">ID formation</t>
  </si>
  <si>
    <t xml:space="preserve">Organisme</t>
  </si>
  <si>
    <t xml:space="preserve">Duree</t>
  </si>
  <si>
    <t xml:space="preserve">Cout (FCFA)</t>
  </si>
  <si>
    <t xml:space="preserve">Certificat obtenu</t>
  </si>
  <si>
    <t xml:space="preserve">COMPETENCES</t>
  </si>
  <si>
    <t xml:space="preserve">Competence</t>
  </si>
  <si>
    <t xml:space="preserve">Annee d'acquisition</t>
  </si>
  <si>
    <t xml:space="preserve">Certification</t>
  </si>
  <si>
    <t xml:space="preserve">Date expiration</t>
  </si>
  <si>
    <t xml:space="preserve">DIPLOMES ET QUALIFICATIONS</t>
  </si>
  <si>
    <t xml:space="preserve">EVALUATIONS DU PERSONNEL</t>
  </si>
  <si>
    <t xml:space="preserve">Performance</t>
  </si>
  <si>
    <t xml:space="preserve">Objectifs</t>
  </si>
  <si>
    <t xml:space="preserve">Resultats</t>
  </si>
  <si>
    <t xml:space="preserve">Points forts</t>
  </si>
  <si>
    <t xml:space="preserve">Points a ameliorer</t>
  </si>
  <si>
    <t xml:space="preserve">Note (/5)</t>
  </si>
  <si>
    <t xml:space="preserve">CONGES</t>
  </si>
  <si>
    <t xml:space="preserve">Type de conge</t>
  </si>
  <si>
    <t xml:space="preserve">Nb jours</t>
  </si>
  <si>
    <t xml:space="preserve">MISSIONS</t>
  </si>
  <si>
    <t xml:space="preserve">ID mission</t>
  </si>
  <si>
    <t xml:space="preserve">Destination</t>
  </si>
  <si>
    <t xml:space="preserve">Date depart</t>
  </si>
  <si>
    <t xml:space="preserve">Date retour</t>
  </si>
  <si>
    <t xml:space="preserve">Budget mission (FCFA)</t>
  </si>
  <si>
    <t xml:space="preserve">Rapport disponible</t>
  </si>
  <si>
    <t xml:space="preserve">PAIEMENTS RH</t>
  </si>
  <si>
    <t xml:space="preserve">PRESENCE</t>
  </si>
  <si>
    <t xml:space="preserve">DOCUMENTS ADMINISTRATIFS</t>
  </si>
  <si>
    <t xml:space="preserve">Disponible</t>
  </si>
  <si>
    <t xml:space="preserve">Lien / emplacement</t>
  </si>
  <si>
    <t xml:space="preserve">SYNTHESE RH (calcul automatique)</t>
  </si>
  <si>
    <t xml:space="preserve">Benevoles</t>
  </si>
  <si>
    <t xml:space="preserve">Contrats a renouveler</t>
  </si>
  <si>
    <t xml:space="preserve">ANALYSE PAR SERVICE</t>
  </si>
  <si>
    <t xml:space="preserve">Effectif</t>
  </si>
  <si>
    <t xml:space="preserve">ANALYSE PAR PROJET</t>
  </si>
  <si>
    <t xml:space="preserve">Effectif affecte</t>
  </si>
  <si>
    <t xml:space="preserve">% moyen d'affectation</t>
  </si>
  <si>
    <t xml:space="preserve">ANALYSE HOMMES / FEMMES</t>
  </si>
  <si>
    <t xml:space="preserve">%</t>
  </si>
  <si>
    <t xml:space="preserve">RECHERCHE / FILTRES : utilisez le filtre automatique (AutoFiltre) du tableau principal pour filtrer par ID RH, Nom, Fonction, Service, Type de contrat, Statut, Projet ou Annee. Utilisez la cellule L8 pour filtrer la synthese generale par annee d'entree (ou "Total").</t>
  </si>
  <si>
    <t xml:space="preserve">O.N.G BK  —  SUIVI - EVALUATION &amp; IMPACT (SERA / MEAL)</t>
  </si>
  <si>
    <t xml:space="preserve">-&gt; RESSOURCES HUMAINES</t>
  </si>
  <si>
    <t xml:space="preserve">Cette feuille utilise les ID PROJET (PROJETS) et ID ACTIVITE (ACTIVITES) et alimente automatiquement RAPPORTS et TABLEAU DE BORD.</t>
  </si>
  <si>
    <t xml:space="preserve">SYNTHESE GENERALE DU SUIVI-EVALUATION (calcul automatique)</t>
  </si>
  <si>
    <t xml:space="preserve">Indicateurs suivis</t>
  </si>
  <si>
    <t xml:space="preserve">Projets couverts</t>
  </si>
  <si>
    <t xml:space="preserve">Activites liees</t>
  </si>
  <si>
    <t xml:space="preserve">Cibles atteintes</t>
  </si>
  <si>
    <t xml:space="preserve">Cibles non atteintes</t>
  </si>
  <si>
    <t xml:space="preserve">Taux moyen de realisation</t>
  </si>
  <si>
    <t xml:space="preserve">Beneficiaires cibles</t>
  </si>
  <si>
    <t xml:space="preserve">Beneficiaires atteints</t>
  </si>
  <si>
    <t xml:space="preserve">Taux de couverture moyen</t>
  </si>
  <si>
    <t xml:space="preserve">Projets bonne performance</t>
  </si>
  <si>
    <t xml:space="preserve">Projets a surveiller</t>
  </si>
  <si>
    <t xml:space="preserve">Statut global</t>
  </si>
  <si>
    <t xml:space="preserve">TABLEAU PRINCIPAL — SUIVI DES INDICATEURS DE PERFORMANCE</t>
  </si>
  <si>
    <t xml:space="preserve">ID Indicateur</t>
  </si>
  <si>
    <t xml:space="preserve">Activite liee</t>
  </si>
  <si>
    <t xml:space="preserve">Niveau (chaine de resultats)</t>
  </si>
  <si>
    <t xml:space="preserve">Resultat / produit attendu</t>
  </si>
  <si>
    <t xml:space="preserve">Intitule de l'indicateur</t>
  </si>
  <si>
    <t xml:space="preserve">Definition</t>
  </si>
  <si>
    <t xml:space="preserve">Type d'indicateur</t>
  </si>
  <si>
    <t xml:space="preserve">Unite de mesure</t>
  </si>
  <si>
    <t xml:space="preserve">Methode de calcul</t>
  </si>
  <si>
    <t xml:space="preserve">Frequence de suivi</t>
  </si>
  <si>
    <t xml:space="preserve">Fonction du responsable</t>
  </si>
  <si>
    <t xml:space="preserve">Valeur de reference (baseline)</t>
  </si>
  <si>
    <t xml:space="preserve">Annee baseline</t>
  </si>
  <si>
    <t xml:space="preserve">Source baseline</t>
  </si>
  <si>
    <t xml:space="preserve">Cible globale</t>
  </si>
  <si>
    <t xml:space="preserve">Cible periode</t>
  </si>
  <si>
    <t xml:space="preserve">Date de mesure</t>
  </si>
  <si>
    <t xml:space="preserve">Ecart</t>
  </si>
  <si>
    <t xml:space="preserve">Statut cible</t>
  </si>
  <si>
    <t xml:space="preserve">Hommes atteints</t>
  </si>
  <si>
    <t xml:space="preserve">Femmes atteintes</t>
  </si>
  <si>
    <t xml:space="preserve">Jeunes atteints</t>
  </si>
  <si>
    <t xml:space="preserve">Taux de couverture</t>
  </si>
  <si>
    <t xml:space="preserve">Commune</t>
  </si>
  <si>
    <t xml:space="preserve">Source de verification</t>
  </si>
  <si>
    <t xml:space="preserve">Outil utilise</t>
  </si>
  <si>
    <t xml:space="preserve">Collecteur</t>
  </si>
  <si>
    <t xml:space="preserve">Qualite des donnees</t>
  </si>
  <si>
    <t xml:space="preserve">Risque / probleme lie</t>
  </si>
  <si>
    <t xml:space="preserve">RISQUES, PROBLEMES &amp; PLAN D'ACTION CORRECTIVE</t>
  </si>
  <si>
    <t xml:space="preserve">Risque / Probleme</t>
  </si>
  <si>
    <t xml:space="preserve">Cause</t>
  </si>
  <si>
    <t xml:space="preserve">Action corrective</t>
  </si>
  <si>
    <t xml:space="preserve">ID Responsable</t>
  </si>
  <si>
    <t xml:space="preserve">LECONS APPRISES &amp; BONNES PRATIQUES</t>
  </si>
  <si>
    <t xml:space="preserve">Situation / Contexte</t>
  </si>
  <si>
    <t xml:space="preserve">Lecon apprise</t>
  </si>
  <si>
    <t xml:space="preserve">Ce qui a fonctionne</t>
  </si>
  <si>
    <t xml:space="preserve">Ce qui n'a pas fonctionne</t>
  </si>
  <si>
    <t xml:space="preserve">Bonne pratique / Innovation</t>
  </si>
  <si>
    <t xml:space="preserve">Recommandation</t>
  </si>
  <si>
    <t xml:space="preserve">EVALUATIONS</t>
  </si>
  <si>
    <t xml:space="preserve">Type d'evaluation</t>
  </si>
  <si>
    <t xml:space="preserve">Methodologie</t>
  </si>
  <si>
    <t xml:space="preserve">Principaux resultats</t>
  </si>
  <si>
    <t xml:space="preserve">Conclusions</t>
  </si>
  <si>
    <t xml:space="preserve">O.N.G BK  —  CENTRE DE RAPPORTING &amp; ANALYSE</t>
  </si>
  <si>
    <t xml:space="preserve">Genere automatiquement a partir des donnees enregistrees dans les autres feuilles du classeur — Donnons la joie a la jeunesse</t>
  </si>
  <si>
    <t xml:space="preserve">LEGENDE : texte vert italique = donnee recuperee automatiquement depuis une autre feuille du classeur  |  (*) = valeur cumulee (Total general), la feuille source ne comportant pas de champ Annee permettant un filtrage  |  aucune valeur n'est saisie manuellement dans cette feuille</t>
  </si>
  <si>
    <t xml:space="preserve">FILTRES CENTRAUX</t>
  </si>
  <si>
    <t xml:space="preserve">Annee selectionnee :</t>
  </si>
  <si>
    <t xml:space="preserve">Projet (fiche detail) :</t>
  </si>
  <si>
    <t xml:space="preserve">Donateur (fiche detail) :</t>
  </si>
  <si>
    <t xml:space="preserve">Date de generation :</t>
  </si>
  <si>
    <t xml:space="preserve">Domaine de reference (rapport §13) :</t>
  </si>
  <si>
    <t xml:space="preserve">Voir tableau ci-dessous (tous domaines)</t>
  </si>
  <si>
    <t xml:space="preserve">1.  TABLEAU DE SYNTHESE GENERALE</t>
  </si>
  <si>
    <t xml:space="preserve">Projets actifs (en cours)</t>
  </si>
  <si>
    <t xml:space="preserve">Beneficiaires (total)</t>
  </si>
  <si>
    <t xml:space="preserve">Personnel actif</t>
  </si>
  <si>
    <t xml:space="preserve">Partenaires (total)</t>
  </si>
  <si>
    <t xml:space="preserve">(*)</t>
  </si>
  <si>
    <t xml:space="preserve">Donateurs (total)</t>
  </si>
  <si>
    <t xml:space="preserve">Financements obtenus (FCFA)</t>
  </si>
  <si>
    <t xml:space="preserve">Recettes recues (FCFA)</t>
  </si>
  <si>
    <t xml:space="preserve">2.  RAPPORT INSTITUTIONNEL</t>
  </si>
  <si>
    <t xml:space="preserve">Vision</t>
  </si>
  <si>
    <t xml:space="preserve">Nombre de domaines d'intervention</t>
  </si>
  <si>
    <t xml:space="preserve">Nombre de projets (cumul)</t>
  </si>
  <si>
    <t xml:space="preserve">Nombre de beneficiaires (cumul)</t>
  </si>
  <si>
    <t xml:space="preserve">Nombre de partenaires (cumul)</t>
  </si>
  <si>
    <t xml:space="preserve">Nombre de donateurs (cumul)</t>
  </si>
  <si>
    <t xml:space="preserve">3.  RAPPORT FINANCIER (annee : voir filtre central)</t>
  </si>
  <si>
    <t xml:space="preserve">Montant</t>
  </si>
  <si>
    <t xml:space="preserve">Budget total prevu (FCFA)</t>
  </si>
  <si>
    <t xml:space="preserve">Budget approuve / de reference (FCFA)</t>
  </si>
  <si>
    <t xml:space="preserve">Financements recus (donateurs, FCFA)</t>
  </si>
  <si>
    <t xml:space="preserve">Solde budgetaire (Budget - Depenses, FCFA)</t>
  </si>
  <si>
    <t xml:space="preserve">Solde de financement (Recettes - Depenses, FCFA)</t>
  </si>
  <si>
    <t xml:space="preserve">4.  RAPPORT DES RECETTES / FINANCEMENTS</t>
  </si>
  <si>
    <t xml:space="preserve">Nb d'operations de recette</t>
  </si>
  <si>
    <t xml:space="preserve">Nb donateurs distincts ayant contribue</t>
  </si>
  <si>
    <t xml:space="preserve">Taux de decaissement</t>
  </si>
  <si>
    <t xml:space="preserve">5.  RAPPORT DES DEPENSES PAR CATEGORIE BUDGETAIRE</t>
  </si>
  <si>
    <t xml:space="preserve">Ecart (FCFA)</t>
  </si>
  <si>
    <t xml:space="preserve">Taux (%)</t>
  </si>
  <si>
    <t xml:space="preserve">6.  RAPPORT DES BAILLEURS / DONATEURS</t>
  </si>
  <si>
    <t xml:space="preserve">Montant demande (FCFA)</t>
  </si>
  <si>
    <t xml:space="preserve">Montant accorde (FCFA)</t>
  </si>
  <si>
    <t xml:space="preserve">A recevoir (FCFA)</t>
  </si>
  <si>
    <t xml:space="preserve">Taux reussite (%)</t>
  </si>
  <si>
    <t xml:space="preserve">Fiche detail du donateur selectionne (voir filtre central) :</t>
  </si>
  <si>
    <t xml:space="preserve">7.  RAPPORT DES PROJETS</t>
  </si>
  <si>
    <t xml:space="preserve">Taux exec. (%)</t>
  </si>
  <si>
    <t xml:space="preserve">Avancement (%)</t>
  </si>
  <si>
    <t xml:space="preserve">Fiche detaillee du projet selectionne (voir filtre central « Projet ») :</t>
  </si>
  <si>
    <t xml:space="preserve">Titre complet</t>
  </si>
  <si>
    <t xml:space="preserve">Donateur / source de financement</t>
  </si>
  <si>
    <t xml:space="preserve">Taux de realisation des activites</t>
  </si>
  <si>
    <t xml:space="preserve">Taux d'avancement global</t>
  </si>
  <si>
    <t xml:space="preserve">8.  RAPPORT DES ACTIVITES</t>
  </si>
  <si>
    <t xml:space="preserve">9.  RAPPORT DES BENEFICIAIRES &amp; GENRE</t>
  </si>
  <si>
    <t xml:space="preserve">Beneficiaires cibles (cumul, projets)</t>
  </si>
  <si>
    <t xml:space="preserve">Beneficiaires atteints (total)</t>
  </si>
  <si>
    <t xml:space="preserve">  dont Hommes</t>
  </si>
  <si>
    <t xml:space="preserve">  dont Femmes</t>
  </si>
  <si>
    <t xml:space="preserve">  dont Jeunes (18-24 ans)</t>
  </si>
  <si>
    <t xml:space="preserve">  dont Enfants (0-17 ans)</t>
  </si>
  <si>
    <t xml:space="preserve">  dont Personnes en situation de handicap</t>
  </si>
  <si>
    <t xml:space="preserve">Taux de couverture (atteints / cibles)</t>
  </si>
  <si>
    <t xml:space="preserve">Beneficiaires</t>
  </si>
  <si>
    <t xml:space="preserve">Personnel (Ressources Humaines)</t>
  </si>
  <si>
    <t xml:space="preserve">10.  RAPPORT DES RESSOURCES HUMAINES</t>
  </si>
  <si>
    <t xml:space="preserve">NB : conformement a la confidentialite RH, aucune donnee salariale individuelle n'est affichee dans ce rapport de synthese.</t>
  </si>
  <si>
    <t xml:space="preserve">11.  RAPPORT DES PARTENARIATS</t>
  </si>
  <si>
    <t xml:space="preserve">Partenaires actifs</t>
  </si>
  <si>
    <t xml:space="preserve">Partenaires techniques</t>
  </si>
  <si>
    <t xml:space="preserve">Partenaires financiers</t>
  </si>
  <si>
    <t xml:space="preserve">Partenaires institutionnels</t>
  </si>
  <si>
    <t xml:space="preserve">12.  RAPPORT SUIVI-EVALUATION</t>
  </si>
  <si>
    <t xml:space="preserve">Projets en bonne performance</t>
  </si>
  <si>
    <t xml:space="preserve">13.  RAPPORT PAR DOMAINE D'INTERVENTION</t>
  </si>
  <si>
    <t xml:space="preserve">Projets</t>
  </si>
  <si>
    <t xml:space="preserve">Activites</t>
  </si>
  <si>
    <t xml:space="preserve">14.  INDICATEURS DE PERFORMANCE</t>
  </si>
  <si>
    <t xml:space="preserve">Taux d'atteinte des objectifs (indicateurs SE)</t>
  </si>
  <si>
    <t xml:space="preserve">Taux de couverture des beneficiaires</t>
  </si>
  <si>
    <t xml:space="preserve">Taux de reussite des financements (demandes)</t>
  </si>
  <si>
    <t xml:space="preserve">Taux de consommation budgetaire</t>
  </si>
  <si>
    <t xml:space="preserve">Taux de decaissement (recettes)</t>
  </si>
  <si>
    <t xml:space="preserve">15.  ALERTES DE REPORTING</t>
  </si>
  <si>
    <t xml:space="preserve">Nb de cas</t>
  </si>
  <si>
    <t xml:space="preserve">🔴 Projets sans budget approuve</t>
  </si>
  <si>
    <t xml:space="preserve">🔴 Projets en retard</t>
  </si>
  <si>
    <t xml:space="preserve">🔴 Projets en depassement budgetaire</t>
  </si>
  <si>
    <t xml:space="preserve">🔴 Projets a financement insuffisant</t>
  </si>
  <si>
    <t xml:space="preserve">🟠 Activites en retard</t>
  </si>
  <si>
    <t xml:space="preserve">🟠 Depenses sans justificatif</t>
  </si>
  <si>
    <t xml:space="preserve">🟠 Lignes budgetaires en alerte (vigilance/depassement)</t>
  </si>
  <si>
    <t xml:space="preserve">🔴 Conventions partenaires a renouveler (&lt;=60j)</t>
  </si>
  <si>
    <t xml:space="preserve">🔴 Contrats RH a renouveler (&lt;=60j)</t>
  </si>
  <si>
    <t xml:space="preserve">🟠 Donateurs a relancer</t>
  </si>
  <si>
    <t xml:space="preserve">16.  GRAPHIQUES</t>
  </si>
  <si>
    <t xml:space="preserve">Donnees source des graphiques (calculees automatiquement, annee par annee) :</t>
  </si>
  <si>
    <t xml:space="preserve">Recettes (FCFA)</t>
  </si>
  <si>
    <t xml:space="preserve">Projets par domaine -&gt;</t>
  </si>
  <si>
    <t xml:space="preserve">17.  COMMENTAIRES ET RECOMMANDATIONS</t>
  </si>
  <si>
    <t xml:space="preserve">Principales realisations :</t>
  </si>
  <si>
    <t xml:space="preserve">Difficultes rencontrees :</t>
  </si>
  <si>
    <t xml:space="preserve">Ecarts et causes :</t>
  </si>
  <si>
    <t xml:space="preserve">Mesures correctives :</t>
  </si>
  <si>
    <t xml:space="preserve">Recommandations :</t>
  </si>
  <si>
    <t xml:space="preserve">Prochaines etapes :</t>
  </si>
  <si>
    <t xml:space="preserve">18.  VALIDATION DU RAPPORT</t>
  </si>
  <si>
    <t xml:space="preserve">Verifie par</t>
  </si>
  <si>
    <t xml:space="preserve">Nom :</t>
  </si>
  <si>
    <t xml:space="preserve">Fonction :</t>
  </si>
  <si>
    <t xml:space="preserve">Date :</t>
  </si>
  <si>
    <t xml:space="preserve">Signature :</t>
  </si>
  <si>
    <t xml:space="preserve">O.N.G BK — Rapports &amp; Analyses — Document genere automatiquement — Toute mise a jour des feuilles sources actualise ce rapport.</t>
  </si>
  <si>
    <t xml:space="preserve">O.N.G BK  |  TABLEAU DE BORD DE PILOTAGE</t>
  </si>
  <si>
    <t xml:space="preserve">Toutes les années</t>
  </si>
  <si>
    <t xml:space="preserve">Tous les mois</t>
  </si>
  <si>
    <t xml:space="preserve">Tous</t>
  </si>
  <si>
    <t xml:space="preserve">En préparation</t>
  </si>
  <si>
    <t xml:space="preserve">Planifiée</t>
  </si>
  <si>
    <t xml:space="preserve">Année</t>
  </si>
  <si>
    <t xml:space="preserve">Bénéficiaires</t>
  </si>
  <si>
    <t xml:space="preserve">Recettes</t>
  </si>
  <si>
    <t xml:space="preserve">Dépenses</t>
  </si>
  <si>
    <t xml:space="preserve">Activités réalisées</t>
  </si>
  <si>
    <t xml:space="preserve">Solde</t>
  </si>
  <si>
    <t xml:space="preserve">Statut projet</t>
  </si>
  <si>
    <t xml:space="preserve">Statut activité</t>
  </si>
  <si>
    <t xml:space="preserve">Février</t>
  </si>
  <si>
    <t xml:space="preserve">Vision consolidée : projets • bénéficiaires • activités • finances • partenaires • donateurs • ressources humaines • suivi-évaluation</t>
  </si>
  <si>
    <t xml:space="preserve">Terminé</t>
  </si>
  <si>
    <t xml:space="preserve">Réalisée</t>
  </si>
  <si>
    <t xml:space="preserve">Reportée</t>
  </si>
  <si>
    <t xml:space="preserve">FILTRES DE PILOTAGE</t>
  </si>
  <si>
    <t xml:space="preserve">Annulé</t>
  </si>
  <si>
    <t xml:space="preserve">Annulée</t>
  </si>
  <si>
    <t xml:space="preserve">ANNÉE</t>
  </si>
  <si>
    <t xml:space="preserve">MOIS</t>
  </si>
  <si>
    <t xml:space="preserve">DOMAINE</t>
  </si>
  <si>
    <t xml:space="preserve">Les indicateurs opérationnels et financiers suivent les filtres. Les référentiels institutionnels restent cumulatifs.</t>
  </si>
  <si>
    <t xml:space="preserve">Août</t>
  </si>
  <si>
    <t xml:space="preserve">PROJETS</t>
  </si>
  <si>
    <t xml:space="preserve">BÉNÉFICIAIRES</t>
  </si>
  <si>
    <t xml:space="preserve">ACTIVITÉS RÉALISÉES</t>
  </si>
  <si>
    <t xml:space="preserve">BUDGET APPROUVÉ</t>
  </si>
  <si>
    <t xml:space="preserve">FINANCEMENTS REÇUS</t>
  </si>
  <si>
    <t xml:space="preserve">DÉPENSES</t>
  </si>
  <si>
    <t xml:space="preserve">Décembre</t>
  </si>
  <si>
    <t xml:space="preserve">SOLDE BUDGÉTAIRE</t>
  </si>
  <si>
    <t xml:space="preserve">TAUX D'EXÉCUTION</t>
  </si>
  <si>
    <t xml:space="preserve">PERFORMANCE PROJETS</t>
  </si>
  <si>
    <t xml:space="preserve">PARTENAIRES ACTIFS</t>
  </si>
  <si>
    <t xml:space="preserve">DONATEURS ACTIFS</t>
  </si>
  <si>
    <t xml:space="preserve">RH ACTIVES</t>
  </si>
  <si>
    <t xml:space="preserve">FINANCES — RECETTES VS DÉPENSES</t>
  </si>
  <si>
    <t xml:space="preserve">PORTEFEUILLE DES PROJETS — STATUT</t>
  </si>
  <si>
    <t xml:space="preserve">BÉNÉFICIAIRES — RÉPARTITION PAR SEXE</t>
  </si>
  <si>
    <t xml:space="preserve">ACTIVITÉS — STATUT D'AVANCEMENT</t>
  </si>
  <si>
    <t xml:space="preserve">ÉVOLUTION &amp; COURBES KPI — 2024 À 2033</t>
  </si>
  <si>
    <t xml:space="preserve">Projets en retard</t>
  </si>
  <si>
    <t xml:space="preserve">Projets en dépassement budgétaire</t>
  </si>
  <si>
    <t xml:space="preserve">Dépenses en anomalie</t>
  </si>
  <si>
    <t xml:space="preserve">Indicateurs S&amp;E en alerte</t>
  </si>
  <si>
    <t xml:space="preserve">Activités en retard</t>
  </si>
  <si>
    <t xml:space="preserve">Donateurs à relancer</t>
  </si>
  <si>
    <t xml:space="preserve">ÉVOLUTION ANNUELLE — 2024 À 2033</t>
  </si>
  <si>
    <t xml:space="preserve">Source : données des feuilles du classeur O.N.G BK. Cette feuille est le seul élément modifié. Les listes déroulantes en haut permettent de changer la période d'analyse.</t>
  </si>
</sst>
</file>

<file path=xl/styles.xml><?xml version="1.0" encoding="utf-8"?>
<styleSheet xmlns="http://schemas.openxmlformats.org/spreadsheetml/2006/main">
  <numFmts count="13">
    <numFmt numFmtId="164" formatCode="General"/>
    <numFmt numFmtId="165" formatCode="0%"/>
    <numFmt numFmtId="166" formatCode="m/d/yyyy"/>
    <numFmt numFmtId="167" formatCode="@"/>
    <numFmt numFmtId="168" formatCode="0"/>
    <numFmt numFmtId="169" formatCode="#,##0"/>
    <numFmt numFmtId="170" formatCode="h:mm"/>
    <numFmt numFmtId="171" formatCode="0.0"/>
    <numFmt numFmtId="172" formatCode="[$-F400]h:mm:ss\ AM/PM"/>
    <numFmt numFmtId="173" formatCode="0.0%"/>
    <numFmt numFmtId="174" formatCode="0.0000"/>
    <numFmt numFmtId="175" formatCode="#,##0&quot; FCFA&quot;"/>
    <numFmt numFmtId="176" formatCode="#\ ##0&quot; FCFA&quot;"/>
  </numFmts>
  <fonts count="6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i val="true"/>
      <sz val="9"/>
      <color rgb="FF5D6D7E"/>
      <name val="Arial"/>
      <family val="0"/>
      <charset val="1"/>
    </font>
    <font>
      <b val="true"/>
      <sz val="12"/>
      <color rgb="FFFFFFFF"/>
      <name val="Arial"/>
      <family val="0"/>
      <charset val="1"/>
    </font>
    <font>
      <u val="single"/>
      <sz val="10"/>
      <color rgb="FF1B4F72"/>
      <name val="Arial"/>
      <family val="0"/>
      <charset val="1"/>
    </font>
    <font>
      <i val="true"/>
      <sz val="8"/>
      <color rgb="FF2E86C1"/>
      <name val="Arial"/>
      <family val="0"/>
      <charset val="1"/>
    </font>
    <font>
      <b val="true"/>
      <sz val="10"/>
      <color rgb="FF1B4F72"/>
      <name val="Arial"/>
      <family val="0"/>
      <charset val="1"/>
    </font>
    <font>
      <sz val="10"/>
      <color rgb="FF5D6D7E"/>
      <name val="Arial"/>
      <family val="0"/>
      <charset val="1"/>
    </font>
    <font>
      <sz val="10"/>
      <name val="Arial"/>
      <family val="0"/>
      <charset val="1"/>
    </font>
    <font>
      <i val="true"/>
      <u val="single"/>
      <sz val="8"/>
      <color rgb="FF2E86C1"/>
      <name val="Arial"/>
      <family val="0"/>
      <charset val="1"/>
    </font>
    <font>
      <b val="true"/>
      <sz val="9"/>
      <color rgb="FF1B4F72"/>
      <name val="Arial"/>
      <family val="0"/>
      <charset val="1"/>
    </font>
    <font>
      <sz val="9"/>
      <color rgb="FF5D6D7E"/>
      <name val="Arial"/>
      <family val="0"/>
      <charset val="1"/>
    </font>
    <font>
      <sz val="9"/>
      <name val="Arial"/>
      <family val="0"/>
      <charset val="1"/>
    </font>
    <font>
      <i val="true"/>
      <sz val="9"/>
      <color rgb="FF2E86C1"/>
      <name val="Arial"/>
      <family val="0"/>
      <charset val="1"/>
    </font>
    <font>
      <sz val="9"/>
      <color rgb="FF2E86C1"/>
      <name val="Arial"/>
      <family val="0"/>
      <charset val="1"/>
    </font>
    <font>
      <b val="true"/>
      <sz val="15"/>
      <color rgb="FFFFFFFF"/>
      <name val="Arial"/>
      <family val="0"/>
      <charset val="1"/>
    </font>
    <font>
      <sz val="9"/>
      <color rgb="FF0000FF"/>
      <name val="Arial"/>
      <family val="0"/>
      <charset val="1"/>
    </font>
    <font>
      <sz val="10"/>
      <color rgb="FF0000FF"/>
      <name val="Arial"/>
      <family val="0"/>
      <charset val="1"/>
    </font>
    <font>
      <i val="true"/>
      <sz val="10"/>
      <color rgb="FF1E8449"/>
      <name val="Arial"/>
      <family val="0"/>
      <charset val="1"/>
    </font>
    <font>
      <sz val="10"/>
      <color rgb="FF000000"/>
      <name val="Arial"/>
      <family val="0"/>
      <charset val="1"/>
    </font>
    <font>
      <sz val="11"/>
      <color rgb="FF0000FF"/>
      <name val="Arial"/>
      <family val="0"/>
      <charset val="1"/>
    </font>
    <font>
      <sz val="10"/>
      <color rgb="FF1B4F72"/>
      <name val="Arial"/>
      <family val="0"/>
      <charset val="1"/>
    </font>
    <font>
      <b val="true"/>
      <i val="true"/>
      <sz val="10"/>
      <color rgb="FF5D6D7E"/>
      <name val="Arial"/>
      <family val="0"/>
      <charset val="1"/>
    </font>
    <font>
      <i val="true"/>
      <sz val="8"/>
      <color rgb="FF5D6D7E"/>
      <name val="Arial"/>
      <family val="0"/>
      <charset val="1"/>
    </font>
    <font>
      <b val="true"/>
      <sz val="10"/>
      <color rgb="FFFFFFFF"/>
      <name val="Arial"/>
      <family val="0"/>
      <charset val="1"/>
    </font>
    <font>
      <i val="true"/>
      <sz val="10"/>
      <color rgb="FF5D6D7E"/>
      <name val="Arial"/>
      <family val="0"/>
      <charset val="1"/>
    </font>
    <font>
      <b val="true"/>
      <u val="single"/>
      <sz val="10"/>
      <color rgb="FFFFFFFF"/>
      <name val="Arial"/>
      <family val="0"/>
      <charset val="1"/>
    </font>
    <font>
      <b val="true"/>
      <sz val="10"/>
      <color rgb="FF0000FF"/>
      <name val="Arial"/>
      <family val="0"/>
      <charset val="1"/>
    </font>
    <font>
      <b val="true"/>
      <sz val="11"/>
      <color rgb="FFFFFFFF"/>
      <name val="Arial"/>
      <family val="0"/>
      <charset val="1"/>
    </font>
    <font>
      <b val="true"/>
      <u val="single"/>
      <sz val="9"/>
      <color rgb="FFFFFFFF"/>
      <name val="Arial"/>
      <family val="0"/>
      <charset val="1"/>
    </font>
    <font>
      <b val="true"/>
      <sz val="9"/>
      <color rgb="FFFFFFFF"/>
      <name val="Arial"/>
      <family val="0"/>
      <charset val="1"/>
    </font>
    <font>
      <b val="true"/>
      <sz val="14"/>
      <color rgb="FF1B4F72"/>
      <name val="Arial"/>
      <family val="0"/>
      <charset val="1"/>
    </font>
    <font>
      <i val="true"/>
      <sz val="10"/>
      <color rgb="FF196F3D"/>
      <name val="Arial"/>
      <family val="0"/>
      <charset val="1"/>
    </font>
    <font>
      <i val="true"/>
      <sz val="8"/>
      <color rgb="FF808080"/>
      <name val="Arial"/>
      <family val="0"/>
      <charset val="1"/>
    </font>
    <font>
      <i val="true"/>
      <sz val="9"/>
      <color rgb="FF808080"/>
      <name val="Arial"/>
      <family val="0"/>
      <charset val="1"/>
    </font>
    <font>
      <b val="true"/>
      <sz val="8"/>
      <color rgb="FFFFFFFF"/>
      <name val="Arial"/>
      <family val="0"/>
      <charset val="1"/>
    </font>
    <font>
      <b val="true"/>
      <sz val="13"/>
      <color rgb="FF1B4F72"/>
      <name val="Arial"/>
      <family val="0"/>
      <charset val="1"/>
    </font>
    <font>
      <b val="true"/>
      <sz val="9"/>
      <name val="Arial"/>
      <family val="0"/>
      <charset val="1"/>
    </font>
    <font>
      <i val="true"/>
      <sz val="9"/>
      <color rgb="FF196F3D"/>
      <name val="Arial"/>
      <family val="0"/>
      <charset val="1"/>
    </font>
    <font>
      <b val="true"/>
      <sz val="11"/>
      <color rgb="FF1B4F72"/>
      <name val="Arial"/>
      <family val="0"/>
      <charset val="1"/>
    </font>
    <font>
      <sz val="9"/>
      <color rgb="FF196F3D"/>
      <name val="Arial"/>
      <family val="0"/>
      <charset val="1"/>
    </font>
    <font>
      <i val="true"/>
      <sz val="9"/>
      <name val="Arial"/>
      <family val="0"/>
      <charset val="1"/>
    </font>
    <font>
      <b val="true"/>
      <sz val="10"/>
      <color rgb="FF212F3C"/>
      <name val="Arial"/>
      <family val="0"/>
      <charset val="1"/>
    </font>
    <font>
      <b val="true"/>
      <i val="true"/>
      <sz val="10"/>
      <color rgb="FF1E8449"/>
      <name val="Arial"/>
      <family val="0"/>
      <charset val="1"/>
    </font>
    <font>
      <i val="true"/>
      <sz val="9"/>
      <color rgb="FF1E8449"/>
      <name val="Arial"/>
      <family val="0"/>
      <charset val="1"/>
    </font>
    <font>
      <sz val="9"/>
      <color rgb="FF1C2833"/>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22"/>
      <color rgb="FF10243E"/>
      <name val="Aptos Display"/>
      <family val="0"/>
      <charset val="1"/>
    </font>
    <font>
      <sz val="8"/>
      <color rgb="FFFFFFFF"/>
      <name val="Cambria"/>
      <family val="0"/>
      <charset val="1"/>
    </font>
    <font>
      <sz val="8"/>
      <color rgb="FF666666"/>
      <name val="Cambria"/>
      <family val="0"/>
      <charset val="1"/>
    </font>
    <font>
      <i val="true"/>
      <sz val="10"/>
      <color rgb="FF667085"/>
      <name val="Aptos"/>
      <family val="0"/>
      <charset val="1"/>
    </font>
    <font>
      <b val="true"/>
      <sz val="10"/>
      <color rgb="FFFFFFFF"/>
      <name val="Aptos"/>
      <family val="0"/>
      <charset val="1"/>
    </font>
    <font>
      <b val="true"/>
      <sz val="10"/>
      <color rgb="FF10243E"/>
      <name val="Aptos"/>
      <family val="0"/>
      <charset val="1"/>
    </font>
    <font>
      <i val="true"/>
      <sz val="9"/>
      <color rgb="FF6B7785"/>
      <name val="Aptos"/>
      <family val="0"/>
      <charset val="1"/>
    </font>
    <font>
      <b val="true"/>
      <sz val="11"/>
      <color rgb="FF1677FF"/>
      <name val="Aptos"/>
      <family val="0"/>
      <charset val="1"/>
    </font>
    <font>
      <b val="true"/>
      <sz val="9"/>
      <color rgb="FFFFFFFF"/>
      <name val="Aptos"/>
      <family val="0"/>
      <charset val="1"/>
    </font>
    <font>
      <b val="true"/>
      <sz val="19"/>
      <color rgb="FF1D2939"/>
      <name val="Aptos"/>
      <family val="0"/>
      <charset val="1"/>
    </font>
    <font>
      <b val="true"/>
      <sz val="17"/>
      <color rgb="FF1D2939"/>
      <name val="Aptos"/>
      <family val="0"/>
      <charset val="1"/>
    </font>
    <font>
      <b val="true"/>
      <sz val="9"/>
      <color rgb="FF6B7785"/>
      <name val="Aptos"/>
      <family val="0"/>
      <charset val="1"/>
    </font>
    <font>
      <b val="true"/>
      <sz val="18"/>
      <color rgb="FFC74634"/>
      <name val="Aptos"/>
      <family val="0"/>
      <charset val="1"/>
    </font>
    <font>
      <b val="true"/>
      <sz val="11"/>
      <color rgb="FFFFFFFF"/>
      <name val="Aptos"/>
      <family val="0"/>
      <charset val="1"/>
    </font>
  </fonts>
  <fills count="23">
    <fill>
      <patternFill patternType="none"/>
    </fill>
    <fill>
      <patternFill patternType="gray125"/>
    </fill>
    <fill>
      <patternFill patternType="solid">
        <fgColor rgb="FF1B4F72"/>
        <bgColor rgb="FF17324D"/>
      </patternFill>
    </fill>
    <fill>
      <patternFill patternType="solid">
        <fgColor rgb="FFC0134F"/>
        <bgColor rgb="FFA93226"/>
      </patternFill>
    </fill>
    <fill>
      <patternFill patternType="solid">
        <fgColor rgb="FF2E86C1"/>
        <bgColor rgb="FF4F81BD"/>
      </patternFill>
    </fill>
    <fill>
      <patternFill patternType="solid">
        <fgColor rgb="FFEBF5FB"/>
        <bgColor rgb="FFF2F3F4"/>
      </patternFill>
    </fill>
    <fill>
      <patternFill patternType="solid">
        <fgColor rgb="FFFFFFFF"/>
        <bgColor rgb="FFF4FBF6"/>
      </patternFill>
    </fill>
    <fill>
      <patternFill patternType="solid">
        <fgColor rgb="FFD6EAF8"/>
        <bgColor rgb="FFDCE5ED"/>
      </patternFill>
    </fill>
    <fill>
      <patternFill patternType="solid">
        <fgColor rgb="FFF2F3F4"/>
        <bgColor rgb="FFF4F6F6"/>
      </patternFill>
    </fill>
    <fill>
      <patternFill patternType="solid">
        <fgColor rgb="FFF4FBF6"/>
        <bgColor rgb="FFF4F7FA"/>
      </patternFill>
    </fill>
    <fill>
      <patternFill patternType="solid">
        <fgColor rgb="FFF4F6F6"/>
        <bgColor rgb="FFF4F6F7"/>
      </patternFill>
    </fill>
    <fill>
      <patternFill patternType="solid">
        <fgColor rgb="FFFDEBD0"/>
        <bgColor rgb="FFFFF9C4"/>
      </patternFill>
    </fill>
    <fill>
      <patternFill patternType="solid">
        <fgColor rgb="FFFFF9C4"/>
        <bgColor rgb="FFFDEBD0"/>
      </patternFill>
    </fill>
    <fill>
      <patternFill patternType="solid">
        <fgColor rgb="FFF4F6F7"/>
        <bgColor rgb="FFF4F6F6"/>
      </patternFill>
    </fill>
    <fill>
      <patternFill patternType="solid">
        <fgColor rgb="FF17324D"/>
        <bgColor rgb="FF212F3C"/>
      </patternFill>
    </fill>
    <fill>
      <patternFill patternType="solid">
        <fgColor rgb="FF10243E"/>
        <bgColor rgb="FF1C2833"/>
      </patternFill>
    </fill>
    <fill>
      <patternFill patternType="solid">
        <fgColor rgb="FFF4F7FA"/>
        <bgColor rgb="FFF4F6F7"/>
      </patternFill>
    </fill>
    <fill>
      <patternFill patternType="solid">
        <fgColor rgb="FF1677FF"/>
        <bgColor rgb="FF2E86C1"/>
      </patternFill>
    </fill>
    <fill>
      <patternFill patternType="solid">
        <fgColor rgb="FF18B7D8"/>
        <bgColor rgb="FF16A085"/>
      </patternFill>
    </fill>
    <fill>
      <patternFill patternType="solid">
        <fgColor rgb="FF7C5CFC"/>
        <bgColor rgb="FF4F81BD"/>
      </patternFill>
    </fill>
    <fill>
      <patternFill patternType="solid">
        <fgColor rgb="FF16A085"/>
        <bgColor rgb="FF1E8449"/>
      </patternFill>
    </fill>
    <fill>
      <patternFill patternType="solid">
        <fgColor rgb="FFF2B84B"/>
        <bgColor rgb="FFF5B7B1"/>
      </patternFill>
    </fill>
    <fill>
      <patternFill patternType="solid">
        <fgColor rgb="FFE05252"/>
        <bgColor rgb="FFC0504D"/>
      </patternFill>
    </fill>
  </fills>
  <borders count="12">
    <border diagonalUp="false" diagonalDown="false">
      <left/>
      <right/>
      <top/>
      <bottom/>
      <diagonal/>
    </border>
    <border diagonalUp="false" diagonalDown="false">
      <left style="thin">
        <color rgb="FFB2BABB"/>
      </left>
      <right style="thin">
        <color rgb="FFB2BABB"/>
      </right>
      <top style="thin">
        <color rgb="FFB2BABB"/>
      </top>
      <bottom style="thin">
        <color rgb="FFB2BABB"/>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2E86C1"/>
      </left>
      <right style="medium">
        <color rgb="FF2E86C1"/>
      </right>
      <top style="medium">
        <color rgb="FF2E86C1"/>
      </top>
      <bottom style="medium">
        <color rgb="FF2E86C1"/>
      </bottom>
      <diagonal/>
    </border>
    <border diagonalUp="false" diagonalDown="false">
      <left style="thin">
        <color rgb="FFBFBFBF"/>
      </left>
      <right/>
      <top style="thin">
        <color rgb="FFBFBFBF"/>
      </top>
      <bottom style="thin">
        <color rgb="FFBFBFBF"/>
      </bottom>
      <diagonal/>
    </border>
    <border diagonalUp="false" diagonalDown="false">
      <left style="thin">
        <color rgb="FFBFC9CA"/>
      </left>
      <right style="thin">
        <color rgb="FFBFC9CA"/>
      </right>
      <top style="thin">
        <color rgb="FFBFC9CA"/>
      </top>
      <bottom style="thin">
        <color rgb="FFBFC9CA"/>
      </bottom>
      <diagonal/>
    </border>
    <border diagonalUp="false" diagonalDown="false">
      <left style="thin">
        <color rgb="FFBFC9CA"/>
      </left>
      <right/>
      <top style="thin">
        <color rgb="FFBFC9CA"/>
      </top>
      <bottom style="thin">
        <color rgb="FFBFC9CA"/>
      </bottom>
      <diagonal/>
    </border>
    <border diagonalUp="false" diagonalDown="false">
      <left style="thin">
        <color rgb="FFDCE5ED"/>
      </left>
      <right style="thin">
        <color rgb="FFDCE5ED"/>
      </right>
      <top style="thin">
        <color rgb="FFDCE5ED"/>
      </top>
      <bottom style="thin">
        <color rgb="FFDCE5ED"/>
      </bottom>
      <diagonal/>
    </border>
    <border diagonalUp="false" diagonalDown="false">
      <left style="medium">
        <color rgb="FF1677FF"/>
      </left>
      <right style="medium">
        <color rgb="FF1677FF"/>
      </right>
      <top style="medium">
        <color rgb="FF1677FF"/>
      </top>
      <bottom style="medium">
        <color rgb="FF1677FF"/>
      </bottom>
      <diagonal/>
    </border>
    <border diagonalUp="false" diagonalDown="false">
      <left style="thin">
        <color rgb="FFD9E2EC"/>
      </left>
      <right style="thin">
        <color rgb="FFDCE5ED"/>
      </right>
      <top style="thin">
        <color rgb="FFD9E2EC"/>
      </top>
      <bottom style="thin">
        <color rgb="FFD9E2EC"/>
      </bottom>
      <diagonal/>
    </border>
    <border diagonalUp="false" diagonalDown="false">
      <left style="thin">
        <color rgb="FFD9E2EC"/>
      </left>
      <right style="thin">
        <color rgb="FFDCE5ED"/>
      </right>
      <top style="thin">
        <color rgb="FFD9E2EC"/>
      </top>
      <bottom style="thin">
        <color rgb="FFDCE5E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center" textRotation="0" wrapText="true" indent="1" shrinkToFit="false"/>
      <protection locked="true" hidden="false"/>
    </xf>
    <xf numFmtId="164" fontId="7" fillId="4" borderId="0" xfId="0" applyFont="true" applyBorder="true" applyAlignment="true" applyProtection="false">
      <alignment horizontal="left" vertical="center" textRotation="0" wrapText="false" indent="1" shrinkToFit="false"/>
      <protection locked="true" hidden="false"/>
    </xf>
    <xf numFmtId="164" fontId="8" fillId="5" borderId="0" xfId="0" applyFont="true" applyBorder="true" applyAlignment="true" applyProtection="false">
      <alignment horizontal="left" vertical="center" textRotation="0" wrapText="false" indent="1" shrinkToFit="false"/>
      <protection locked="true" hidden="false"/>
    </xf>
    <xf numFmtId="164" fontId="6" fillId="5" borderId="0" xfId="0" applyFont="true" applyBorder="true" applyAlignment="tru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left" vertical="center" textRotation="0" wrapText="false" indent="1" shrinkToFit="false"/>
      <protection locked="true" hidden="false"/>
    </xf>
    <xf numFmtId="164" fontId="6" fillId="6"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false" indent="1"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1"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left" vertical="center" textRotation="0" wrapText="false" indent="1"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4" fontId="14" fillId="7" borderId="2" xfId="0" applyFont="true" applyBorder="true" applyAlignment="true" applyProtection="false">
      <alignment horizontal="center" vertical="center" textRotation="0" wrapText="true" indent="0" shrinkToFit="false"/>
      <protection locked="true" hidden="false"/>
    </xf>
    <xf numFmtId="164" fontId="15" fillId="8"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16" fillId="0" borderId="2"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general" vertical="bottom" textRotation="0" wrapText="false" indent="0" shrinkToFit="false"/>
      <protection locked="true" hidden="false"/>
    </xf>
    <xf numFmtId="164" fontId="14" fillId="7" borderId="3" xfId="0" applyFont="true" applyBorder="true" applyAlignment="true" applyProtection="false">
      <alignment horizontal="center" vertical="bottom" textRotation="0" wrapText="false" indent="0" shrinkToFit="false"/>
      <protection locked="true" hidden="false"/>
    </xf>
    <xf numFmtId="164" fontId="15" fillId="8" borderId="3" xfId="0" applyFont="true" applyBorder="true" applyAlignment="true" applyProtection="false">
      <alignment horizontal="center" vertical="bottom" textRotation="0" wrapText="false" indent="0" shrinkToFit="false"/>
      <protection locked="true" hidden="false"/>
    </xf>
    <xf numFmtId="164" fontId="16" fillId="0" borderId="3" xfId="0" applyFont="true" applyBorder="true" applyAlignment="true" applyProtection="false">
      <alignment horizontal="left" vertical="bottom" textRotation="0" wrapText="false" indent="0" shrinkToFit="false"/>
      <protection locked="true" hidden="false"/>
    </xf>
    <xf numFmtId="164" fontId="16" fillId="0" borderId="3"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true" applyAlignment="true" applyProtection="false">
      <alignment horizontal="left" vertical="center" textRotation="0" wrapText="false" indent="1"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6" fontId="20" fillId="6"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20" fillId="6" borderId="1" xfId="0" applyFont="true" applyBorder="true" applyAlignment="tru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left" vertical="center" textRotation="0" wrapText="true" indent="1" shrinkToFit="false"/>
      <protection locked="true" hidden="false"/>
    </xf>
    <xf numFmtId="164" fontId="21" fillId="6" borderId="1" xfId="0" applyFont="true" applyBorder="true" applyAlignment="true" applyProtection="false">
      <alignment horizontal="left" vertical="center" textRotation="0" wrapText="false" indent="1" shrinkToFit="false"/>
      <protection locked="true" hidden="false"/>
    </xf>
    <xf numFmtId="164" fontId="22" fillId="6" borderId="1" xfId="0" applyFont="true" applyBorder="true" applyAlignment="true" applyProtection="false">
      <alignment horizontal="left" vertical="center" textRotation="0" wrapText="false" indent="1" shrinkToFit="false"/>
      <protection locked="true" hidden="false"/>
    </xf>
    <xf numFmtId="164" fontId="23" fillId="0" borderId="1" xfId="0" applyFont="true" applyBorder="true" applyAlignment="true" applyProtection="false">
      <alignment horizontal="left" vertical="center" textRotation="0" wrapText="true" indent="1" shrinkToFit="false"/>
      <protection locked="true" hidden="false"/>
    </xf>
    <xf numFmtId="164" fontId="21" fillId="0" borderId="1" xfId="0" applyFont="true" applyBorder="true" applyAlignment="true" applyProtection="false">
      <alignment horizontal="left" vertical="center" textRotation="0" wrapText="true" indent="1" shrinkToFit="false"/>
      <protection locked="true" hidden="false"/>
    </xf>
    <xf numFmtId="164" fontId="24" fillId="6" borderId="4" xfId="0" applyFont="true" applyBorder="true" applyAlignment="true" applyProtection="false">
      <alignment horizontal="left" vertical="top" textRotation="0" wrapText="true" indent="1" shrinkToFit="false"/>
      <protection locked="true" hidden="false"/>
    </xf>
    <xf numFmtId="164" fontId="22" fillId="9" borderId="1" xfId="0" applyFont="true" applyBorder="true" applyAlignment="true" applyProtection="false">
      <alignment horizontal="left" vertical="center" textRotation="0" wrapText="true" indent="1" shrinkToFit="false"/>
      <protection locked="true" hidden="false"/>
    </xf>
    <xf numFmtId="164" fontId="25" fillId="0" borderId="1" xfId="0" applyFont="true" applyBorder="true" applyAlignment="true" applyProtection="false">
      <alignment horizontal="left" vertical="center" textRotation="0" wrapText="false" indent="1" shrinkToFit="false"/>
      <protection locked="true" hidden="false"/>
    </xf>
    <xf numFmtId="164" fontId="26" fillId="10" borderId="1" xfId="0" applyFont="true" applyBorder="true" applyAlignment="true" applyProtection="false">
      <alignment horizontal="center" vertical="center" textRotation="0" wrapText="false" indent="0" shrinkToFit="false"/>
      <protection locked="true" hidden="false"/>
    </xf>
    <xf numFmtId="164" fontId="27" fillId="0" borderId="1" xfId="0" applyFont="true" applyBorder="true" applyAlignment="true" applyProtection="false">
      <alignment horizontal="left" vertical="center" textRotation="0" wrapText="true" indent="1" shrinkToFit="false"/>
      <protection locked="true" hidden="false"/>
    </xf>
    <xf numFmtId="164" fontId="28" fillId="4" borderId="0" xfId="0" applyFont="true" applyBorder="true" applyAlignment="true" applyProtection="false">
      <alignment horizontal="center" vertical="center" textRotation="0" wrapText="false" indent="0" shrinkToFit="false"/>
      <protection locked="true" hidden="false"/>
    </xf>
    <xf numFmtId="164" fontId="29" fillId="8" borderId="0" xfId="0" applyFont="true" applyBorder="true" applyAlignment="true" applyProtection="false">
      <alignment horizontal="center" vertical="center" textRotation="0" wrapText="fals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30" fillId="2" borderId="0" xfId="0" applyFont="true" applyBorder="true" applyAlignment="true" applyProtection="false">
      <alignment horizontal="center" vertical="center" textRotation="0" wrapText="true" indent="0" shrinkToFit="false"/>
      <protection locked="true" hidden="false"/>
    </xf>
    <xf numFmtId="164" fontId="28" fillId="3" borderId="0" xfId="0" applyFont="true" applyBorder="true" applyAlignment="true" applyProtection="false">
      <alignment horizontal="left" vertical="center" textRotation="0" wrapText="false" indent="0" shrinkToFit="false"/>
      <protection locked="true" hidden="false"/>
    </xf>
    <xf numFmtId="164" fontId="31" fillId="3" borderId="0" xfId="0" applyFont="true" applyBorder="true" applyAlignment="true" applyProtection="false">
      <alignment horizontal="center" vertical="center" textRotation="0" wrapText="true" indent="0" shrinkToFit="false"/>
      <protection locked="true" hidden="false"/>
    </xf>
    <xf numFmtId="166" fontId="28" fillId="3" borderId="0" xfId="0" applyFont="true" applyBorder="true" applyAlignment="true" applyProtection="false">
      <alignment horizontal="center" vertical="center" textRotation="0" wrapText="true" indent="0" shrinkToFit="false"/>
      <protection locked="true" hidden="false"/>
    </xf>
    <xf numFmtId="164" fontId="32" fillId="3" borderId="0" xfId="0" applyFont="true" applyBorder="true" applyAlignment="true" applyProtection="false">
      <alignment horizontal="center" vertical="center" textRotation="0" wrapText="true" indent="0" shrinkToFit="false"/>
      <protection locked="true" hidden="false"/>
    </xf>
    <xf numFmtId="164" fontId="33" fillId="3"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7" fillId="4" borderId="0" xfId="0" applyFont="true" applyBorder="true" applyAlignment="true" applyProtection="false">
      <alignment horizontal="left" vertical="center" textRotation="0" wrapText="false" indent="0" shrinkToFit="false"/>
      <protection locked="true" hidden="false"/>
    </xf>
    <xf numFmtId="164" fontId="34" fillId="2" borderId="3" xfId="0" applyFont="true" applyBorder="true" applyAlignment="true" applyProtection="false">
      <alignment horizontal="center" vertical="center" textRotation="0" wrapText="true" indent="0" shrinkToFit="false"/>
      <protection locked="true" hidden="false"/>
    </xf>
    <xf numFmtId="167" fontId="35" fillId="5" borderId="3" xfId="0" applyFont="true" applyBorder="true" applyAlignment="true" applyProtection="false">
      <alignment horizontal="center" vertical="center" textRotation="0" wrapText="true" indent="0" shrinkToFit="false"/>
      <protection locked="true" hidden="false"/>
    </xf>
    <xf numFmtId="164" fontId="35" fillId="5" borderId="3" xfId="0" applyFont="true" applyBorder="true" applyAlignment="true" applyProtection="false">
      <alignment horizontal="center" vertical="center" textRotation="0" wrapText="true" indent="0" shrinkToFit="false"/>
      <protection locked="true" hidden="false"/>
    </xf>
    <xf numFmtId="164" fontId="10" fillId="7" borderId="3"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general" vertical="bottom" textRotation="0" wrapText="false" indent="0" shrinkToFit="false"/>
      <protection locked="true" hidden="false"/>
    </xf>
    <xf numFmtId="164" fontId="36" fillId="8" borderId="3" xfId="0" applyFont="true" applyBorder="true" applyAlignment="true" applyProtection="false">
      <alignment horizontal="center" vertical="center" textRotation="0" wrapText="true" indent="0" shrinkToFit="false"/>
      <protection locked="true" hidden="false"/>
    </xf>
    <xf numFmtId="164" fontId="21" fillId="0" borderId="3" xfId="0" applyFont="true" applyBorder="true" applyAlignment="true" applyProtection="false">
      <alignment horizontal="general" vertical="bottom" textRotation="0" wrapText="false" indent="0" shrinkToFit="false"/>
      <protection locked="true" hidden="false"/>
    </xf>
    <xf numFmtId="164" fontId="37" fillId="0" borderId="0" xfId="0" applyFont="true" applyBorder="true" applyAlignment="true" applyProtection="false">
      <alignment horizontal="general" vertical="top" textRotation="0" wrapText="true" indent="0" shrinkToFit="false"/>
      <protection locked="true" hidden="false"/>
    </xf>
    <xf numFmtId="164" fontId="36" fillId="8" borderId="3" xfId="0" applyFont="true" applyBorder="true" applyAlignment="true" applyProtection="false">
      <alignment horizontal="left" vertical="center" textRotation="0" wrapText="false" indent="0" shrinkToFit="false"/>
      <protection locked="true" hidden="false"/>
    </xf>
    <xf numFmtId="164" fontId="21" fillId="0" borderId="3" xfId="0" applyFont="true" applyBorder="true" applyAlignment="true" applyProtection="false">
      <alignment horizontal="left" vertical="center" textRotation="0" wrapText="false" indent="0" shrinkToFit="false"/>
      <protection locked="true" hidden="false"/>
    </xf>
    <xf numFmtId="166" fontId="21" fillId="0" borderId="3" xfId="0" applyFont="true" applyBorder="true" applyAlignment="true" applyProtection="false">
      <alignment horizontal="left" vertical="center" textRotation="0" wrapText="false" indent="0" shrinkToFit="false"/>
      <protection locked="true" hidden="false"/>
    </xf>
    <xf numFmtId="168" fontId="21" fillId="0" borderId="3" xfId="0" applyFont="true" applyBorder="true" applyAlignment="true" applyProtection="false">
      <alignment horizontal="left" vertical="center" textRotation="0" wrapText="false" indent="0" shrinkToFit="false"/>
      <protection locked="true" hidden="false"/>
    </xf>
    <xf numFmtId="164" fontId="36" fillId="8" borderId="3" xfId="0" applyFont="true" applyBorder="true" applyAlignment="true" applyProtection="false">
      <alignment horizontal="general" vertical="bottom" textRotation="0" wrapText="false" indent="0" shrinkToFit="false"/>
      <protection locked="true" hidden="false"/>
    </xf>
    <xf numFmtId="166" fontId="21" fillId="0" borderId="3" xfId="0" applyFont="true" applyBorder="true" applyAlignment="true" applyProtection="false">
      <alignment horizontal="general" vertical="bottom" textRotation="0" wrapText="false" indent="0" shrinkToFit="false"/>
      <protection locked="true" hidden="false"/>
    </xf>
    <xf numFmtId="169" fontId="21" fillId="0" borderId="3" xfId="0" applyFont="true" applyBorder="true" applyAlignment="true" applyProtection="false">
      <alignment horizontal="general" vertical="bottom" textRotation="0" wrapText="false" indent="0" shrinkToFit="false"/>
      <protection locked="true" hidden="false"/>
    </xf>
    <xf numFmtId="164" fontId="38" fillId="0" borderId="0" xfId="0" applyFont="true" applyBorder="true" applyAlignment="true" applyProtection="false">
      <alignment horizontal="general" vertical="top" textRotation="0" wrapText="true" indent="0" shrinkToFit="false"/>
      <protection locked="true" hidden="false"/>
    </xf>
    <xf numFmtId="164" fontId="33" fillId="2" borderId="0" xfId="0" applyFont="true" applyBorder="false" applyAlignment="true" applyProtection="false">
      <alignment horizontal="center" vertical="center" textRotation="0" wrapText="true" indent="0" shrinkToFit="false"/>
      <protection locked="true" hidden="false"/>
    </xf>
    <xf numFmtId="164" fontId="39" fillId="2" borderId="3" xfId="0" applyFont="true" applyBorder="true" applyAlignment="true" applyProtection="false">
      <alignment horizontal="center" vertical="center" textRotation="0" wrapText="true" indent="0" shrinkToFit="false"/>
      <protection locked="true" hidden="false"/>
    </xf>
    <xf numFmtId="167" fontId="40" fillId="5" borderId="3" xfId="0" applyFont="true" applyBorder="true" applyAlignment="true" applyProtection="false">
      <alignment horizontal="center" vertical="center" textRotation="0" wrapText="true" indent="0" shrinkToFit="false"/>
      <protection locked="true" hidden="false"/>
    </xf>
    <xf numFmtId="164" fontId="40" fillId="5" borderId="3" xfId="0" applyFont="true" applyBorder="true" applyAlignment="true" applyProtection="false">
      <alignment horizontal="center" vertical="center" textRotation="0" wrapText="true" indent="0" shrinkToFit="false"/>
      <protection locked="true" hidden="false"/>
    </xf>
    <xf numFmtId="169" fontId="40" fillId="5" borderId="3" xfId="0" applyFont="true" applyBorder="true" applyAlignment="true" applyProtection="false">
      <alignment horizontal="center" vertical="center" textRotation="0" wrapText="true" indent="0" shrinkToFit="false"/>
      <protection locked="true" hidden="false"/>
    </xf>
    <xf numFmtId="165" fontId="40" fillId="5" borderId="3" xfId="0" applyFont="true" applyBorder="true" applyAlignment="true" applyProtection="false">
      <alignment horizontal="center" vertical="center" textRotation="0" wrapText="true" indent="0" shrinkToFit="false"/>
      <protection locked="true" hidden="false"/>
    </xf>
    <xf numFmtId="164" fontId="21" fillId="0" borderId="3" xfId="0" applyFont="true" applyBorder="true" applyAlignment="true" applyProtection="false">
      <alignment horizontal="left" vertical="top" textRotation="0" wrapText="true" indent="0" shrinkToFit="false"/>
      <protection locked="true" hidden="false"/>
    </xf>
    <xf numFmtId="166" fontId="21" fillId="0" borderId="3" xfId="0" applyFont="true" applyBorder="true" applyAlignment="true" applyProtection="false">
      <alignment horizontal="center" vertical="center" textRotation="0" wrapText="true" indent="0" shrinkToFit="false"/>
      <protection locked="true" hidden="false"/>
    </xf>
    <xf numFmtId="169" fontId="21" fillId="0" borderId="3" xfId="0" applyFont="true" applyBorder="true" applyAlignment="true" applyProtection="false">
      <alignment horizontal="center" vertical="center" textRotation="0" wrapText="true" indent="0" shrinkToFit="false"/>
      <protection locked="true" hidden="false"/>
    </xf>
    <xf numFmtId="169" fontId="36" fillId="8" borderId="3" xfId="0" applyFont="true" applyBorder="true" applyAlignment="true" applyProtection="false">
      <alignment horizontal="center" vertical="center" textRotation="0" wrapText="true" indent="0" shrinkToFit="false"/>
      <protection locked="true" hidden="false"/>
    </xf>
    <xf numFmtId="165" fontId="36" fillId="8" borderId="3" xfId="0" applyFont="true" applyBorder="true" applyAlignment="true" applyProtection="false">
      <alignment horizontal="center" vertical="center" textRotation="0" wrapText="true" indent="0" shrinkToFit="false"/>
      <protection locked="true" hidden="false"/>
    </xf>
    <xf numFmtId="165" fontId="21" fillId="0" borderId="3" xfId="0" applyFont="true" applyBorder="true" applyAlignment="true" applyProtection="false">
      <alignment horizontal="center" vertical="center" textRotation="0" wrapText="true" indent="0" shrinkToFit="false"/>
      <protection locked="true" hidden="false"/>
    </xf>
    <xf numFmtId="164" fontId="30" fillId="2" borderId="0" xfId="0" applyFont="true" applyBorder="false" applyAlignment="true" applyProtection="false">
      <alignment horizontal="general" vertical="bottom" textRotation="0" wrapText="false" indent="0" shrinkToFit="false"/>
      <protection locked="true" hidden="false"/>
    </xf>
    <xf numFmtId="164" fontId="41" fillId="0" borderId="3" xfId="0" applyFont="true" applyBorder="true" applyAlignment="true" applyProtection="false">
      <alignment horizontal="center" vertical="center" textRotation="0" wrapText="true" indent="0" shrinkToFit="false"/>
      <protection locked="true" hidden="false"/>
    </xf>
    <xf numFmtId="164" fontId="21" fillId="0" borderId="3"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36" fillId="8" borderId="0" xfId="0" applyFont="true" applyBorder="false" applyAlignment="true" applyProtection="false">
      <alignment horizontal="general" vertical="bottom" textRotation="0" wrapText="false" indent="0" shrinkToFit="false"/>
      <protection locked="true" hidden="false"/>
    </xf>
    <xf numFmtId="164" fontId="21" fillId="0" borderId="3" xfId="0" applyFont="true" applyBorder="true" applyAlignment="true" applyProtection="false">
      <alignment horizontal="left" vertical="center" textRotation="0" wrapText="true" indent="0" shrinkToFit="false"/>
      <protection locked="true" hidden="false"/>
    </xf>
    <xf numFmtId="164" fontId="36" fillId="8" borderId="3" xfId="0" applyFont="true" applyBorder="true" applyAlignment="true" applyProtection="false">
      <alignment horizontal="left" vertical="center" textRotation="0" wrapText="true" indent="0" shrinkToFit="false"/>
      <protection locked="true" hidden="false"/>
    </xf>
    <xf numFmtId="170" fontId="21" fillId="0" borderId="3" xfId="0" applyFont="true" applyBorder="true" applyAlignment="true" applyProtection="false">
      <alignment horizontal="center" vertical="center" textRotation="0" wrapText="true" indent="0" shrinkToFit="false"/>
      <protection locked="true" hidden="false"/>
    </xf>
    <xf numFmtId="171" fontId="36" fillId="8" borderId="3" xfId="0" applyFont="true" applyBorder="true" applyAlignment="true" applyProtection="false">
      <alignment horizontal="center" vertical="center" textRotation="0" wrapText="true" indent="0" shrinkToFit="false"/>
      <protection locked="true" hidden="false"/>
    </xf>
    <xf numFmtId="164" fontId="0" fillId="8" borderId="3" xfId="0" applyFont="false" applyBorder="true" applyAlignment="true" applyProtection="false">
      <alignment horizontal="center" vertical="center" textRotation="0" wrapText="true" indent="0" shrinkToFit="false"/>
      <protection locked="true" hidden="false"/>
    </xf>
    <xf numFmtId="172" fontId="21" fillId="0" borderId="3" xfId="0" applyFont="true" applyBorder="true" applyAlignment="true" applyProtection="false">
      <alignment horizontal="center" vertical="center" textRotation="0" wrapText="true" indent="0" shrinkToFit="false"/>
      <protection locked="true" hidden="false"/>
    </xf>
    <xf numFmtId="166" fontId="21" fillId="0" borderId="3" xfId="0" applyFont="true" applyBorder="true" applyAlignment="true" applyProtection="false">
      <alignment horizontal="left" vertical="center" textRotation="0" wrapText="true" indent="0" shrinkToFit="false"/>
      <protection locked="true" hidden="false"/>
    </xf>
    <xf numFmtId="164" fontId="23" fillId="0" borderId="3"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30" fillId="2"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4" fontId="36" fillId="8" borderId="0" xfId="0" applyFont="true" applyBorder="false" applyAlignment="true" applyProtection="false">
      <alignment horizontal="center" vertical="center" textRotation="0" wrapText="true" indent="0" shrinkToFit="false"/>
      <protection locked="true" hidden="false"/>
    </xf>
    <xf numFmtId="168" fontId="21" fillId="0" borderId="3" xfId="0" applyFont="true" applyBorder="true" applyAlignment="true" applyProtection="false">
      <alignment horizontal="center" vertical="center" textRotation="0" wrapText="true" indent="0" shrinkToFit="false"/>
      <protection locked="true" hidden="false"/>
    </xf>
    <xf numFmtId="166" fontId="36" fillId="8" borderId="3"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left" vertical="center" textRotation="0" wrapText="true" indent="0" shrinkToFit="false"/>
      <protection locked="true" hidden="false"/>
    </xf>
    <xf numFmtId="164" fontId="28" fillId="2"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41" fillId="0" borderId="0" xfId="0" applyFont="true" applyBorder="false" applyAlignment="true" applyProtection="false">
      <alignment horizontal="center" vertical="center" textRotation="0" wrapText="true" indent="0" shrinkToFit="false"/>
      <protection locked="true" hidden="false"/>
    </xf>
    <xf numFmtId="164" fontId="36" fillId="8" borderId="0" xfId="0" applyFont="true" applyBorder="false" applyAlignment="true" applyProtection="false">
      <alignment horizontal="center" vertical="center" textRotation="0" wrapText="false" indent="0" shrinkToFit="false"/>
      <protection locked="true" hidden="false"/>
    </xf>
    <xf numFmtId="169" fontId="36" fillId="8" borderId="0" xfId="0" applyFont="true" applyBorder="false" applyAlignment="true" applyProtection="false">
      <alignment horizontal="center" vertical="center" textRotation="0" wrapText="false" indent="0" shrinkToFit="false"/>
      <protection locked="true" hidden="false"/>
    </xf>
    <xf numFmtId="173" fontId="36" fillId="8" borderId="0" xfId="0" applyFont="true" applyBorder="false" applyAlignment="true" applyProtection="false">
      <alignment horizontal="center" vertical="center" textRotation="0" wrapText="false" indent="0" shrinkToFit="false"/>
      <protection locked="true" hidden="false"/>
    </xf>
    <xf numFmtId="164" fontId="41"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6" fontId="21" fillId="0" borderId="0" xfId="0" applyFont="true" applyBorder="false" applyAlignment="true" applyProtection="false">
      <alignment horizontal="center" vertical="center" textRotation="0" wrapText="false" indent="0" shrinkToFit="false"/>
      <protection locked="true" hidden="false"/>
    </xf>
    <xf numFmtId="166" fontId="36" fillId="8" borderId="0" xfId="0" applyFont="true" applyBorder="false" applyAlignment="true" applyProtection="false">
      <alignment horizontal="center" vertical="center" textRotation="0" wrapText="false" indent="0" shrinkToFit="false"/>
      <protection locked="true" hidden="false"/>
    </xf>
    <xf numFmtId="169" fontId="21" fillId="0" borderId="0" xfId="0" applyFont="true" applyBorder="false" applyAlignment="true" applyProtection="false">
      <alignment horizontal="center" vertical="center" textRotation="0" wrapText="false" indent="0" shrinkToFit="false"/>
      <protection locked="true" hidden="false"/>
    </xf>
    <xf numFmtId="173" fontId="21" fillId="0" borderId="0" xfId="0" applyFont="true" applyBorder="false" applyAlignment="true" applyProtection="false">
      <alignment horizontal="center"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8" fontId="36" fillId="8" borderId="0" xfId="0" applyFont="true" applyBorder="false" applyAlignment="true" applyProtection="false">
      <alignment horizontal="center" vertical="center" textRotation="0" wrapText="false" indent="0" shrinkToFit="false"/>
      <protection locked="true" hidden="false"/>
    </xf>
    <xf numFmtId="164" fontId="19" fillId="2" borderId="0" xfId="0" applyFont="true" applyBorder="true" applyAlignment="true" applyProtection="false">
      <alignment horizontal="left" vertical="center" textRotation="0" wrapText="true" indent="0" shrinkToFit="false"/>
      <protection locked="true" hidden="false"/>
    </xf>
    <xf numFmtId="164" fontId="28" fillId="2" borderId="0" xfId="0" applyFont="true" applyBorder="false" applyAlignment="true" applyProtection="false">
      <alignment horizontal="center" vertical="center" textRotation="0" wrapText="true" indent="0" shrinkToFit="false"/>
      <protection locked="true" hidden="false"/>
    </xf>
    <xf numFmtId="164" fontId="28" fillId="3" borderId="0" xfId="0" applyFont="true" applyBorder="true" applyAlignment="true" applyProtection="false">
      <alignment horizontal="left" vertical="center" textRotation="0" wrapText="true" indent="0" shrinkToFit="false"/>
      <protection locked="true" hidden="false"/>
    </xf>
    <xf numFmtId="164" fontId="41" fillId="0" borderId="0" xfId="0" applyFont="true" applyBorder="false" applyAlignment="true" applyProtection="false">
      <alignment horizontal="left" vertical="center" textRotation="0" wrapText="true" indent="0" shrinkToFit="false"/>
      <protection locked="true" hidden="false"/>
    </xf>
    <xf numFmtId="166" fontId="42" fillId="0" borderId="0" xfId="0" applyFont="true" applyBorder="false" applyAlignment="true" applyProtection="false">
      <alignment horizontal="left" vertical="center" textRotation="0" wrapText="true" indent="0" shrinkToFit="false"/>
      <protection locked="true" hidden="false"/>
    </xf>
    <xf numFmtId="164" fontId="28" fillId="2" borderId="2" xfId="0" applyFont="true" applyBorder="true" applyAlignment="true" applyProtection="false">
      <alignment horizontal="center" vertical="center" textRotation="0" wrapText="true" indent="0" shrinkToFit="false"/>
      <protection locked="true" hidden="false"/>
    </xf>
    <xf numFmtId="164" fontId="43" fillId="5" borderId="2" xfId="0" applyFont="true" applyBorder="true" applyAlignment="true" applyProtection="false">
      <alignment horizontal="center" vertical="center" textRotation="0" wrapText="true" indent="0" shrinkToFit="false"/>
      <protection locked="true" hidden="false"/>
    </xf>
    <xf numFmtId="169" fontId="43" fillId="5" borderId="2" xfId="0" applyFont="true" applyBorder="true" applyAlignment="true" applyProtection="false">
      <alignment horizontal="center" vertical="center" textRotation="0" wrapText="true" indent="0" shrinkToFit="false"/>
      <protection locked="true" hidden="false"/>
    </xf>
    <xf numFmtId="165" fontId="43" fillId="5" borderId="2" xfId="0" applyFont="true" applyBorder="true" applyAlignment="true" applyProtection="false">
      <alignment horizontal="center" vertical="center" textRotation="0" wrapText="true" indent="0" shrinkToFit="false"/>
      <protection locked="true" hidden="false"/>
    </xf>
    <xf numFmtId="164" fontId="42" fillId="0" borderId="2" xfId="0" applyFont="true" applyBorder="true" applyAlignment="true" applyProtection="false">
      <alignment horizontal="center" vertical="center" textRotation="0" wrapText="true" indent="0" shrinkToFit="false"/>
      <protection locked="true" hidden="false"/>
    </xf>
    <xf numFmtId="164" fontId="20" fillId="0" borderId="2" xfId="0" applyFont="true" applyBorder="true" applyAlignment="true" applyProtection="false">
      <alignment horizontal="center" vertical="center" textRotation="0" wrapText="true" indent="0" shrinkToFit="false"/>
      <protection locked="true" hidden="false"/>
    </xf>
    <xf numFmtId="166" fontId="20" fillId="0" borderId="2" xfId="0" applyFont="true" applyBorder="true" applyAlignment="true" applyProtection="false">
      <alignment horizontal="center" vertical="center" textRotation="0" wrapText="true" indent="0" shrinkToFit="false"/>
      <protection locked="true" hidden="false"/>
    </xf>
    <xf numFmtId="169" fontId="20" fillId="0" borderId="2" xfId="0" applyFont="true" applyBorder="true" applyAlignment="true" applyProtection="false">
      <alignment horizontal="center" vertical="center" textRotation="0" wrapText="true" indent="0" shrinkToFit="false"/>
      <protection locked="true" hidden="false"/>
    </xf>
    <xf numFmtId="169" fontId="42" fillId="0" borderId="2" xfId="0" applyFont="true" applyBorder="true" applyAlignment="true" applyProtection="false">
      <alignment horizontal="center" vertical="center" textRotation="0" wrapText="true" indent="0" shrinkToFit="false"/>
      <protection locked="true" hidden="false"/>
    </xf>
    <xf numFmtId="165" fontId="42" fillId="0"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0" shrinkToFit="false"/>
      <protection locked="true" hidden="false"/>
    </xf>
    <xf numFmtId="164" fontId="34" fillId="2" borderId="0" xfId="0" applyFont="true" applyBorder="false" applyAlignment="true" applyProtection="false">
      <alignment horizontal="center" vertical="center" textRotation="0" wrapText="true" indent="0" shrinkToFit="false"/>
      <protection locked="true" hidden="false"/>
    </xf>
    <xf numFmtId="166" fontId="41" fillId="0" borderId="0" xfId="0" applyFont="true" applyBorder="false" applyAlignment="true" applyProtection="false">
      <alignment horizontal="general" vertical="bottom" textRotation="0" wrapText="false" indent="0" shrinkToFit="false"/>
      <protection locked="true" hidden="false"/>
    </xf>
    <xf numFmtId="169" fontId="43" fillId="0" borderId="0" xfId="0" applyFont="true" applyBorder="false" applyAlignment="true" applyProtection="false">
      <alignment horizontal="center" vertical="center" textRotation="0" wrapText="true" indent="0" shrinkToFit="false"/>
      <protection locked="true" hidden="false"/>
    </xf>
    <xf numFmtId="165" fontId="43" fillId="0" borderId="0" xfId="0" applyFont="true" applyBorder="false" applyAlignment="true" applyProtection="false">
      <alignment horizontal="center" vertical="center" textRotation="0" wrapText="true" indent="0" shrinkToFit="false"/>
      <protection locked="true" hidden="false"/>
    </xf>
    <xf numFmtId="164" fontId="43" fillId="0" borderId="0" xfId="0" applyFont="true" applyBorder="false" applyAlignment="true" applyProtection="false">
      <alignment horizontal="center" vertical="center" textRotation="0" wrapText="true" indent="0" shrinkToFit="false"/>
      <protection locked="true" hidden="false"/>
    </xf>
    <xf numFmtId="164" fontId="14" fillId="7"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44"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true" applyProtection="false">
      <alignment horizontal="center" vertical="center" textRotation="0" wrapText="true" indent="0" shrinkToFit="false"/>
      <protection locked="true" hidden="false"/>
    </xf>
    <xf numFmtId="169" fontId="44" fillId="0" borderId="0" xfId="0" applyFont="true" applyBorder="false" applyAlignment="true" applyProtection="false">
      <alignment horizontal="center" vertical="center" textRotation="0" wrapText="true" indent="0" shrinkToFit="false"/>
      <protection locked="true" hidden="false"/>
    </xf>
    <xf numFmtId="164" fontId="42"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42" fillId="0" borderId="0" xfId="0" applyFont="true" applyBorder="false" applyAlignment="true" applyProtection="false">
      <alignment horizontal="left" vertical="center" textRotation="0" wrapText="true" indent="0" shrinkToFit="false"/>
      <protection locked="true" hidden="false"/>
    </xf>
    <xf numFmtId="166" fontId="20" fillId="0" borderId="0" xfId="0" applyFont="true" applyBorder="false" applyAlignment="true" applyProtection="false">
      <alignment horizontal="center" vertical="center" textRotation="0" wrapText="true" indent="0" shrinkToFit="false"/>
      <protection locked="true" hidden="false"/>
    </xf>
    <xf numFmtId="168" fontId="42" fillId="0" borderId="0" xfId="0" applyFont="true" applyBorder="false" applyAlignment="true" applyProtection="false">
      <alignment horizontal="center" vertical="center" textRotation="0" wrapText="true" indent="0" shrinkToFit="false"/>
      <protection locked="true" hidden="false"/>
    </xf>
    <xf numFmtId="174" fontId="20" fillId="0" borderId="0" xfId="0" applyFont="true" applyBorder="false" applyAlignment="true" applyProtection="false">
      <alignment horizontal="center" vertical="center" textRotation="0" wrapText="true" indent="0" shrinkToFit="false"/>
      <protection locked="true" hidden="false"/>
    </xf>
    <xf numFmtId="169" fontId="20" fillId="0" borderId="0" xfId="0" applyFont="true" applyBorder="false" applyAlignment="true" applyProtection="false">
      <alignment horizontal="center" vertical="center" textRotation="0" wrapText="true" indent="0" shrinkToFit="false"/>
      <protection locked="true" hidden="false"/>
    </xf>
    <xf numFmtId="169" fontId="42"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true" indent="0" shrinkToFit="false"/>
      <protection locked="true" hidden="false"/>
    </xf>
    <xf numFmtId="164" fontId="44" fillId="0" borderId="0" xfId="0" applyFont="true" applyBorder="false" applyAlignment="true" applyProtection="false">
      <alignment horizontal="left" vertical="center" textRotation="0" wrapText="true" indent="0" shrinkToFit="false"/>
      <protection locked="true" hidden="false"/>
    </xf>
    <xf numFmtId="168" fontId="44" fillId="0" borderId="0" xfId="0" applyFont="true" applyBorder="false" applyAlignment="true" applyProtection="false">
      <alignment horizontal="center" vertical="center" textRotation="0" wrapText="true" indent="0" shrinkToFit="false"/>
      <protection locked="true" hidden="false"/>
    </xf>
    <xf numFmtId="164" fontId="41" fillId="0" borderId="0" xfId="0" applyFont="true" applyBorder="false" applyAlignment="true" applyProtection="false">
      <alignment horizontal="left" vertical="center" textRotation="0" wrapText="false" indent="0" shrinkToFit="false"/>
      <protection locked="true" hidden="false"/>
    </xf>
    <xf numFmtId="166" fontId="41" fillId="0" borderId="0" xfId="0" applyFont="true" applyBorder="false" applyAlignment="true" applyProtection="false">
      <alignment horizontal="center" vertical="center" textRotation="0" wrapText="false" indent="0" shrinkToFit="false"/>
      <protection locked="true" hidden="false"/>
    </xf>
    <xf numFmtId="169" fontId="43" fillId="0" borderId="0" xfId="0" applyFont="true" applyBorder="false" applyAlignment="true" applyProtection="false">
      <alignment horizontal="center" vertical="center" textRotation="0" wrapText="false" indent="0" shrinkToFit="false"/>
      <protection locked="true" hidden="false"/>
    </xf>
    <xf numFmtId="169" fontId="0" fillId="0" borderId="0" xfId="0" applyFont="false" applyBorder="false" applyAlignment="true" applyProtection="false">
      <alignment horizontal="center" vertical="center" textRotation="0" wrapText="false" indent="0" shrinkToFit="false"/>
      <protection locked="true" hidden="false"/>
    </xf>
    <xf numFmtId="173" fontId="43"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42" fillId="0" borderId="0" xfId="0" applyFont="true" applyBorder="false" applyAlignment="true" applyProtection="false">
      <alignment horizontal="center" vertical="center" textRotation="0" wrapText="false" indent="0" shrinkToFit="false"/>
      <protection locked="true" hidden="false"/>
    </xf>
    <xf numFmtId="168" fontId="20" fillId="0" borderId="0" xfId="0" applyFont="true" applyBorder="false" applyAlignment="true" applyProtection="false">
      <alignment horizontal="center" vertical="center" textRotation="0" wrapText="false" indent="0" shrinkToFit="false"/>
      <protection locked="true" hidden="false"/>
    </xf>
    <xf numFmtId="169" fontId="42" fillId="0" borderId="0" xfId="0" applyFont="true" applyBorder="false" applyAlignment="true" applyProtection="false">
      <alignment horizontal="center" vertical="center" textRotation="0" wrapText="false" indent="0" shrinkToFit="false"/>
      <protection locked="true" hidden="false"/>
    </xf>
    <xf numFmtId="164" fontId="42" fillId="0" borderId="0" xfId="0" applyFont="true" applyBorder="false" applyAlignment="true" applyProtection="false">
      <alignment horizontal="left" vertical="center" textRotation="0" wrapText="false" indent="0" shrinkToFit="false"/>
      <protection locked="true" hidden="false"/>
    </xf>
    <xf numFmtId="173" fontId="42"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9" fontId="20" fillId="0" borderId="0" xfId="0" applyFont="true" applyBorder="false" applyAlignment="true" applyProtection="false">
      <alignment horizontal="center" vertical="center" textRotation="0" wrapText="false" indent="0" shrinkToFit="false"/>
      <protection locked="true" hidden="false"/>
    </xf>
    <xf numFmtId="174" fontId="20" fillId="0" borderId="0" xfId="0" applyFont="true" applyBorder="false" applyAlignment="true" applyProtection="false">
      <alignment horizontal="center" vertical="center" textRotation="0" wrapText="false" indent="0" shrinkToFit="false"/>
      <protection locked="true" hidden="false"/>
    </xf>
    <xf numFmtId="166" fontId="2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6" fontId="36"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true" applyAlignment="true" applyProtection="false">
      <alignment horizontal="general" vertical="bottom" textRotation="0" wrapText="false" indent="0" shrinkToFit="false"/>
      <protection locked="true" hidden="false"/>
    </xf>
    <xf numFmtId="168" fontId="36" fillId="8" borderId="3" xfId="0" applyFont="true" applyBorder="true" applyAlignment="true" applyProtection="false">
      <alignment horizontal="center" vertical="center" textRotation="0" wrapText="true" indent="0" shrinkToFit="false"/>
      <protection locked="true" hidden="false"/>
    </xf>
    <xf numFmtId="164" fontId="42" fillId="0" borderId="3" xfId="0" applyFont="true" applyBorder="true" applyAlignment="true" applyProtection="false">
      <alignment horizontal="center" vertical="bottom" textRotation="0" wrapText="false" indent="0" shrinkToFit="false"/>
      <protection locked="true" hidden="false"/>
    </xf>
    <xf numFmtId="164" fontId="10" fillId="7" borderId="3" xfId="0" applyFont="true" applyBorder="true" applyAlignment="true" applyProtection="false">
      <alignment horizontal="center" vertical="bottom" textRotation="0" wrapText="false" indent="0" shrinkToFit="false"/>
      <protection locked="true" hidden="false"/>
    </xf>
    <xf numFmtId="164" fontId="36" fillId="8" borderId="3" xfId="0" applyFont="true" applyBorder="true" applyAlignment="true" applyProtection="false">
      <alignment horizontal="center" vertical="bottom" textRotation="0" wrapText="false" indent="0" shrinkToFit="false"/>
      <protection locked="true" hidden="false"/>
    </xf>
    <xf numFmtId="164" fontId="21" fillId="0" borderId="3" xfId="0" applyFont="true" applyBorder="true" applyAlignment="true" applyProtection="false">
      <alignment horizontal="center" vertical="bottom" textRotation="0" wrapText="false" indent="0" shrinkToFit="false"/>
      <protection locked="true" hidden="false"/>
    </xf>
    <xf numFmtId="166" fontId="21" fillId="0" borderId="3" xfId="0" applyFont="true" applyBorder="true" applyAlignment="true" applyProtection="false">
      <alignment horizontal="center" vertical="bottom" textRotation="0" wrapText="false" indent="0" shrinkToFit="false"/>
      <protection locked="true" hidden="false"/>
    </xf>
    <xf numFmtId="164" fontId="21" fillId="0" borderId="3" xfId="0" applyFont="true" applyBorder="true" applyAlignment="true" applyProtection="false">
      <alignment horizontal="left" vertical="bottom" textRotation="0" wrapText="false" indent="0" shrinkToFit="false"/>
      <protection locked="true" hidden="false"/>
    </xf>
    <xf numFmtId="169" fontId="21" fillId="11" borderId="3" xfId="0" applyFont="true" applyBorder="true" applyAlignment="true" applyProtection="false">
      <alignment horizontal="center" vertical="bottom" textRotation="0" wrapText="false" indent="0" shrinkToFit="false"/>
      <protection locked="true" hidden="false"/>
    </xf>
    <xf numFmtId="169" fontId="36" fillId="8" borderId="3" xfId="0" applyFont="true" applyBorder="true" applyAlignment="true" applyProtection="false">
      <alignment horizontal="center" vertical="bottom" textRotation="0" wrapText="false" indent="0" shrinkToFit="false"/>
      <protection locked="true" hidden="false"/>
    </xf>
    <xf numFmtId="164" fontId="32" fillId="4" borderId="0" xfId="0" applyFont="true" applyBorder="true" applyAlignment="true" applyProtection="false">
      <alignment horizontal="general" vertical="bottom" textRotation="0" wrapText="false" indent="0" shrinkToFit="false"/>
      <protection locked="true" hidden="false"/>
    </xf>
    <xf numFmtId="164" fontId="42" fillId="8" borderId="3" xfId="0" applyFont="true" applyBorder="true" applyAlignment="true" applyProtection="false">
      <alignment horizontal="center" vertical="bottom" textRotation="0" wrapText="false" indent="0" shrinkToFit="false"/>
      <protection locked="true" hidden="false"/>
    </xf>
    <xf numFmtId="164" fontId="20" fillId="0" borderId="3" xfId="0" applyFont="true" applyBorder="true" applyAlignment="true" applyProtection="false">
      <alignment horizontal="center" vertical="bottom" textRotation="0" wrapText="false" indent="0" shrinkToFit="false"/>
      <protection locked="true" hidden="false"/>
    </xf>
    <xf numFmtId="166" fontId="20" fillId="0" borderId="3" xfId="0" applyFont="true" applyBorder="true" applyAlignment="true" applyProtection="false">
      <alignment horizontal="center" vertical="bottom" textRotation="0" wrapText="false" indent="0" shrinkToFit="false"/>
      <protection locked="true" hidden="false"/>
    </xf>
    <xf numFmtId="165" fontId="20" fillId="0" borderId="3" xfId="0" applyFont="true" applyBorder="true" applyAlignment="true" applyProtection="false">
      <alignment horizontal="center" vertical="bottom" textRotation="0" wrapText="false" indent="0" shrinkToFit="false"/>
      <protection locked="true" hidden="false"/>
    </xf>
    <xf numFmtId="166" fontId="14" fillId="7" borderId="3" xfId="0" applyFont="true" applyBorder="true" applyAlignment="true" applyProtection="false">
      <alignment horizontal="center" vertical="bottom" textRotation="0" wrapText="false" indent="0" shrinkToFit="false"/>
      <protection locked="true" hidden="false"/>
    </xf>
    <xf numFmtId="169" fontId="20" fillId="0" borderId="3" xfId="0" applyFont="true" applyBorder="true" applyAlignment="true" applyProtection="false">
      <alignment horizontal="center" vertical="bottom" textRotation="0" wrapText="false" indent="0" shrinkToFit="false"/>
      <protection locked="true" hidden="false"/>
    </xf>
    <xf numFmtId="169" fontId="14" fillId="7" borderId="3" xfId="0" applyFont="true" applyBorder="true" applyAlignment="true" applyProtection="false">
      <alignment horizontal="center" vertical="bottom" textRotation="0" wrapText="false" indent="0" shrinkToFit="false"/>
      <protection locked="true" hidden="false"/>
    </xf>
    <xf numFmtId="168" fontId="20" fillId="0" borderId="3" xfId="0" applyFont="true" applyBorder="true" applyAlignment="true" applyProtection="false">
      <alignment horizontal="center" vertical="bottom" textRotation="0" wrapText="false" indent="0" shrinkToFit="false"/>
      <protection locked="true" hidden="false"/>
    </xf>
    <xf numFmtId="168" fontId="14" fillId="7" borderId="3" xfId="0" applyFont="true" applyBorder="true" applyAlignment="true" applyProtection="false">
      <alignment horizontal="center" vertical="bottom" textRotation="0" wrapText="false" indent="0" shrinkToFit="false"/>
      <protection locked="true" hidden="false"/>
    </xf>
    <xf numFmtId="168" fontId="42" fillId="8" borderId="3" xfId="0" applyFont="true" applyBorder="true" applyAlignment="true" applyProtection="false">
      <alignment horizontal="center" vertical="bottom" textRotation="0" wrapText="false" indent="0" shrinkToFit="false"/>
      <protection locked="true" hidden="false"/>
    </xf>
    <xf numFmtId="164" fontId="32" fillId="4" borderId="3" xfId="0" applyFont="true" applyBorder="true" applyAlignment="true" applyProtection="false">
      <alignment horizontal="center" vertical="bottom" textRotation="0" wrapText="false" indent="0" shrinkToFit="false"/>
      <protection locked="true" hidden="false"/>
    </xf>
    <xf numFmtId="164" fontId="16" fillId="8" borderId="3" xfId="0" applyFont="true" applyBorder="true" applyAlignment="true" applyProtection="false">
      <alignment horizontal="center" vertical="bottom" textRotation="0" wrapText="false" indent="0" shrinkToFit="false"/>
      <protection locked="true" hidden="false"/>
    </xf>
    <xf numFmtId="164" fontId="14" fillId="7" borderId="3" xfId="0" applyFont="true" applyBorder="true" applyAlignment="true" applyProtection="false">
      <alignment horizontal="general" vertical="bottom" textRotation="0" wrapText="false" indent="0" shrinkToFit="false"/>
      <protection locked="true" hidden="false"/>
    </xf>
    <xf numFmtId="164" fontId="42" fillId="8" borderId="3" xfId="0" applyFont="true" applyBorder="true" applyAlignment="true" applyProtection="false">
      <alignment horizontal="general" vertical="bottom" textRotation="0" wrapText="false" indent="0" shrinkToFit="false"/>
      <protection locked="true" hidden="false"/>
    </xf>
    <xf numFmtId="165" fontId="42" fillId="8" borderId="3"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9" fillId="2" borderId="5" xfId="0" applyFont="true" applyBorder="true" applyAlignment="true" applyProtection="false">
      <alignment horizontal="left" vertical="center" textRotation="0" wrapText="false" indent="0" shrinkToFit="false"/>
      <protection locked="true" hidden="false"/>
    </xf>
    <xf numFmtId="164" fontId="34" fillId="2" borderId="3" xfId="0" applyFont="true" applyBorder="true" applyAlignment="true" applyProtection="false">
      <alignment horizontal="left" vertical="center" textRotation="0" wrapText="false" indent="0" shrinkToFit="false"/>
      <protection locked="true" hidden="false"/>
    </xf>
    <xf numFmtId="164" fontId="28" fillId="3" borderId="5" xfId="0" applyFont="true" applyBorder="true" applyAlignment="true" applyProtection="false">
      <alignment horizontal="left" vertical="center" textRotation="0" wrapText="false" indent="0" shrinkToFit="false"/>
      <protection locked="true" hidden="false"/>
    </xf>
    <xf numFmtId="164" fontId="7" fillId="4" borderId="5" xfId="0" applyFont="true" applyBorder="true" applyAlignment="true" applyProtection="false">
      <alignment horizontal="general" vertical="center" textRotation="0" wrapText="false" indent="0" shrinkToFit="false"/>
      <protection locked="true" hidden="false"/>
    </xf>
    <xf numFmtId="164" fontId="10" fillId="5" borderId="3" xfId="0" applyFont="true" applyBorder="true" applyAlignment="true" applyProtection="false">
      <alignment horizontal="center" vertical="center" textRotation="0" wrapText="false" indent="0" shrinkToFit="false"/>
      <protection locked="true" hidden="false"/>
    </xf>
    <xf numFmtId="164" fontId="36" fillId="8" borderId="3" xfId="0" applyFont="true" applyBorder="true" applyAlignment="true" applyProtection="false">
      <alignment horizontal="center" vertical="center" textRotation="0" wrapText="false" indent="0" shrinkToFit="false"/>
      <protection locked="true" hidden="false"/>
    </xf>
    <xf numFmtId="165" fontId="36" fillId="8" borderId="3" xfId="0" applyFont="true" applyBorder="true" applyAlignment="true" applyProtection="false">
      <alignment horizontal="center" vertical="center" textRotation="0" wrapText="false" indent="0" shrinkToFit="false"/>
      <protection locked="true" hidden="false"/>
    </xf>
    <xf numFmtId="164" fontId="36" fillId="8" borderId="3" xfId="0" applyFont="true" applyBorder="true" applyAlignment="true" applyProtection="false">
      <alignment horizontal="left" vertical="top" textRotation="0" wrapText="true" indent="0" shrinkToFit="false"/>
      <protection locked="true" hidden="false"/>
    </xf>
    <xf numFmtId="164" fontId="36" fillId="0" borderId="3" xfId="0" applyFont="true" applyBorder="true" applyAlignment="true" applyProtection="false">
      <alignment horizontal="left" vertical="center"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36" fillId="0" borderId="3" xfId="0" applyFont="true" applyBorder="true" applyAlignment="true" applyProtection="false">
      <alignment horizontal="left" vertical="top" textRotation="0" wrapText="true" indent="0" shrinkToFit="false"/>
      <protection locked="true" hidden="false"/>
    </xf>
    <xf numFmtId="164" fontId="36" fillId="0" borderId="3" xfId="0" applyFont="true" applyBorder="true" applyAlignment="true" applyProtection="false">
      <alignment horizontal="center" vertical="center" textRotation="0" wrapText="false" indent="0" shrinkToFit="false"/>
      <protection locked="true" hidden="false"/>
    </xf>
    <xf numFmtId="165" fontId="36" fillId="0" borderId="3"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27" fillId="0" borderId="0" xfId="0" applyFont="true" applyBorder="true" applyAlignment="true" applyProtection="false">
      <alignment horizontal="left" vertical="center" textRotation="0" wrapText="true" indent="1"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20" fillId="12" borderId="6" xfId="0" applyFont="true" applyBorder="true" applyAlignment="true" applyProtection="false">
      <alignment horizontal="center" vertical="bottom" textRotation="0" wrapText="false" indent="0" shrinkToFit="false"/>
      <protection locked="true" hidden="false"/>
    </xf>
    <xf numFmtId="166" fontId="47" fillId="0" borderId="6"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4" fillId="7" borderId="6" xfId="0" applyFont="true" applyBorder="true" applyAlignment="true" applyProtection="false">
      <alignment horizontal="center" vertical="center" textRotation="0" wrapText="true" indent="0" shrinkToFit="false"/>
      <protection locked="true" hidden="false"/>
    </xf>
    <xf numFmtId="164" fontId="46" fillId="0" borderId="0" xfId="0" applyFont="true" applyBorder="true" applyAlignment="true" applyProtection="false">
      <alignment horizontal="left" vertical="center" textRotation="0" wrapText="false" indent="1" shrinkToFit="false"/>
      <protection locked="true" hidden="false"/>
    </xf>
    <xf numFmtId="169" fontId="47" fillId="0" borderId="6" xfId="0" applyFont="true" applyBorder="true" applyAlignment="true" applyProtection="false">
      <alignment horizontal="center" vertical="center" textRotation="0" wrapText="false" indent="0" shrinkToFit="false"/>
      <protection locked="true" hidden="false"/>
    </xf>
    <xf numFmtId="164" fontId="46" fillId="13" borderId="0" xfId="0" applyFont="true" applyBorder="true" applyAlignment="true" applyProtection="false">
      <alignment horizontal="left" vertical="center" textRotation="0" wrapText="false" indent="1" shrinkToFit="false"/>
      <protection locked="true" hidden="false"/>
    </xf>
    <xf numFmtId="169" fontId="47" fillId="13" borderId="6" xfId="0" applyFont="true" applyBorder="true" applyAlignment="true" applyProtection="false">
      <alignment horizontal="center" vertical="center"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xf numFmtId="175" fontId="47" fillId="13" borderId="6" xfId="0" applyFont="true" applyBorder="true" applyAlignment="true" applyProtection="false">
      <alignment horizontal="center" vertical="center" textRotation="0" wrapText="false" indent="0" shrinkToFit="false"/>
      <protection locked="true" hidden="false"/>
    </xf>
    <xf numFmtId="175" fontId="47" fillId="0" borderId="6" xfId="0" applyFont="true" applyBorder="true" applyAlignment="true" applyProtection="false">
      <alignment horizontal="center" vertical="center" textRotation="0" wrapText="false" indent="0" shrinkToFit="false"/>
      <protection locked="true" hidden="false"/>
    </xf>
    <xf numFmtId="173" fontId="47" fillId="13" borderId="6" xfId="0" applyFont="true" applyBorder="true" applyAlignment="true" applyProtection="false">
      <alignment horizontal="center" vertical="center" textRotation="0" wrapText="false" indent="0" shrinkToFit="false"/>
      <protection locked="true" hidden="false"/>
    </xf>
    <xf numFmtId="164" fontId="46" fillId="0" borderId="0" xfId="0" applyFont="true" applyBorder="true" applyAlignment="true" applyProtection="false">
      <alignment horizontal="left" vertical="top" textRotation="0" wrapText="false" indent="1" shrinkToFit="false"/>
      <protection locked="true" hidden="false"/>
    </xf>
    <xf numFmtId="164" fontId="48" fillId="0" borderId="0" xfId="0" applyFont="true" applyBorder="true" applyAlignment="true" applyProtection="false">
      <alignment horizontal="left" vertical="top" textRotation="0" wrapText="true" indent="1" shrinkToFit="false"/>
      <protection locked="true" hidden="false"/>
    </xf>
    <xf numFmtId="173" fontId="47" fillId="0" borderId="6" xfId="0" applyFont="true" applyBorder="true" applyAlignment="true" applyProtection="false">
      <alignment horizontal="center" vertical="center" textRotation="0" wrapText="false" indent="0" shrinkToFit="false"/>
      <protection locked="true" hidden="false"/>
    </xf>
    <xf numFmtId="164" fontId="48" fillId="13" borderId="6" xfId="0" applyFont="true" applyBorder="true" applyAlignment="true" applyProtection="false">
      <alignment horizontal="left" vertical="center" textRotation="0" wrapText="false" indent="1" shrinkToFit="false"/>
      <protection locked="true" hidden="false"/>
    </xf>
    <xf numFmtId="175" fontId="48" fillId="13" borderId="6" xfId="0" applyFont="true" applyBorder="true" applyAlignment="true" applyProtection="false">
      <alignment horizontal="center" vertical="center" textRotation="0" wrapText="false" indent="0" shrinkToFit="false"/>
      <protection locked="true" hidden="false"/>
    </xf>
    <xf numFmtId="173" fontId="48" fillId="13" borderId="6" xfId="0" applyFont="true" applyBorder="true" applyAlignment="true" applyProtection="false">
      <alignment horizontal="center" vertical="center" textRotation="0" wrapText="false" indent="0" shrinkToFit="false"/>
      <protection locked="true" hidden="false"/>
    </xf>
    <xf numFmtId="164" fontId="48" fillId="0" borderId="6" xfId="0" applyFont="true" applyBorder="true" applyAlignment="true" applyProtection="false">
      <alignment horizontal="left" vertical="center" textRotation="0" wrapText="false" indent="1" shrinkToFit="false"/>
      <protection locked="true" hidden="false"/>
    </xf>
    <xf numFmtId="175" fontId="48" fillId="0" borderId="6" xfId="0" applyFont="true" applyBorder="true" applyAlignment="true" applyProtection="false">
      <alignment horizontal="center" vertical="center" textRotation="0" wrapText="false" indent="0" shrinkToFit="false"/>
      <protection locked="true" hidden="false"/>
    </xf>
    <xf numFmtId="173" fontId="48" fillId="0" borderId="6" xfId="0" applyFont="true" applyBorder="true" applyAlignment="true" applyProtection="false">
      <alignment horizontal="center" vertical="center" textRotation="0" wrapText="false" indent="0" shrinkToFit="false"/>
      <protection locked="true" hidden="false"/>
    </xf>
    <xf numFmtId="164" fontId="48" fillId="13" borderId="6" xfId="0" applyFont="true" applyBorder="true" applyAlignment="true" applyProtection="false">
      <alignment horizontal="center" vertical="center" textRotation="0" wrapText="false" indent="0" shrinkToFit="false"/>
      <protection locked="true" hidden="false"/>
    </xf>
    <xf numFmtId="164" fontId="48" fillId="0" borderId="6" xfId="0" applyFont="true" applyBorder="true" applyAlignment="true" applyProtection="false">
      <alignment horizontal="center" vertical="center" textRotation="0" wrapText="false" indent="0" shrinkToFit="false"/>
      <protection locked="true" hidden="false"/>
    </xf>
    <xf numFmtId="164" fontId="46" fillId="0" borderId="0" xfId="0" applyFont="true" applyBorder="true" applyAlignment="true" applyProtection="false">
      <alignment horizontal="general" vertical="bottom" textRotation="0" wrapText="false" indent="0" shrinkToFit="false"/>
      <protection locked="true" hidden="false"/>
    </xf>
    <xf numFmtId="164" fontId="48" fillId="0" borderId="0" xfId="0" applyFont="true" applyBorder="true" applyAlignment="true" applyProtection="false">
      <alignment horizontal="general" vertical="bottom" textRotation="0" wrapText="false" indent="0" shrinkToFit="false"/>
      <protection locked="true" hidden="false"/>
    </xf>
    <xf numFmtId="175" fontId="48" fillId="0" borderId="0" xfId="0" applyFont="true" applyBorder="true" applyAlignment="true" applyProtection="false">
      <alignment horizontal="general" vertical="bottom" textRotation="0" wrapText="false" indent="0" shrinkToFit="false"/>
      <protection locked="true" hidden="false"/>
    </xf>
    <xf numFmtId="173" fontId="48" fillId="0" borderId="0" xfId="0" applyFont="true" applyBorder="true" applyAlignment="true" applyProtection="false">
      <alignment horizontal="general" vertical="bottom" textRotation="0" wrapText="false" indent="0" shrinkToFit="false"/>
      <protection locked="true" hidden="false"/>
    </xf>
    <xf numFmtId="166" fontId="48" fillId="0" borderId="0" xfId="0" applyFont="true" applyBorder="true" applyAlignment="true" applyProtection="false">
      <alignment horizontal="general" vertical="bottom" textRotation="0" wrapText="false" indent="0" shrinkToFit="false"/>
      <protection locked="true" hidden="false"/>
    </xf>
    <xf numFmtId="169" fontId="48" fillId="0" borderId="0" xfId="0" applyFont="true" applyBorder="true" applyAlignment="true" applyProtection="false">
      <alignment horizontal="general" vertical="bottom" textRotation="0" wrapText="false" indent="0" shrinkToFit="false"/>
      <protection locked="true" hidden="false"/>
    </xf>
    <xf numFmtId="164" fontId="49" fillId="13" borderId="6" xfId="0" applyFont="true" applyBorder="true" applyAlignment="true" applyProtection="false">
      <alignment horizontal="left" vertical="center" textRotation="0" wrapText="false" indent="1" shrinkToFit="false"/>
      <protection locked="true" hidden="false"/>
    </xf>
    <xf numFmtId="169" fontId="48" fillId="13" borderId="6" xfId="0" applyFont="true" applyBorder="true" applyAlignment="true" applyProtection="false">
      <alignment horizontal="center" vertical="center" textRotation="0" wrapText="false" indent="0" shrinkToFit="false"/>
      <protection locked="true" hidden="false"/>
    </xf>
    <xf numFmtId="164" fontId="49" fillId="0" borderId="6" xfId="0" applyFont="true" applyBorder="true" applyAlignment="true" applyProtection="false">
      <alignment horizontal="left" vertical="center" textRotation="0" wrapText="false" indent="1" shrinkToFit="false"/>
      <protection locked="true" hidden="false"/>
    </xf>
    <xf numFmtId="169" fontId="48" fillId="0" borderId="6" xfId="0" applyFont="true" applyBorder="true" applyAlignment="true" applyProtection="false">
      <alignment horizontal="center" vertical="center" textRotation="0" wrapText="false" indent="0" shrinkToFit="false"/>
      <protection locked="true" hidden="false"/>
    </xf>
    <xf numFmtId="164" fontId="48" fillId="0" borderId="6" xfId="0" applyFont="true" applyBorder="true" applyAlignment="true" applyProtection="false">
      <alignment horizontal="center" vertical="bottom" textRotation="0" wrapText="false" indent="0" shrinkToFit="false"/>
      <protection locked="true" hidden="false"/>
    </xf>
    <xf numFmtId="175" fontId="48" fillId="0" borderId="6" xfId="0" applyFont="true" applyBorder="true" applyAlignment="true" applyProtection="false">
      <alignment horizontal="center" vertical="bottom" textRotation="0" wrapText="false" indent="0" shrinkToFit="false"/>
      <protection locked="true" hidden="false"/>
    </xf>
    <xf numFmtId="164" fontId="46" fillId="0" borderId="0" xfId="0" applyFont="true" applyBorder="true" applyAlignment="true" applyProtection="false">
      <alignment horizontal="left" vertical="top" textRotation="0" wrapText="true" indent="0" shrinkToFit="false"/>
      <protection locked="true" hidden="false"/>
    </xf>
    <xf numFmtId="164" fontId="20" fillId="12" borderId="7"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12" borderId="7" xfId="0" applyFont="false" applyBorder="true" applyAlignment="tru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general" vertical="bottom" textRotation="0" wrapText="false" indent="0" shrinkToFit="false"/>
      <protection locked="true" hidden="false"/>
    </xf>
    <xf numFmtId="164" fontId="53" fillId="14" borderId="0" xfId="0" applyFont="true" applyBorder="true" applyAlignment="true" applyProtection="false">
      <alignment horizontal="left" vertical="center" textRotation="0" wrapText="false" indent="0" shrinkToFit="false"/>
      <protection locked="true" hidden="false"/>
    </xf>
    <xf numFmtId="164" fontId="54" fillId="6"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14" borderId="0" xfId="0" applyFont="true" applyBorder="true" applyAlignment="true" applyProtection="false">
      <alignment horizontal="left" vertical="center" textRotation="0" wrapText="false" indent="0" shrinkToFit="false"/>
      <protection locked="true" hidden="false"/>
    </xf>
    <xf numFmtId="164" fontId="57" fillId="15" borderId="0" xfId="0" applyFont="true" applyBorder="true" applyAlignment="true" applyProtection="false">
      <alignment horizontal="left" vertical="center" textRotation="0" wrapText="false" indent="0" shrinkToFit="false"/>
      <protection locked="true" hidden="false"/>
    </xf>
    <xf numFmtId="164" fontId="58" fillId="16" borderId="8" xfId="0" applyFont="true" applyBorder="true" applyAlignment="true" applyProtection="false">
      <alignment horizontal="left" vertical="center" textRotation="0" wrapText="false" indent="0" shrinkToFit="false"/>
      <protection locked="true" hidden="false"/>
    </xf>
    <xf numFmtId="164" fontId="59" fillId="16" borderId="8" xfId="0" applyFont="true" applyBorder="true" applyAlignment="true" applyProtection="false">
      <alignment horizontal="general" vertical="center" textRotation="0" wrapText="true" indent="0" shrinkToFit="false"/>
      <protection locked="true" hidden="false"/>
    </xf>
    <xf numFmtId="164" fontId="60" fillId="6" borderId="9" xfId="0" applyFont="true" applyBorder="true" applyAlignment="true" applyProtection="false">
      <alignment horizontal="center" vertical="center" textRotation="0" wrapText="false" indent="0" shrinkToFit="false"/>
      <protection locked="true" hidden="false"/>
    </xf>
    <xf numFmtId="164" fontId="61" fillId="17" borderId="10" xfId="0" applyFont="true" applyBorder="true" applyAlignment="true" applyProtection="false">
      <alignment horizontal="center" vertical="center" textRotation="0" wrapText="false" indent="0" shrinkToFit="false"/>
      <protection locked="true" hidden="false"/>
    </xf>
    <xf numFmtId="164" fontId="61" fillId="18" borderId="10" xfId="0" applyFont="true" applyBorder="true" applyAlignment="true" applyProtection="false">
      <alignment horizontal="center" vertical="center" textRotation="0" wrapText="false" indent="0" shrinkToFit="false"/>
      <protection locked="true" hidden="false"/>
    </xf>
    <xf numFmtId="164" fontId="61" fillId="19" borderId="10" xfId="0" applyFont="true" applyBorder="true" applyAlignment="true" applyProtection="false">
      <alignment horizontal="center" vertical="center" textRotation="0" wrapText="false" indent="0" shrinkToFit="false"/>
      <protection locked="true" hidden="false"/>
    </xf>
    <xf numFmtId="164" fontId="61" fillId="20" borderId="10" xfId="0" applyFont="true" applyBorder="true" applyAlignment="true" applyProtection="false">
      <alignment horizontal="center" vertical="center" textRotation="0" wrapText="false" indent="0" shrinkToFit="false"/>
      <protection locked="true" hidden="false"/>
    </xf>
    <xf numFmtId="164" fontId="61" fillId="21" borderId="10" xfId="0" applyFont="true" applyBorder="true" applyAlignment="true" applyProtection="false">
      <alignment horizontal="center" vertical="center" textRotation="0" wrapText="false" indent="0" shrinkToFit="false"/>
      <protection locked="true" hidden="false"/>
    </xf>
    <xf numFmtId="164" fontId="61" fillId="22" borderId="10" xfId="0" applyFont="true" applyBorder="true" applyAlignment="true" applyProtection="false">
      <alignment horizontal="center" vertical="center" textRotation="0" wrapText="false" indent="0" shrinkToFit="false"/>
      <protection locked="true" hidden="false"/>
    </xf>
    <xf numFmtId="168" fontId="62" fillId="6" borderId="11" xfId="0" applyFont="true" applyBorder="true" applyAlignment="true" applyProtection="false">
      <alignment horizontal="center" vertical="center" textRotation="0" wrapText="false" indent="0" shrinkToFit="false"/>
      <protection locked="true" hidden="false"/>
    </xf>
    <xf numFmtId="175" fontId="62" fillId="6" borderId="11" xfId="0" applyFont="true" applyBorder="true" applyAlignment="true" applyProtection="false">
      <alignment horizontal="center" vertical="center" textRotation="0" wrapText="false" indent="0" shrinkToFit="false"/>
      <protection locked="true" hidden="false"/>
    </xf>
    <xf numFmtId="164" fontId="54" fillId="6" borderId="0" xfId="0" applyFont="true" applyBorder="false" applyAlignment="false" applyProtection="false">
      <alignment horizontal="general" vertical="bottom" textRotation="0" wrapText="false" indent="0" shrinkToFit="false"/>
      <protection locked="true" hidden="false"/>
    </xf>
    <xf numFmtId="164" fontId="61" fillId="15" borderId="10" xfId="0" applyFont="true" applyBorder="true" applyAlignment="true" applyProtection="false">
      <alignment horizontal="center" vertical="center" textRotation="0" wrapText="false" indent="0" shrinkToFit="false"/>
      <protection locked="true" hidden="false"/>
    </xf>
    <xf numFmtId="175" fontId="63" fillId="6" borderId="11" xfId="0" applyFont="true" applyBorder="true" applyAlignment="true" applyProtection="false">
      <alignment horizontal="center" vertical="center" textRotation="0" wrapText="false" indent="0" shrinkToFit="false"/>
      <protection locked="true" hidden="false"/>
    </xf>
    <xf numFmtId="165" fontId="63" fillId="6" borderId="11" xfId="0" applyFont="true" applyBorder="true" applyAlignment="true" applyProtection="false">
      <alignment horizontal="center" vertical="center" textRotation="0" wrapText="false" indent="0" shrinkToFit="false"/>
      <protection locked="true" hidden="false"/>
    </xf>
    <xf numFmtId="168" fontId="63" fillId="6" borderId="11" xfId="0" applyFont="true" applyBorder="true" applyAlignment="true" applyProtection="false">
      <alignment horizontal="center" vertical="center" textRotation="0" wrapText="false" indent="0" shrinkToFit="false"/>
      <protection locked="true" hidden="false"/>
    </xf>
    <xf numFmtId="164" fontId="57" fillId="15" borderId="0" xfId="0" applyFont="true" applyBorder="true" applyAlignment="true" applyProtection="false">
      <alignment horizontal="general" vertical="center" textRotation="0" wrapText="false" indent="0" shrinkToFit="false"/>
      <protection locked="true" hidden="false"/>
    </xf>
    <xf numFmtId="164" fontId="57" fillId="15" borderId="0" xfId="0" applyFont="true" applyBorder="false" applyAlignment="true" applyProtection="false">
      <alignment horizontal="general" vertical="center" textRotation="0" wrapText="false" indent="0" shrinkToFit="false"/>
      <protection locked="true" hidden="false"/>
    </xf>
    <xf numFmtId="164" fontId="64" fillId="16" borderId="8" xfId="0" applyFont="true" applyBorder="true" applyAlignment="true" applyProtection="false">
      <alignment horizontal="left" vertical="center" textRotation="0" wrapText="false" indent="0" shrinkToFit="false"/>
      <protection locked="true" hidden="false"/>
    </xf>
    <xf numFmtId="164" fontId="65" fillId="6" borderId="8" xfId="0" applyFont="true" applyBorder="true" applyAlignment="true" applyProtection="false">
      <alignment horizontal="center" vertical="center" textRotation="0" wrapText="false" indent="0" shrinkToFit="false"/>
      <protection locked="true" hidden="false"/>
    </xf>
    <xf numFmtId="164" fontId="66" fillId="14" borderId="0" xfId="0" applyFont="true" applyBorder="true" applyAlignment="true" applyProtection="false">
      <alignment horizontal="left" vertical="center" textRotation="0" wrapText="false" indent="0" shrinkToFit="false"/>
      <protection locked="true" hidden="false"/>
    </xf>
    <xf numFmtId="164" fontId="59" fillId="16"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D6EAF8"/>
          <bgColor rgb="FF000000"/>
        </patternFill>
      </fill>
    </dxf>
    <dxf>
      <fill>
        <patternFill patternType="solid">
          <fgColor rgb="FFF2F3F4"/>
          <bgColor rgb="FF000000"/>
        </patternFill>
      </fill>
    </dxf>
    <dxf>
      <fill>
        <patternFill patternType="solid">
          <fgColor rgb="FF1B4F72"/>
          <bgColor rgb="FF000000"/>
        </patternFill>
      </fill>
    </dxf>
    <dxf>
      <fill>
        <patternFill patternType="solid">
          <fgColor rgb="FF5D6D7E"/>
          <bgColor rgb="FF000000"/>
        </patternFill>
      </fill>
    </dxf>
    <dxf>
      <fill>
        <patternFill patternType="solid">
          <bgColor rgb="FF000000"/>
        </patternFill>
      </fill>
    </dxf>
    <dxf>
      <fill>
        <patternFill patternType="solid">
          <fgColor rgb="FF2E86C1"/>
          <bgColor rgb="FF000000"/>
        </patternFill>
      </fill>
    </dxf>
    <dxf>
      <fill>
        <patternFill patternType="solid">
          <fgColor rgb="FF000000"/>
          <bgColor rgb="FF000000"/>
        </patternFill>
      </fill>
    </dxf>
    <dxf>
      <fill>
        <patternFill patternType="solid">
          <fgColor rgb="FFC0134F"/>
          <bgColor rgb="FF000000"/>
        </patternFill>
      </fill>
    </dxf>
    <dxf>
      <fill>
        <patternFill patternType="solid">
          <fgColor rgb="FFFFFFFF"/>
          <bgColor rgb="FF000000"/>
        </patternFill>
      </fill>
    </dxf>
    <dxf>
      <font>
        <name val="Arial"/>
        <charset val="1"/>
        <family val="0"/>
        <b val="1"/>
        <color rgb="FFFFFFFF"/>
      </font>
      <fill>
        <patternFill>
          <bgColor rgb="FFC0134F"/>
        </patternFill>
      </fill>
    </dxf>
    <dxf>
      <fill>
        <patternFill patternType="solid">
          <fgColor rgb="FF0000FF"/>
          <bgColor rgb="FF000000"/>
        </patternFill>
      </fill>
    </dxf>
    <dxf>
      <fill>
        <patternFill patternType="solid">
          <fgColor rgb="FFF4FBF6"/>
          <bgColor rgb="FF000000"/>
        </patternFill>
      </fill>
    </dxf>
    <dxf>
      <fill>
        <patternFill patternType="solid">
          <fgColor rgb="FF1E8449"/>
          <bgColor rgb="FF000000"/>
        </patternFill>
      </fill>
    </dxf>
    <dxf>
      <fill>
        <patternFill patternType="solid">
          <fgColor rgb="FF196F3D"/>
          <bgColor rgb="FF000000"/>
        </patternFill>
      </fill>
    </dxf>
    <dxf>
      <fill>
        <patternFill patternType="solid">
          <fgColor rgb="FFF5B7B1"/>
          <bgColor rgb="FF000000"/>
        </patternFill>
      </fill>
    </dxf>
    <dxf>
      <fill>
        <patternFill patternType="solid">
          <fgColor rgb="FFFAD7A0"/>
          <bgColor rgb="FF000000"/>
        </patternFill>
      </fill>
    </dxf>
    <dxf>
      <fill>
        <patternFill>
          <bgColor rgb="FFF5B7B1"/>
        </patternFill>
      </fill>
    </dxf>
    <dxf>
      <fill>
        <patternFill>
          <bgColor rgb="FFFAD7A0"/>
        </patternFill>
      </fill>
    </dxf>
    <dxf>
      <fill>
        <patternFill>
          <bgColor rgb="FFA9DFBF"/>
        </patternFill>
      </fill>
    </dxf>
    <dxf>
      <fill>
        <patternFill patternType="solid">
          <fgColor rgb="FF922B21"/>
          <bgColor rgb="FF000000"/>
        </patternFill>
      </fill>
    </dxf>
    <dxf>
      <font>
        <color rgb="FF922B21"/>
      </font>
      <fill>
        <patternFill>
          <bgColor rgb="FFF5B7B1"/>
        </patternFill>
      </fill>
    </dxf>
    <dxf>
      <font>
        <color rgb="FF9C6500"/>
      </font>
      <fill>
        <patternFill>
          <bgColor rgb="FFFAD7A0"/>
        </patternFill>
      </fill>
    </dxf>
    <dxf>
      <font>
        <color rgb="FF196F3D"/>
      </font>
      <fill>
        <patternFill>
          <bgColor rgb="FFA9DFBF"/>
        </patternFill>
      </fill>
    </dxf>
    <dxf>
      <font>
        <name val="Arial"/>
        <charset val="1"/>
        <family val="0"/>
        <b val="1"/>
        <color rgb="FFA93226"/>
        <sz val="10"/>
      </font>
      <fill>
        <patternFill>
          <bgColor rgb="FFF5B7B1"/>
        </patternFill>
      </fill>
    </dxf>
    <dxf>
      <fill>
        <patternFill>
          <bgColor rgb="FFD5F5E3"/>
        </patternFill>
      </fill>
    </dxf>
    <dxf>
      <fill>
        <patternFill>
          <bgColor rgb="FFFDEBD0"/>
        </patternFill>
      </fill>
    </dxf>
    <dxf>
      <fill>
        <patternFill>
          <bgColor rgb="FFFADBD8"/>
        </patternFill>
      </fill>
    </dxf>
    <dxf>
      <fill>
        <patternFill patternType="solid">
          <fgColor rgb="FFFDEBD0"/>
          <bgColor rgb="FF000000"/>
        </patternFill>
      </fill>
    </dxf>
  </dxfs>
  <colors>
    <indexedColors>
      <rgbColor rgb="FF000000"/>
      <rgbColor rgb="FFFFFFFF"/>
      <rgbColor rgb="FFFF0000"/>
      <rgbColor rgb="FFF4F6F6"/>
      <rgbColor rgb="FF0000FF"/>
      <rgbColor rgb="FFFADBD8"/>
      <rgbColor rgb="FFF4F6F7"/>
      <rgbColor rgb="FFDCE5ED"/>
      <rgbColor rgb="FF5D6D7E"/>
      <rgbColor rgb="FF196F3D"/>
      <rgbColor rgb="FF1D2939"/>
      <rgbColor rgb="FF9C6500"/>
      <rgbColor rgb="FFC0134F"/>
      <rgbColor rgb="FF1F7A5A"/>
      <rgbColor rgb="FFBFBFBF"/>
      <rgbColor rgb="FF808080"/>
      <rgbColor rgb="FFB2BABB"/>
      <rgbColor rgb="FFA93226"/>
      <rgbColor rgb="FFFFF9C4"/>
      <rgbColor rgb="FFD6EAF8"/>
      <rgbColor rgb="FF666666"/>
      <rgbColor rgb="FFC74634"/>
      <rgbColor rgb="FF2E86C1"/>
      <rgbColor rgb="FFD9D9D9"/>
      <rgbColor rgb="FF000080"/>
      <rgbColor rgb="FFF4F7FA"/>
      <rgbColor rgb="FFF2F3F4"/>
      <rgbColor rgb="FFF4FBF6"/>
      <rgbColor rgb="FF7C5CFC"/>
      <rgbColor rgb="FF800000"/>
      <rgbColor rgb="FF1E8449"/>
      <rgbColor rgb="FF0000FF"/>
      <rgbColor rgb="FF4F81BD"/>
      <rgbColor rgb="FFEBF5FB"/>
      <rgbColor rgb="FFD5F5E3"/>
      <rgbColor rgb="FFFDEBD0"/>
      <rgbColor rgb="FFA9DFBF"/>
      <rgbColor rgb="FFF5B7B1"/>
      <rgbColor rgb="FFBFC9CA"/>
      <rgbColor rgb="FFFAD7A0"/>
      <rgbColor rgb="FF1677FF"/>
      <rgbColor rgb="FF18B7D8"/>
      <rgbColor rgb="FF6B7785"/>
      <rgbColor rgb="FFF2B84B"/>
      <rgbColor rgb="FFD9E2EC"/>
      <rgbColor rgb="FFE05252"/>
      <rgbColor rgb="FF667085"/>
      <rgbColor rgb="FFB3B3B3"/>
      <rgbColor rgb="FF17324D"/>
      <rgbColor rgb="FF16A085"/>
      <rgbColor rgb="FF10243E"/>
      <rgbColor rgb="FF1C2833"/>
      <rgbColor rgb="FF922B21"/>
      <rgbColor rgb="FFC0504D"/>
      <rgbColor rgb="FF1B4F72"/>
      <rgbColor rgb="FF212F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Recettes vs Depenses par annee (FCFA)</a:t>
            </a:r>
          </a:p>
        </c:rich>
      </c:tx>
      <c:overlay val="0"/>
      <c:spPr>
        <a:noFill/>
        <a:ln w="0">
          <a:noFill/>
        </a:ln>
      </c:spPr>
    </c:title>
    <c:autoTitleDeleted val="0"/>
    <c:plotArea>
      <c:barChart>
        <c:barDir val="col"/>
        <c:grouping val="clustered"/>
        <c:varyColors val="0"/>
        <c:ser>
          <c:idx val="0"/>
          <c:order val="0"/>
          <c:tx>
            <c:strRef>
              <c:f>RAPPORTS!$B$294</c:f>
              <c:strCache>
                <c:ptCount val="1"/>
                <c:pt idx="0">
                  <c:v>Recettes (FCFA)</c:v>
                </c:pt>
              </c:strCache>
            </c:strRef>
          </c:tx>
          <c:spPr>
            <a:solidFill>
              <a:srgbClr val="4f81bd"/>
            </a:solidFill>
            <a:ln w="0">
              <a:noFill/>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RAPPORTS!$A$295:$A$299</c:f>
              <c:strCache>
                <c:ptCount val="5"/>
                <c:pt idx="0">
                  <c:v>2024</c:v>
                </c:pt>
                <c:pt idx="1">
                  <c:v>2025</c:v>
                </c:pt>
                <c:pt idx="2">
                  <c:v>2026</c:v>
                </c:pt>
                <c:pt idx="3">
                  <c:v>2027</c:v>
                </c:pt>
                <c:pt idx="4">
                  <c:v>2028</c:v>
                </c:pt>
              </c:strCache>
            </c:strRef>
          </c:cat>
          <c:val>
            <c:numRef>
              <c:f>RAPPORTS!$B$295:$B$299</c:f>
              <c:numCache>
                <c:formatCode>#,##0" FCFA"</c:formatCode>
                <c:ptCount val="5"/>
                <c:pt idx="0">
                  <c:v>0</c:v>
                </c:pt>
                <c:pt idx="1">
                  <c:v>0</c:v>
                </c:pt>
                <c:pt idx="2">
                  <c:v>0</c:v>
                </c:pt>
                <c:pt idx="3">
                  <c:v>0</c:v>
                </c:pt>
                <c:pt idx="4">
                  <c:v>0</c:v>
                </c:pt>
              </c:numCache>
            </c:numRef>
          </c:val>
        </c:ser>
        <c:ser>
          <c:idx val="1"/>
          <c:order val="1"/>
          <c:tx>
            <c:strRef>
              <c:f>RAPPORTS!$C$294</c:f>
              <c:strCache>
                <c:ptCount val="1"/>
                <c:pt idx="0">
                  <c:v>Depenses (FCFA)</c:v>
                </c:pt>
              </c:strCache>
            </c:strRef>
          </c:tx>
          <c:spPr>
            <a:solidFill>
              <a:srgbClr val="c0504d"/>
            </a:solidFill>
            <a:ln w="0">
              <a:noFill/>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RAPPORTS!$A$295:$A$299</c:f>
              <c:strCache>
                <c:ptCount val="5"/>
                <c:pt idx="0">
                  <c:v>2024</c:v>
                </c:pt>
                <c:pt idx="1">
                  <c:v>2025</c:v>
                </c:pt>
                <c:pt idx="2">
                  <c:v>2026</c:v>
                </c:pt>
                <c:pt idx="3">
                  <c:v>2027</c:v>
                </c:pt>
                <c:pt idx="4">
                  <c:v>2028</c:v>
                </c:pt>
              </c:strCache>
            </c:strRef>
          </c:cat>
          <c:val>
            <c:numRef>
              <c:f>RAPPORTS!$C$295:$C$299</c:f>
              <c:numCache>
                <c:formatCode>#,##0" FCFA"</c:formatCode>
                <c:ptCount val="5"/>
                <c:pt idx="0">
                  <c:v>0</c:v>
                </c:pt>
                <c:pt idx="1">
                  <c:v>0</c:v>
                </c:pt>
                <c:pt idx="2">
                  <c:v>0</c:v>
                </c:pt>
                <c:pt idx="3">
                  <c:v>0</c:v>
                </c:pt>
                <c:pt idx="4">
                  <c:v>0</c:v>
                </c:pt>
              </c:numCache>
            </c:numRef>
          </c:val>
        </c:ser>
        <c:gapWidth val="150"/>
        <c:overlap val="0"/>
        <c:axId val="25266438"/>
        <c:axId val="99136918"/>
      </c:barChart>
      <c:catAx>
        <c:axId val="25266438"/>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Annee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99136918"/>
        <c:crosses val="autoZero"/>
        <c:auto val="1"/>
        <c:lblAlgn val="ctr"/>
        <c:lblOffset val="100"/>
        <c:noMultiLvlLbl val="0"/>
      </c:catAx>
      <c:valAx>
        <c:axId val="99136918"/>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FCFA</a:t>
                </a:r>
              </a:p>
            </c:rich>
          </c:tx>
          <c:overlay val="0"/>
          <c:spPr>
            <a:noFill/>
            <a:ln w="0">
              <a:noFill/>
            </a:ln>
          </c:spPr>
        </c:title>
        <c:numFmt formatCode="#\ ##0&quot; FCFA&quot;" sourceLinked="0"/>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25266438"/>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Nombre de projets par domaine d'intervention</a:t>
            </a:r>
          </a:p>
        </c:rich>
      </c:tx>
      <c:overlay val="0"/>
      <c:spPr>
        <a:noFill/>
        <a:ln w="0">
          <a:noFill/>
        </a:ln>
      </c:spPr>
    </c:title>
    <c:autoTitleDeleted val="0"/>
    <c:plotArea>
      <c:barChart>
        <c:barDir val="bar"/>
        <c:grouping val="clustered"/>
        <c:varyColors val="0"/>
        <c:ser>
          <c:idx val="0"/>
          <c:order val="0"/>
          <c:tx>
            <c:strRef>
              <c:f>RAPPORTS!$B$252</c:f>
              <c:strCache>
                <c:ptCount val="1"/>
                <c:pt idx="0">
                  <c:v>Projets</c:v>
                </c:pt>
              </c:strCache>
            </c:strRef>
          </c:tx>
          <c:spPr>
            <a:solidFill>
              <a:srgbClr val="4f81bd"/>
            </a:solidFill>
            <a:ln w="0">
              <a:noFill/>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RAPPORTS!$A$253:$A$267</c:f>
              <c:strCache>
                <c:ptCount val="15"/>
                <c:pt idx="0">
                  <c:v>Education</c:v>
                </c:pt>
                <c:pt idx="1">
                  <c:v>Formation professionnelle</c:v>
                </c:pt>
                <c:pt idx="2">
                  <c:v>Entrepreneuriat</c:v>
                </c:pt>
                <c:pt idx="3">
                  <c:v>Culture</c:v>
                </c:pt>
                <c:pt idx="4">
                  <c:v>Environnement</c:v>
                </c:pt>
                <c:pt idx="5">
                  <c:v>Sante</c:v>
                </c:pt>
                <c:pt idx="6">
                  <c:v>Genre</c:v>
                </c:pt>
                <c:pt idx="7">
                  <c:v>Tourisme</c:v>
                </c:pt>
                <c:pt idx="8">
                  <c:v>Sport</c:v>
                </c:pt>
                <c:pt idx="9">
                  <c:v>Agriculture et developpement rural</c:v>
                </c:pt>
                <c:pt idx="10">
                  <c:v>Elevage</c:v>
                </c:pt>
                <c:pt idx="11">
                  <c:v>Peche et aquaculture</c:v>
                </c:pt>
                <c:pt idx="12">
                  <c:v>Securite alimentaire et nutrition</c:v>
                </c:pt>
                <c:pt idx="13">
                  <c:v>Eau, hygiene et assainissement</c:v>
                </c:pt>
                <c:pt idx="14">
                  <c:v>Protection sociale</c:v>
                </c:pt>
              </c:strCache>
            </c:strRef>
          </c:cat>
          <c:val>
            <c:numRef>
              <c:f>RAPPORTS!$B$253:$B$267</c:f>
              <c:numCache>
                <c:formatCode>#,##0</c:formatCode>
                <c:ptCount val="15"/>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gapWidth val="150"/>
        <c:overlap val="0"/>
        <c:axId val="79268471"/>
        <c:axId val="21286417"/>
      </c:barChart>
      <c:catAx>
        <c:axId val="7926847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21286417"/>
        <c:crosses val="autoZero"/>
        <c:auto val="1"/>
        <c:lblAlgn val="ctr"/>
        <c:lblOffset val="100"/>
        <c:noMultiLvlLbl val="0"/>
      </c:catAx>
      <c:valAx>
        <c:axId val="21286417"/>
        <c:scaling>
          <c:orientation val="minMax"/>
        </c:scaling>
        <c:delete val="0"/>
        <c:axPos val="l"/>
        <c:majorGridlines>
          <c:spPr>
            <a:ln w="0">
              <a:solidFill>
                <a:srgbClr val="b3b3b3"/>
              </a:solidFill>
            </a:ln>
          </c:spPr>
        </c:majorGridlines>
        <c:title>
          <c:tx>
            <c:rich>
              <a:bodyPr rot="0"/>
              <a:lstStyle/>
              <a:p>
                <a:pPr>
                  <a:defRPr b="0" sz="1300" strike="noStrike" u="none">
                    <a:uFillTx/>
                    <a:latin typeface="Arial"/>
                  </a:defRPr>
                </a:pPr>
                <a:r>
                  <a:rPr b="1" sz="1000" strike="noStrike" u="none">
                    <a:solidFill>
                      <a:srgbClr val="000000"/>
                    </a:solidFill>
                    <a:uFillTx/>
                    <a:latin typeface="Calibri"/>
                  </a:rPr>
                  <a:t>Nb projets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79268471"/>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FINANCES — RECETTES VS DÉPENSES</a:t>
            </a:r>
          </a:p>
        </c:rich>
      </c:tx>
      <c:overlay val="0"/>
      <c:spPr>
        <a:noFill/>
        <a:ln w="0">
          <a:noFill/>
        </a:ln>
      </c:spPr>
    </c:title>
    <c:autoTitleDeleted val="0"/>
    <c:plotArea>
      <c:barChart>
        <c:barDir val="col"/>
        <c:grouping val="clustered"/>
        <c:varyColors val="0"/>
        <c:ser>
          <c:idx val="0"/>
          <c:order val="0"/>
          <c:spPr>
            <a:solidFill>
              <a:srgbClr val="1677ff"/>
            </a:solidFill>
            <a:ln w="9360">
              <a:solidFill>
                <a:srgbClr val="1677ff"/>
              </a:solidFill>
              <a:round/>
            </a:ln>
          </c:spPr>
          <c:invertIfNegative val="0"/>
        </c:ser>
        <c:ser>
          <c:idx val="1"/>
          <c:order val="1"/>
          <c:spPr>
            <a:solidFill>
              <a:srgbClr val="e05252"/>
            </a:solidFill>
            <a:ln w="9360">
              <a:solidFill>
                <a:srgbClr val="e05252"/>
              </a:solidFill>
              <a:round/>
            </a:ln>
          </c:spPr>
          <c:invertIfNegative val="0"/>
        </c:ser>
        <c:gapWidth val="150"/>
        <c:overlap val="0"/>
        <c:axId val="66658988"/>
        <c:axId val="87761048"/>
      </c:barChart>
      <c:catAx>
        <c:axId val="66658988"/>
        <c:scaling>
          <c:orientation val="minMax"/>
        </c:scaling>
        <c:delete val="0"/>
        <c:axPos val="b"/>
        <c:numFmt formatCode="[$-409]mm/dd/yyyy"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87761048"/>
        <c:crosses val="autoZero"/>
        <c:auto val="1"/>
        <c:lblAlgn val="ctr"/>
        <c:lblOffset val="100"/>
        <c:noMultiLvlLbl val="0"/>
      </c:catAx>
      <c:valAx>
        <c:axId val="87761048"/>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FCFA</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66658988"/>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PORTEFEUILLE DES PROJETS — STATUT</a:t>
            </a:r>
          </a:p>
        </c:rich>
      </c:tx>
      <c:overlay val="0"/>
      <c:spPr>
        <a:noFill/>
        <a:ln w="0">
          <a:noFill/>
        </a:ln>
      </c:spPr>
    </c:title>
    <c:autoTitleDeleted val="0"/>
    <c:plotArea>
      <c:doughnutChart>
        <c:varyColors val="1"/>
        <c:ser>
          <c:idx val="0"/>
          <c:order val="0"/>
          <c:spPr>
            <a:solidFill>
              <a:srgbClr val="4f81bd"/>
            </a:solidFill>
            <a:ln w="0">
              <a:noFill/>
            </a:ln>
          </c:spPr>
          <c:explosion val="0"/>
        </c:ser>
        <c:firstSliceAng val="0"/>
        <c:holeSize val="50"/>
      </c:doughnutChart>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BÉNÉFICIAIRES — RÉPARTITION PAR SEXE</a:t>
            </a:r>
          </a:p>
        </c:rich>
      </c:tx>
      <c:overlay val="0"/>
      <c:spPr>
        <a:noFill/>
        <a:ln w="0">
          <a:noFill/>
        </a:ln>
      </c:spPr>
    </c:title>
    <c:autoTitleDeleted val="0"/>
    <c:plotArea>
      <c:doughnutChart>
        <c:varyColors val="1"/>
        <c:ser>
          <c:idx val="0"/>
          <c:order val="0"/>
          <c:spPr>
            <a:solidFill>
              <a:srgbClr val="4f81bd"/>
            </a:solidFill>
            <a:ln w="0">
              <a:noFill/>
            </a:ln>
          </c:spPr>
          <c:explosion val="0"/>
        </c:ser>
        <c:firstSliceAng val="0"/>
        <c:holeSize val="50"/>
      </c:doughnutChart>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ACTIVITÉS — STATUT D’AVANCEMENT</a:t>
            </a:r>
          </a:p>
        </c:rich>
      </c:tx>
      <c:overlay val="0"/>
      <c:spPr>
        <a:noFill/>
        <a:ln w="0">
          <a:noFill/>
        </a:ln>
      </c:spPr>
    </c:title>
    <c:autoTitleDeleted val="0"/>
    <c:plotArea>
      <c:doughnutChart>
        <c:varyColors val="1"/>
        <c:ser>
          <c:idx val="0"/>
          <c:order val="0"/>
          <c:spPr>
            <a:solidFill>
              <a:srgbClr val="4f81bd"/>
            </a:solidFill>
            <a:ln w="0">
              <a:noFill/>
            </a:ln>
          </c:spPr>
          <c:explosion val="0"/>
        </c:ser>
        <c:firstSliceAng val="0"/>
        <c:holeSize val="50"/>
      </c:doughnutChart>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ÉVOLUTION ANNUELLE — 2024 À 2033</a:t>
            </a:r>
          </a:p>
        </c:rich>
      </c:tx>
      <c:overlay val="0"/>
      <c:spPr>
        <a:noFill/>
        <a:ln w="0">
          <a:noFill/>
        </a:ln>
      </c:spPr>
    </c:title>
    <c:autoTitleDeleted val="0"/>
    <c:plotArea>
      <c:lineChart>
        <c:grouping val="standard"/>
        <c:varyColors val="0"/>
        <c:ser>
          <c:idx val="0"/>
          <c:order val="0"/>
          <c:spPr>
            <a:solidFill>
              <a:srgbClr val="1677ff"/>
            </a:solidFill>
            <a:ln w="28440">
              <a:solidFill>
                <a:srgbClr val="1677ff"/>
              </a:solidFill>
              <a:round/>
            </a:ln>
          </c:spPr>
          <c:marker>
            <c:symbol val="circle"/>
            <c:size val="6"/>
            <c:spPr>
              <a:solidFill>
                <a:srgbClr val="1677ff"/>
              </a:solidFill>
            </c:spPr>
          </c:marker>
          <c:smooth val="1"/>
        </c:ser>
        <c:ser>
          <c:idx val="1"/>
          <c:order val="1"/>
          <c:spPr>
            <a:solidFill>
              <a:srgbClr val="18b7d8"/>
            </a:solidFill>
            <a:ln w="28440">
              <a:solidFill>
                <a:srgbClr val="18b7d8"/>
              </a:solidFill>
              <a:round/>
            </a:ln>
          </c:spPr>
          <c:marker>
            <c:symbol val="circle"/>
            <c:size val="6"/>
            <c:spPr>
              <a:solidFill>
                <a:srgbClr val="18b7d8"/>
              </a:solidFill>
            </c:spPr>
          </c:marker>
          <c:smooth val="1"/>
        </c:ser>
        <c:hiLowLines>
          <c:spPr>
            <a:ln w="0">
              <a:noFill/>
            </a:ln>
          </c:spPr>
        </c:hiLowLines>
        <c:marker val="1"/>
        <c:axId val="74143030"/>
        <c:axId val="37267580"/>
      </c:lineChart>
      <c:lineChart>
        <c:grouping val="standard"/>
        <c:varyColors val="0"/>
        <c:ser>
          <c:idx val="2"/>
          <c:order val="2"/>
          <c:spPr>
            <a:solidFill>
              <a:srgbClr val="16a085"/>
            </a:solidFill>
            <a:ln w="28440">
              <a:solidFill>
                <a:srgbClr val="16a085"/>
              </a:solidFill>
              <a:round/>
            </a:ln>
          </c:spPr>
          <c:marker>
            <c:symbol val="diamond"/>
            <c:size val="6"/>
            <c:spPr>
              <a:solidFill>
                <a:srgbClr val="16a085"/>
              </a:solidFill>
            </c:spPr>
          </c:marker>
          <c:smooth val="1"/>
        </c:ser>
        <c:hiLowLines>
          <c:spPr>
            <a:ln w="0">
              <a:noFill/>
            </a:ln>
          </c:spPr>
        </c:hiLowLines>
        <c:marker val="1"/>
        <c:axId val="68174512"/>
        <c:axId val="8180883"/>
      </c:lineChart>
      <c:catAx>
        <c:axId val="74143030"/>
        <c:scaling>
          <c:orientation val="minMax"/>
        </c:scaling>
        <c:delete val="0"/>
        <c:axPos val="b"/>
        <c:numFmt formatCode="[$-409]mm/dd/yyyy"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37267580"/>
        <c:crosses val="autoZero"/>
        <c:auto val="1"/>
        <c:lblAlgn val="ctr"/>
        <c:lblOffset val="100"/>
        <c:noMultiLvlLbl val="0"/>
      </c:catAx>
      <c:valAx>
        <c:axId val="37267580"/>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Volume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74143030"/>
        <c:crosses val="autoZero"/>
        <c:crossBetween val="between"/>
      </c:valAx>
      <c:catAx>
        <c:axId val="68174512"/>
        <c:scaling>
          <c:orientation val="minMax"/>
        </c:scaling>
        <c:delete val="0"/>
        <c:axPos val="t"/>
        <c:numFmt formatCode="[$-409]mm/dd/yyyy"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8180883"/>
        <c:crosses val="autoZero"/>
        <c:auto val="1"/>
        <c:lblAlgn val="ctr"/>
        <c:lblOffset val="100"/>
        <c:noMultiLvlLbl val="0"/>
      </c:catAx>
      <c:valAx>
        <c:axId val="8180883"/>
        <c:scaling>
          <c:orientation val="minMax"/>
        </c:scaling>
        <c:delete val="0"/>
        <c:axPos val="r"/>
        <c:numFmt formatCode="General"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68174512"/>
        <c:crosses val="max"/>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COURBES MENSUELLES — RECETTES, DÉPENSES &amp; SOLDE</a:t>
            </a:r>
          </a:p>
        </c:rich>
      </c:tx>
      <c:overlay val="0"/>
      <c:spPr>
        <a:noFill/>
        <a:ln w="0">
          <a:noFill/>
        </a:ln>
      </c:spPr>
    </c:title>
    <c:autoTitleDeleted val="0"/>
    <c:plotArea>
      <c:lineChart>
        <c:grouping val="standard"/>
        <c:varyColors val="0"/>
        <c:ser>
          <c:idx val="0"/>
          <c:order val="0"/>
          <c:spPr>
            <a:solidFill>
              <a:srgbClr val="1677ff"/>
            </a:solidFill>
            <a:ln w="28440">
              <a:solidFill>
                <a:srgbClr val="1677ff"/>
              </a:solidFill>
              <a:round/>
            </a:ln>
          </c:spPr>
          <c:marker>
            <c:symbol val="circle"/>
            <c:size val="5"/>
            <c:spPr>
              <a:solidFill>
                <a:srgbClr val="1677ff"/>
              </a:solidFill>
            </c:spPr>
          </c:marker>
          <c:smooth val="1"/>
        </c:ser>
        <c:ser>
          <c:idx val="1"/>
          <c:order val="1"/>
          <c:spPr>
            <a:solidFill>
              <a:srgbClr val="e05252"/>
            </a:solidFill>
            <a:ln w="28440">
              <a:solidFill>
                <a:srgbClr val="e05252"/>
              </a:solidFill>
              <a:round/>
            </a:ln>
          </c:spPr>
          <c:marker>
            <c:symbol val="square"/>
            <c:size val="5"/>
            <c:spPr>
              <a:solidFill>
                <a:srgbClr val="e05252"/>
              </a:solidFill>
            </c:spPr>
          </c:marker>
          <c:smooth val="1"/>
        </c:ser>
        <c:ser>
          <c:idx val="2"/>
          <c:order val="2"/>
          <c:spPr>
            <a:solidFill>
              <a:srgbClr val="16a085"/>
            </a:solidFill>
            <a:ln w="28440">
              <a:solidFill>
                <a:srgbClr val="16a085"/>
              </a:solidFill>
              <a:round/>
            </a:ln>
          </c:spPr>
          <c:marker>
            <c:symbol val="diamond"/>
            <c:size val="5"/>
            <c:spPr>
              <a:solidFill>
                <a:srgbClr val="16a085"/>
              </a:solidFill>
            </c:spPr>
          </c:marker>
          <c:smooth val="1"/>
        </c:ser>
        <c:hiLowLines>
          <c:spPr>
            <a:ln w="0">
              <a:noFill/>
            </a:ln>
          </c:spPr>
        </c:hiLowLines>
        <c:marker val="1"/>
        <c:axId val="5472902"/>
        <c:axId val="61227221"/>
      </c:lineChart>
      <c:catAx>
        <c:axId val="5472902"/>
        <c:scaling>
          <c:orientation val="minMax"/>
        </c:scaling>
        <c:delete val="0"/>
        <c:axPos val="b"/>
        <c:numFmt formatCode="[$-409]mm/dd/yyyy"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61227221"/>
        <c:crosses val="autoZero"/>
        <c:auto val="1"/>
        <c:lblAlgn val="ctr"/>
        <c:lblOffset val="100"/>
        <c:noMultiLvlLbl val="0"/>
      </c:catAx>
      <c:valAx>
        <c:axId val="61227221"/>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FCFA</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5472902"/>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 Id="rId6"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300</xdr:row>
      <xdr:rowOff>0</xdr:rowOff>
    </xdr:from>
    <xdr:to>
      <xdr:col>4</xdr:col>
      <xdr:colOff>119520</xdr:colOff>
      <xdr:row>315</xdr:row>
      <xdr:rowOff>20520</xdr:rowOff>
    </xdr:to>
    <xdr:graphicFrame>
      <xdr:nvGraphicFramePr>
        <xdr:cNvPr id="0" name="Chart 1"/>
        <xdr:cNvGraphicFramePr/>
      </xdr:nvGraphicFramePr>
      <xdr:xfrm>
        <a:off x="0" y="60893280"/>
        <a:ext cx="5758200" cy="287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300</xdr:row>
      <xdr:rowOff>0</xdr:rowOff>
    </xdr:from>
    <xdr:to>
      <xdr:col>12</xdr:col>
      <xdr:colOff>683280</xdr:colOff>
      <xdr:row>315</xdr:row>
      <xdr:rowOff>20520</xdr:rowOff>
    </xdr:to>
    <xdr:graphicFrame>
      <xdr:nvGraphicFramePr>
        <xdr:cNvPr id="1" name="Chart 2"/>
        <xdr:cNvGraphicFramePr/>
      </xdr:nvGraphicFramePr>
      <xdr:xfrm>
        <a:off x="9021960" y="60893280"/>
        <a:ext cx="5758200" cy="2878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0</xdr:rowOff>
    </xdr:from>
    <xdr:to>
      <xdr:col>4</xdr:col>
      <xdr:colOff>801360</xdr:colOff>
      <xdr:row>30</xdr:row>
      <xdr:rowOff>42840</xdr:rowOff>
    </xdr:to>
    <xdr:graphicFrame>
      <xdr:nvGraphicFramePr>
        <xdr:cNvPr id="2" name="Chart 1"/>
        <xdr:cNvGraphicFramePr/>
      </xdr:nvGraphicFramePr>
      <xdr:xfrm>
        <a:off x="211320" y="5410080"/>
        <a:ext cx="4607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20</xdr:row>
      <xdr:rowOff>0</xdr:rowOff>
    </xdr:from>
    <xdr:to>
      <xdr:col>15</xdr:col>
      <xdr:colOff>702000</xdr:colOff>
      <xdr:row>30</xdr:row>
      <xdr:rowOff>42840</xdr:rowOff>
    </xdr:to>
    <xdr:graphicFrame>
      <xdr:nvGraphicFramePr>
        <xdr:cNvPr id="3" name="Chart 2"/>
        <xdr:cNvGraphicFramePr/>
      </xdr:nvGraphicFramePr>
      <xdr:xfrm>
        <a:off x="15436080" y="5410080"/>
        <a:ext cx="32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0</xdr:rowOff>
    </xdr:from>
    <xdr:to>
      <xdr:col>3</xdr:col>
      <xdr:colOff>702000</xdr:colOff>
      <xdr:row>46</xdr:row>
      <xdr:rowOff>42840</xdr:rowOff>
    </xdr:to>
    <xdr:graphicFrame>
      <xdr:nvGraphicFramePr>
        <xdr:cNvPr id="4" name="Chart 3"/>
        <xdr:cNvGraphicFramePr/>
      </xdr:nvGraphicFramePr>
      <xdr:xfrm>
        <a:off x="211320" y="9401040"/>
        <a:ext cx="323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36</xdr:row>
      <xdr:rowOff>0</xdr:rowOff>
    </xdr:from>
    <xdr:to>
      <xdr:col>15</xdr:col>
      <xdr:colOff>702000</xdr:colOff>
      <xdr:row>46</xdr:row>
      <xdr:rowOff>42840</xdr:rowOff>
    </xdr:to>
    <xdr:graphicFrame>
      <xdr:nvGraphicFramePr>
        <xdr:cNvPr id="5" name="Chart 4"/>
        <xdr:cNvGraphicFramePr/>
      </xdr:nvGraphicFramePr>
      <xdr:xfrm>
        <a:off x="15436080" y="9401040"/>
        <a:ext cx="3239640" cy="25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52</xdr:row>
      <xdr:rowOff>0</xdr:rowOff>
    </xdr:from>
    <xdr:to>
      <xdr:col>4</xdr:col>
      <xdr:colOff>801360</xdr:colOff>
      <xdr:row>62</xdr:row>
      <xdr:rowOff>5040</xdr:rowOff>
    </xdr:to>
    <xdr:graphicFrame>
      <xdr:nvGraphicFramePr>
        <xdr:cNvPr id="6" name="Chart 5"/>
        <xdr:cNvGraphicFramePr/>
      </xdr:nvGraphicFramePr>
      <xdr:xfrm>
        <a:off x="211320" y="13392000"/>
        <a:ext cx="4607640" cy="251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52</xdr:row>
      <xdr:rowOff>0</xdr:rowOff>
    </xdr:from>
    <xdr:to>
      <xdr:col>16</xdr:col>
      <xdr:colOff>801360</xdr:colOff>
      <xdr:row>62</xdr:row>
      <xdr:rowOff>5040</xdr:rowOff>
    </xdr:to>
    <xdr:graphicFrame>
      <xdr:nvGraphicFramePr>
        <xdr:cNvPr id="7" name="Chart 6"/>
        <xdr:cNvGraphicFramePr/>
      </xdr:nvGraphicFramePr>
      <xdr:xfrm>
        <a:off x="15436080" y="13392000"/>
        <a:ext cx="4607640" cy="251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tbl_Activites" displayName="tbl_Activites" ref="A55:CN105" headerRowCount="1" totalsRowCount="0" totalsRowShown="0">
  <autoFilter ref="A55:CN105"/>
  <tableColumns count="92">
    <tableColumn id="1" name="ID Activite"/>
    <tableColumn id="2" name="Code interne"/>
    <tableColumn id="3" name="ID Projet"/>
    <tableColumn id="4" name="Nom du projet"/>
    <tableColumn id="5" name="Domaine d'intervention (projet)"/>
    <tableColumn id="6" name="Responsable du projet"/>
    <tableColumn id="7" name="Intitule de l'activite"/>
    <tableColumn id="8" name="Description"/>
    <tableColumn id="9" name="Objectif de l'activite"/>
    <tableColumn id="10" name="Type d'activite"/>
    <tableColumn id="11" name="Domaine d'intervention (activite)"/>
    <tableColumn id="12" name="Date prevue"/>
    <tableColumn id="13" name="Heure debut prevue"/>
    <tableColumn id="14" name="Heure fin prevue"/>
    <tableColumn id="15" name="Duree prevue (h)"/>
    <tableColumn id="16" name="Frequence"/>
    <tableColumn id="17" name="Mois"/>
    <tableColumn id="18" name="Trimestre"/>
    <tableColumn id="19" name="Annee"/>
    <tableColumn id="20" name="Date reelle"/>
    <tableColumn id="21" name="Heure reelle debut"/>
    <tableColumn id="22" name="Heure reelle fin"/>
    <tableColumn id="23" name="Duree reelle (h)"/>
    <tableColumn id="24" name="Activite realisee"/>
    <tableColumn id="25" name="Niveau de realisation (%)"/>
    <tableColumn id="26" name="Statut de l'activite"/>
    <tableColumn id="27" name="Ecart (jours)"/>
    <tableColumn id="28" name="Activite en retard"/>
    <tableColumn id="29" name="ID responsable"/>
    <tableColumn id="30" name="Nom responsable"/>
    <tableColumn id="31" name="Fonction responsable"/>
    <tableColumn id="32" name="Telephone responsable"/>
    <tableColumn id="33" name="Email responsable"/>
    <tableColumn id="34" name="Localite"/>
    <tableColumn id="35" name="Pays"/>
    <tableColumn id="36" name="Departement"/>
    <tableColumn id="37" name="District/Commune"/>
    <tableColumn id="38" name="Arrondissement"/>
    <tableColumn id="39" name="Site exact / Adresse"/>
    <tableColumn id="40" name="Coordonnees GPS"/>
    <tableColumn id="41" name="Nb beneficiaires prevu"/>
    <tableColumn id="42" name="Hommes prevus"/>
    <tableColumn id="43" name="Femmes prevues"/>
    <tableColumn id="44" name="Enfants prevus"/>
    <tableColumn id="45" name="Jeunes prevus"/>
    <tableColumn id="46" name="Adultes prevus"/>
    <tableColumn id="47" name="Personnes vulnerables prevues"/>
    <tableColumn id="48" name="Nb participants reels"/>
    <tableColumn id="49" name="Hommes reels"/>
    <tableColumn id="50" name="Femmes reelles"/>
    <tableColumn id="51" name="Personnes vulnerables reelles"/>
    <tableColumn id="52" name="Presence enregistree"/>
    <tableColumn id="53" name="Liste de presence disponible"/>
    <tableColumn id="54" name="Reference document presence"/>
    <tableColumn id="55" name="Budget prevu (FCFA)"/>
    <tableColumn id="56" name="Budget approuve (FCFA)"/>
    <tableColumn id="57" name="Depense reelle (FCFA)"/>
    <tableColumn id="58" name="Solde (FCFA)"/>
    <tableColumn id="59" name="Taux d'execution budgetaire"/>
    <tableColumn id="60" name="Source de financement"/>
    <tableColumn id="61" name="ID financement"/>
    <tableColumn id="62" name="Montant prevu financement (FCFA)"/>
    <tableColumn id="63" name="Montant recu financement (FCFA)"/>
    <tableColumn id="64" name="Statut financement"/>
    <tableColumn id="65" name="Ressources necessaires"/>
    <tableColumn id="66" name="Prestataire / Fournisseur"/>
    <tableColumn id="67" name="Type de prestation"/>
    <tableColumn id="68" name="Reference contrat"/>
    <tableColumn id="69" name="Montant prestation (FCFA)"/>
    <tableColumn id="70" name="Statut prestation"/>
    <tableColumn id="71" name="Resultat obtenu"/>
    <tableColumn id="72" name="Difficultes rencontrees"/>
    <tableColumn id="73" name="Solutions apportees"/>
    <tableColumn id="74" name="Ecart participants (reel-prevu)"/>
    <tableColumn id="75" name="Ecart budgetaire (FCFA)"/>
    <tableColumn id="76" name="Communication realisee"/>
    <tableColumn id="77" name="Photos disponibles"/>
    <tableColumn id="78" name="Video disponible"/>
    <tableColumn id="79" name="Publication realisee"/>
    <tableColumn id="80" name="Support utilise"/>
    <tableColumn id="81" name="Lien support"/>
    <tableColumn id="82" name="Taux d'avancement (%)"/>
    <tableColumn id="83" name="Activite evaluee"/>
    <tableColumn id="84" name="Date evaluation"/>
    <tableColumn id="85" name="Evaluateur"/>
    <tableColumn id="86" name="Satisfaction (1-5)"/>
    <tableColumn id="87" name="Lecons apprises"/>
    <tableColumn id="88" name="Recommandations"/>
    <tableColumn id="89" name="Nb documents justificatifs"/>
    <tableColumn id="90" name="Nb risques/incidents"/>
    <tableColumn id="91" name="Budget en depassement"/>
    <tableColumn id="92" name="Observations"/>
  </tableColumns>
</table>
</file>

<file path=xl/tables/table2.xml><?xml version="1.0" encoding="utf-8"?>
<table xmlns="http://schemas.openxmlformats.org/spreadsheetml/2006/main" id="2" name="tbl_Activites_Documents" displayName="tbl_Activites_Documents" ref="A211:F241" headerRowCount="1" totalsRowCount="0" totalsRowShown="0">
  <autoFilter ref="A211:F241"/>
  <tableColumns count="6">
    <tableColumn id="1" name="ID Activite"/>
    <tableColumn id="2" name="Type de document"/>
    <tableColumn id="3" name="Reference"/>
    <tableColumn id="4" name="Date"/>
    <tableColumn id="5" name="Statut"/>
    <tableColumn id="6" name="Emplacement / lien"/>
  </tableColumns>
</table>
</file>

<file path=xl/tables/table3.xml><?xml version="1.0" encoding="utf-8"?>
<table xmlns="http://schemas.openxmlformats.org/spreadsheetml/2006/main" id="3" name="tbl_Activites_Equipe" displayName="tbl_Activites_Equipe" ref="A109:F139" headerRowCount="1" totalsRowCount="0" totalsRowShown="0">
  <autoFilter ref="A109:F139"/>
  <tableColumns count="6">
    <tableColumn id="1" name="ID Activite"/>
    <tableColumn id="2" name="ID employe"/>
    <tableColumn id="3" name="Nom"/>
    <tableColumn id="4" name="Fonction"/>
    <tableColumn id="5" name="Role dans l'activite"/>
    <tableColumn id="6" name="Presence"/>
  </tableColumns>
</table>
</file>

<file path=xl/tables/table4.xml><?xml version="1.0" encoding="utf-8"?>
<table xmlns="http://schemas.openxmlformats.org/spreadsheetml/2006/main" id="4" name="tbl_Activites_Indicateurs" displayName="tbl_Activites_Indicateurs" ref="A143:G173" headerRowCount="1" totalsRowCount="0" totalsRowShown="0">
  <autoFilter ref="A143:G173"/>
  <tableColumns count="7">
    <tableColumn id="1" name="ID Activite"/>
    <tableColumn id="2" name="Code indicateur"/>
    <tableColumn id="3" name="Indicateur"/>
    <tableColumn id="4" name="Unite"/>
    <tableColumn id="5" name="Cible"/>
    <tableColumn id="6" name="Realisation"/>
    <tableColumn id="7" name="% atteinte"/>
  </tableColumns>
</table>
</file>

<file path=xl/tables/table5.xml><?xml version="1.0" encoding="utf-8"?>
<table xmlns="http://schemas.openxmlformats.org/spreadsheetml/2006/main" id="5" name="tbl_Activites_ParDomaine" displayName="tbl_Activites_ParDomaine" ref="A289:D329" headerRowCount="1" totalsRowCount="0" totalsRowShown="0">
  <autoFilter ref="A289:D329"/>
  <tableColumns count="4">
    <tableColumn id="1" name="Domaine"/>
    <tableColumn id="2" name="Nb activites"/>
    <tableColumn id="3" name="Realisees"/>
    <tableColumn id="4" name="Taux"/>
  </tableColumns>
</table>
</file>

<file path=xl/tables/table6.xml><?xml version="1.0" encoding="utf-8"?>
<table xmlns="http://schemas.openxmlformats.org/spreadsheetml/2006/main" id="6" name="tbl_Activites_ParProjet" displayName="tbl_Activites_ParProjet" ref="A245:D285" headerRowCount="1" totalsRowCount="0" totalsRowShown="0">
  <autoFilter ref="A245:D285"/>
  <tableColumns count="4">
    <tableColumn id="1" name="Projet"/>
    <tableColumn id="2" name="Activites prevues"/>
    <tableColumn id="3" name="Realisees"/>
    <tableColumn id="4" name="Taux de realisation"/>
  </tableColumns>
</table>
</file>

<file path=xl/tables/table7.xml><?xml version="1.0" encoding="utf-8"?>
<table xmlns="http://schemas.openxmlformats.org/spreadsheetml/2006/main" id="7" name="tbl_Activites_Risques" displayName="tbl_Activites_Risques" ref="A177:I207" headerRowCount="1" totalsRowCount="0" totalsRowShown="0">
  <autoFilter ref="A177:I207"/>
  <tableColumns count="9">
    <tableColumn id="1" name="ID Activite"/>
    <tableColumn id="2" name="ID risque"/>
    <tableColumn id="3" name="Risque/incident"/>
    <tableColumn id="4" name="Date"/>
    <tableColumn id="5" name="Niveau"/>
    <tableColumn id="6" name="Impact"/>
    <tableColumn id="7" name="Mesure prise"/>
    <tableColumn id="8" name="Responsable"/>
    <tableColumn id="9" name="Statut"/>
  </tableColumns>
</table>
</file>

<file path=xl/tables/table8.xml><?xml version="1.0" encoding="utf-8"?>
<table xmlns="http://schemas.openxmlformats.org/spreadsheetml/2006/main" id="8" name="tbl_Annees" displayName="tbl_Annees" ref="A38:C48" headerRowCount="1" totalsRowCount="0" totalsRowShown="0">
  <autoFilter ref="A38:C48"/>
  <tableColumns count="3">
    <tableColumn id="1" name="Code"/>
    <tableColumn id="2" name="Annee"/>
    <tableColumn id="3" name="Statut"/>
  </tableColumns>
</table>
</file>

<file path=xl/tables/table9.xml><?xml version="1.0" encoding="utf-8"?>
<table xmlns="http://schemas.openxmlformats.org/spreadsheetml/2006/main" id="9" name="tbl_Beneficiaires" displayName="tbl_Beneficiaires" ref="A55:BZ115" headerRowCount="1" totalsRowCount="0" totalsRowShown="0">
  <autoFilter ref="A55:BZ115"/>
  <tableColumns count="78">
    <tableColumn id="1" name="ID Beneficiaire"/>
    <tableColumn id="2" name="Type de beneficiaire"/>
    <tableColumn id="3" name="Categorie beneficiaire"/>
    <tableColumn id="4" name="Nom"/>
    <tableColumn id="5" name="Postnom"/>
    <tableColumn id="6" name="Prenom"/>
    <tableColumn id="7" name="Nom complet"/>
    <tableColumn id="8" name="Sexe"/>
    <tableColumn id="9" name="Date de naissance"/>
    <tableColumn id="10" name="Age"/>
    <tableColumn id="11" name="Tranche d'age"/>
    <tableColumn id="12" name="Situation matrimoniale"/>
    <tableColumn id="13" name="Nationalite"/>
    <tableColumn id="14" name="ID menage"/>
    <tableColumn id="15" name="Nom du menage"/>
    <tableColumn id="16" name="Taille du menage"/>
    <tableColumn id="17" name="Responsable du menage"/>
    <tableColumn id="18" name="Nb hommes menage"/>
    <tableColumn id="19" name="Nb femmes menage"/>
    <tableColumn id="20" name="Nb enfants menage"/>
    <tableColumn id="21" name="Nb pers. vulnerables menage"/>
    <tableColumn id="22" name="Handicap"/>
    <tableColumn id="23" name="Enfant vulnerable"/>
    <tableColumn id="24" name="Pers. agee vulnerable"/>
    <tableColumn id="25" name="Femme vulnerable"/>
    <tableColumn id="26" name="Menage vulnerable"/>
    <tableColumn id="27" name="Personne deplacee"/>
    <tableColumn id="28" name="Autre vulnerabilite"/>
    <tableColumn id="29" name="Niveau instruction"/>
    <tableColumn id="30" name="Situation professionnelle"/>
    <tableColumn id="31" name="Profession"/>
    <tableColumn id="32" name="Secteur d'activite"/>
    <tableColumn id="33" name="Statut professionnel"/>
    <tableColumn id="34" name="Niveau de revenu"/>
    <tableColumn id="35" name="Activite generatrice revenus"/>
    <tableColumn id="36" name="Statut entrepreneurial"/>
    <tableColumn id="37" name="Situation economique"/>
    <tableColumn id="38" name="Localite"/>
    <tableColumn id="39" name="Pays"/>
    <tableColumn id="40" name="Departement"/>
    <tableColumn id="41" name="District/Commune"/>
    <tableColumn id="42" name="Arrondissement"/>
    <tableColumn id="43" name="Quartier/Village"/>
    <tableColumn id="44" name="Adresse / zone"/>
    <tableColumn id="45" name="Zone d'intervention"/>
    <tableColumn id="46" name="Telephone principal"/>
    <tableColumn id="47" name="Telephone secondaire"/>
    <tableColumn id="48" name="E-mail"/>
    <tableColumn id="49" name="Contact urgence (nom)"/>
    <tableColumn id="50" name="Telephone contact urgence"/>
    <tableColumn id="51" name="ID projet"/>
    <tableColumn id="52" name="Nom du projet"/>
    <tableColumn id="53" name="Domaine d'intervention"/>
    <tableColumn id="54" name="Date integration projet"/>
    <tableColumn id="55" name="Statut ds le projet"/>
    <tableColumn id="56" name="Statut du beneficiaire"/>
    <tableColumn id="57" name="Date d'inscription"/>
    <tableColumn id="58" name="Date de sortie"/>
    <tableColumn id="59" name="Motif de sortie"/>
    <tableColumn id="60" name="Consentement obtenu"/>
    <tableColumn id="61" name="Autorisation usage donnees"/>
    <tableColumn id="62" name="Autorisation photo"/>
    <tableColumn id="63" name="Autorisation communication"/>
    <tableColumn id="64" name="Source information"/>
    <tableColumn id="65" name="Date de collecte"/>
    <tableColumn id="66" name="ID agent"/>
    <tableColumn id="67" name="Nom de l'agent"/>
    <tableColumn id="68" name="Fonction agent"/>
    <tableColumn id="69" name="Methode de collecte"/>
    <tableColumn id="70" name="Type de document"/>
    <tableColumn id="71" name="N° / reference document"/>
    <tableColumn id="72" name="Document verifie"/>
    <tableColumn id="73" name="Date de verification"/>
    <tableColumn id="74" name="Anciennete (annees)"/>
    <tableColumn id="75" name="Nb activites suivies"/>
    <tableColumn id="76" name="Nb appuis recus"/>
    <tableColumn id="77" name="Alerte doublon"/>
    <tableColumn id="78" name="Observations"/>
  </tableColumns>
</table>
</file>

<file path=xl/tables/table10.xml><?xml version="1.0" encoding="utf-8"?>
<table xmlns="http://schemas.openxmlformats.org/spreadsheetml/2006/main" id="10" name="tbl_Beneficiaires_Activites" displayName="tbl_Beneficiaires_Activites" ref="A119:I159" headerRowCount="1" totalsRowCount="0" totalsRowShown="0">
  <autoFilter ref="A119:I159"/>
  <tableColumns count="9">
    <tableColumn id="1" name="ID Participation"/>
    <tableColumn id="2" name="ID Beneficiaire"/>
    <tableColumn id="3" name="ID activite"/>
    <tableColumn id="4" name="Activite"/>
    <tableColumn id="5" name="Type d'activite"/>
    <tableColumn id="6" name="Date participation"/>
    <tableColumn id="7" name="Presence"/>
    <tableColumn id="8" name="Resultat"/>
    <tableColumn id="9" name="Observation"/>
  </tableColumns>
</table>
</file>

<file path=xl/tables/table11.xml><?xml version="1.0" encoding="utf-8"?>
<table xmlns="http://schemas.openxmlformats.org/spreadsheetml/2006/main" id="11" name="tbl_Beneficiaires_Appuis" displayName="tbl_Beneficiaires_Appuis" ref="A163:H203" headerRowCount="1" totalsRowCount="0" totalsRowShown="0">
  <autoFilter ref="A163:H203"/>
  <tableColumns count="8">
    <tableColumn id="1" name="ID Appui"/>
    <tableColumn id="2" name="ID Beneficiaire"/>
    <tableColumn id="3" name="Date"/>
    <tableColumn id="4" name="Type d'appui"/>
    <tableColumn id="5" name="Quantite"/>
    <tableColumn id="6" name="Valeur estimee"/>
    <tableColumn id="7" name="Projet"/>
    <tableColumn id="8" name="Observation"/>
  </tableColumns>
</table>
</file>

<file path=xl/tables/table12.xml><?xml version="1.0" encoding="utf-8"?>
<table xmlns="http://schemas.openxmlformats.org/spreadsheetml/2006/main" id="12" name="tbl_Budget" displayName="tbl_Budget" ref="A27:BA67" headerRowCount="1" totalsRowCount="0" totalsRowShown="0">
  <autoFilter ref="A27:BA67"/>
  <tableColumns count="53">
    <tableColumn id="1" name="ID Budget"/>
    <tableColumn id="2" name="Annee budgetaire"/>
    <tableColumn id="3" name="Exercice budgetaire"/>
    <tableColumn id="4" name="Date debut"/>
    <tableColumn id="5" name="Date fin"/>
    <tableColumn id="6" name="Statut"/>
    <tableColumn id="7" name="Type de budget"/>
    <tableColumn id="8" name="ID Projet"/>
    <tableColumn id="9" name="Nom du projet"/>
    <tableColumn id="10" name="Domaine"/>
    <tableColumn id="11" name="Responsable"/>
    <tableColumn id="12" name="ID Activite"/>
    <tableColumn id="13" name="Intitule activite"/>
    <tableColumn id="14" name="ID Donateur"/>
    <tableColumn id="15" name="Donateur"/>
    <tableColumn id="16" name="ID Financement"/>
    <tableColumn id="17" name="Source de financement"/>
    <tableColumn id="18" name="Type de financement"/>
    <tableColumn id="19" name="Categorie budgetaire"/>
    <tableColumn id="20" name="Code ligne"/>
    <tableColumn id="21" name="Libelle"/>
    <tableColumn id="22" name="Description"/>
    <tableColumn id="23" name="Unite"/>
    <tableColumn id="24" name="Quantite"/>
    <tableColumn id="25" name="Cout unitaire (FCFA)"/>
    <tableColumn id="26" name="Montant prevu (FCFA)"/>
    <tableColumn id="27" name="Montant soumis (FCFA)"/>
    <tableColumn id="28" name="Montant approuve (FCFA)"/>
    <tableColumn id="29" name="Ecart approbation (FCFA)"/>
    <tableColumn id="30" name="Budget revise (FCFA)"/>
    <tableColumn id="31" name="Date revision"/>
    <tableColumn id="32" name="Motif revision"/>
    <tableColumn id="33" name="Version budget"/>
    <tableColumn id="34" name="Autorite validation"/>
    <tableColumn id="35" name="Montant engage (FCFA)"/>
    <tableColumn id="36" name="Depenses realisees (FCFA)"/>
    <tableColumn id="37" name="Budget de reference (FCFA)"/>
    <tableColumn id="38" name="Solde budgetaire (FCFA)"/>
    <tableColumn id="39" name="Solde apres engagements (FCFA)"/>
    <tableColumn id="40" name="Taux d'execution (%)"/>
    <tableColumn id="41" name="Ecart budgetaire (FCFA)"/>
    <tableColumn id="42" name="Ecart (%)"/>
    <tableColumn id="43" name="Statut alerte"/>
    <tableColumn id="44" name="Contribution ONG (FCFA)"/>
    <tableColumn id="45" name="Contribution bailleur (FCFA)"/>
    <tableColumn id="46" name="Contribution partenaires (FCFA)"/>
    <tableColumn id="47" name="Autres contributions (FCFA)"/>
    <tableColumn id="48" name="Total cofinance (FCFA)"/>
    <tableColumn id="49" name="% Contribution ONG"/>
    <tableColumn id="50" name="% Contribution bailleur"/>
    <tableColumn id="51" name="Observations"/>
    <tableColumn id="52" name="Rang projet (technique)"/>
    <tableColumn id="53" name="Rang projet-annee (technique)"/>
  </tableColumns>
</table>
</file>

<file path=xl/tables/table13.xml><?xml version="1.0" encoding="utf-8"?>
<table xmlns="http://schemas.openxmlformats.org/spreadsheetml/2006/main" id="13" name="tbl_Budget_Fonctionnement" displayName="tbl_Budget_Fonctionnement" ref="A285:E298" headerRowCount="1" totalsRowCount="0" totalsRowShown="0">
  <autoFilter ref="A285:E298"/>
  <tableColumns count="5">
    <tableColumn id="1" name="Categorie"/>
    <tableColumn id="2" name="Montant prevu (FCFA)"/>
    <tableColumn id="3" name="Montant realise (FCFA)"/>
    <tableColumn id="4" name="Solde (FCFA)"/>
    <tableColumn id="5" name="Taux d'execution (%)"/>
  </tableColumns>
</table>
</file>

<file path=xl/tables/table14.xml><?xml version="1.0" encoding="utf-8"?>
<table xmlns="http://schemas.openxmlformats.org/spreadsheetml/2006/main" id="14" name="tbl_Budget_Investissement" displayName="tbl_Budget_Investissement" ref="A301:I321" headerRowCount="1" totalsRowCount="0" totalsRowShown="0">
  <autoFilter ref="A301:I321"/>
  <tableColumns count="9">
    <tableColumn id="1" name="ID Investissement"/>
    <tableColumn id="2" name="Immobilisation"/>
    <tableColumn id="3" name="Quantite"/>
    <tableColumn id="4" name="Cout unitaire (FCFA)"/>
    <tableColumn id="5" name="Montant (FCFA)"/>
    <tableColumn id="6" name="ID Projet"/>
    <tableColumn id="7" name="Date prevue"/>
    <tableColumn id="8" name="Statut"/>
    <tableColumn id="9" name="Observations"/>
  </tableColumns>
</table>
</file>

<file path=xl/tables/table15.xml><?xml version="1.0" encoding="utf-8"?>
<table xmlns="http://schemas.openxmlformats.org/spreadsheetml/2006/main" id="15" name="tbl_Budget_ParCategorie" displayName="tbl_Budget_ParCategorie" ref="A199:E229" headerRowCount="1" totalsRowCount="0" totalsRowShown="0">
  <autoFilter ref="A199:E229"/>
  <tableColumns count="5">
    <tableColumn id="1" name="Categorie budgetaire"/>
    <tableColumn id="2" name="Budget prevu (FCFA)"/>
    <tableColumn id="3" name="Depenses realisees (FCFA)"/>
    <tableColumn id="4" name="Solde (FCFA)"/>
    <tableColumn id="5" name="Taux d'execution (%)"/>
  </tableColumns>
</table>
</file>

<file path=xl/tables/table16.xml><?xml version="1.0" encoding="utf-8"?>
<table xmlns="http://schemas.openxmlformats.org/spreadsheetml/2006/main" id="16" name="tbl_Budget_ParDomaine" displayName="tbl_Budget_ParDomaine" ref="A156:E196" headerRowCount="1" totalsRowCount="0" totalsRowShown="0">
  <autoFilter ref="A156:E196"/>
  <tableColumns count="5">
    <tableColumn id="1" name="Domaine"/>
    <tableColumn id="2" name="Budget prevu (FCFA)"/>
    <tableColumn id="3" name="Depenses realisees (FCFA)"/>
    <tableColumn id="4" name="Solde (FCFA)"/>
    <tableColumn id="5" name="Taux d'execution (%)"/>
  </tableColumns>
</table>
</file>

<file path=xl/tables/table17.xml><?xml version="1.0" encoding="utf-8"?>
<table xmlns="http://schemas.openxmlformats.org/spreadsheetml/2006/main" id="17" name="tbl_Budget_ParDonateur" displayName="tbl_Budget_ParDonateur" ref="A232:F282" headerRowCount="1" totalsRowCount="0" totalsRowShown="0">
  <autoFilter ref="A232:F282"/>
  <tableColumns count="6">
    <tableColumn id="1" name="ID Donateur"/>
    <tableColumn id="2" name="Donateur"/>
    <tableColumn id="3" name="Budget prevu (FCFA)"/>
    <tableColumn id="4" name="Financement recu (FCFA)"/>
    <tableColumn id="5" name="Depenses realisees (FCFA)"/>
    <tableColumn id="6" name="Solde (FCFA)"/>
  </tableColumns>
</table>
</file>

<file path=xl/tables/table18.xml><?xml version="1.0" encoding="utf-8"?>
<table xmlns="http://schemas.openxmlformats.org/spreadsheetml/2006/main" id="18" name="tbl_Budget_ParProjet" displayName="tbl_Budget_ParProjet" ref="A113:H153" headerRowCount="1" totalsRowCount="0" totalsRowShown="0">
  <autoFilter ref="A113:H153"/>
  <tableColumns count="8">
    <tableColumn id="1" name="ID Projet"/>
    <tableColumn id="2" name="Nom du projet"/>
    <tableColumn id="3" name="Budget prevu (FCFA)"/>
    <tableColumn id="4" name="Budget approuve/revise (FCFA)"/>
    <tableColumn id="5" name="Montant engage (FCFA)"/>
    <tableColumn id="6" name="Depenses realisees (FCFA)"/>
    <tableColumn id="7" name="Solde (FCFA)"/>
    <tableColumn id="8" name="Taux d'execution (%)"/>
  </tableColumns>
</table>
</file>

<file path=xl/tables/table19.xml><?xml version="1.0" encoding="utf-8"?>
<table xmlns="http://schemas.openxmlformats.org/spreadsheetml/2006/main" id="19" name="tbl_Budget_Repartition" displayName="tbl_Budget_Repartition" ref="A70:T110" headerRowCount="1" totalsRowCount="0" totalsRowShown="0">
  <autoFilter ref="A70:T110"/>
  <tableColumns count="20">
    <tableColumn id="1" name="ID Budget"/>
    <tableColumn id="2" name="Code ligne"/>
    <tableColumn id="3" name="Libelle"/>
    <tableColumn id="4" name="Jan"/>
    <tableColumn id="5" name="Fev"/>
    <tableColumn id="6" name="Mar"/>
    <tableColumn id="7" name="Avr"/>
    <tableColumn id="8" name="Mai"/>
    <tableColumn id="9" name="Jun"/>
    <tableColumn id="10" name="Jul"/>
    <tableColumn id="11" name="Aou"/>
    <tableColumn id="12" name="Sep"/>
    <tableColumn id="13" name="Oct"/>
    <tableColumn id="14" name="Nov"/>
    <tableColumn id="15" name="Dec"/>
    <tableColumn id="16" name="T1"/>
    <tableColumn id="17" name="T2"/>
    <tableColumn id="18" name="T3"/>
    <tableColumn id="19" name="T4"/>
    <tableColumn id="20" name="Total annuel (FCFA)"/>
  </tableColumns>
</table>
</file>

<file path=xl/tables/table20.xml><?xml version="1.0" encoding="utf-8"?>
<table xmlns="http://schemas.openxmlformats.org/spreadsheetml/2006/main" id="20" name="tbl_Budget_Revisions" displayName="tbl_Budget_Revisions" ref="A324:G354" headerRowCount="1" totalsRowCount="0" totalsRowShown="0">
  <autoFilter ref="A324:G354"/>
  <tableColumns count="7">
    <tableColumn id="1" name="ID Budget"/>
    <tableColumn id="2" name="Version"/>
    <tableColumn id="3" name="Date revision"/>
    <tableColumn id="4" name="Montant revise (FCFA)"/>
    <tableColumn id="5" name="Motif"/>
    <tableColumn id="6" name="Valide par"/>
    <tableColumn id="7" name="Statut"/>
  </tableColumns>
</table>
</file>

<file path=xl/tables/table21.xml><?xml version="1.0" encoding="utf-8"?>
<table xmlns="http://schemas.openxmlformats.org/spreadsheetml/2006/main" id="21" name="tbl_CategoriesBeneficiaires" displayName="tbl_CategoriesBeneficiaires" ref="A207:D237" headerRowCount="1" totalsRowCount="0" totalsRowShown="0">
  <autoFilter ref="A207:D237"/>
  <tableColumns count="4">
    <tableColumn id="1" name="Code"/>
    <tableColumn id="2" name="Libelle"/>
    <tableColumn id="3" name="Statut"/>
    <tableColumn id="4" name="Ordre"/>
  </tableColumns>
</table>
</file>

<file path=xl/tables/table22.xml><?xml version="1.0" encoding="utf-8"?>
<table xmlns="http://schemas.openxmlformats.org/spreadsheetml/2006/main" id="22" name="tbl_CategoriesDepenses" displayName="tbl_CategoriesDepenses" ref="A326:D357" headerRowCount="1" totalsRowCount="0" totalsRowShown="0">
  <autoFilter ref="A326:D357"/>
  <tableColumns count="4">
    <tableColumn id="1" name="Code"/>
    <tableColumn id="2" name="Libelle"/>
    <tableColumn id="3" name="Statut"/>
    <tableColumn id="4" name="Ordre"/>
  </tableColumns>
</table>
</file>

<file path=xl/tables/table23.xml><?xml version="1.0" encoding="utf-8"?>
<table xmlns="http://schemas.openxmlformats.org/spreadsheetml/2006/main" id="23" name="tbl_Domaines" displayName="tbl_Domaines" ref="A104:F145" headerRowCount="1" totalsRowCount="0" totalsRowShown="0">
  <autoFilter ref="A104:F145"/>
  <tableColumns count="6">
    <tableColumn id="1" name="Code"/>
    <tableColumn id="2" name="Libelle"/>
    <tableColumn id="3" name="Description"/>
    <tableColumn id="4" name="Domaine prioritaire BK"/>
    <tableColumn id="5" name="Statut"/>
    <tableColumn id="6" name="Ordre"/>
  </tableColumns>
</table>
</file>

<file path=xl/tables/table24.xml><?xml version="1.0" encoding="utf-8"?>
<table xmlns="http://schemas.openxmlformats.org/spreadsheetml/2006/main" id="24" name="tbl_Donateurs" displayName="tbl_Donateurs" ref="A55:AX205" headerRowCount="1" totalsRowCount="0" totalsRowShown="0">
  <autoFilter ref="A55:AX205"/>
  <tableColumns count="50">
    <tableColumn id="1" name="ID Donateur"/>
    <tableColumn id="2" name="Nom officiel"/>
    <tableColumn id="3" name="Nom court"/>
    <tableColumn id="4" name="Sigle"/>
    <tableColumn id="5" name="Type de donateur"/>
    <tableColumn id="6" name="Categorie de financement"/>
    <tableColumn id="7" name="Pays"/>
    <tableColumn id="8" name="Ville"/>
    <tableColumn id="9" name="Site internet"/>
    <tableColumn id="10" name="Adresse"/>
    <tableColumn id="11" name="Telephone"/>
    <tableColumn id="12" name="Email"/>
    <tableColumn id="13" name="Description"/>
    <tableColumn id="14" name="Nom contact principal"/>
    <tableColumn id="15" name="Prenom contact principal"/>
    <tableColumn id="16" name="Fonction contact principal"/>
    <tableColumn id="17" name="Telephone contact principal"/>
    <tableColumn id="18" name="Email contact principal"/>
    <tableColumn id="19" name="WhatsApp contact principal"/>
    <tableColumn id="20" name="Pays contact principal"/>
    <tableColumn id="21" name="Ville contact principal"/>
    <tableColumn id="22" name="Domaine finance principal"/>
    <tableColumn id="23" name="Domaine finance secondaire"/>
    <tableColumn id="24" name="Localite financee"/>
    <tableColumn id="25" name="Pays finance"/>
    <tableColumn id="26" name="Departement finance"/>
    <tableColumn id="27" name="Commune finance"/>
    <tableColumn id="28" name="Statut du donateur"/>
    <tableColumn id="29" name="Date premiere prise de contact"/>
    <tableColumn id="30" name="Responsable interne"/>
    <tableColumn id="31" name="Dernier contact"/>
    <tableColumn id="32" name="Prochain contact"/>
    <tableColumn id="33" name="Mode de communication"/>
    <tableColumn id="34" name="Statut de la relation"/>
    <tableColumn id="35" name="Nb opportunites"/>
    <tableColumn id="36" name="Opportunites ouvertes"/>
    <tableColumn id="37" name="Nb demandes"/>
    <tableColumn id="38" name="Nb financements obtenus"/>
    <tableColumn id="39" name="Montant total demande (FCFA)"/>
    <tableColumn id="40" name="Montant total accorde (FCFA)"/>
    <tableColumn id="41" name="Montant total recu (FCFA)"/>
    <tableColumn id="42" name="Taux de reussite (%)"/>
    <tableColumn id="43" name="Nb contacts secondaires"/>
    <tableColumn id="44" name="Nb documents"/>
    <tableColumn id="45" name="Nb conventions"/>
    <tableColumn id="46" name="Dernier financement (date)"/>
    <tableColumn id="47" name="Financement moyen (FCFA)"/>
    <tableColumn id="48" name="Alerte a relancer"/>
    <tableColumn id="49" name="Doublon potentiel"/>
    <tableColumn id="50" name="Observations"/>
  </tableColumns>
</table>
</file>

<file path=xl/tables/table25.xml><?xml version="1.0" encoding="utf-8"?>
<table xmlns="http://schemas.openxmlformats.org/spreadsheetml/2006/main" id="25" name="tbl_Donateurs_Contacts" displayName="tbl_Donateurs_Contacts" ref="A209:J239" headerRowCount="1" totalsRowCount="0" totalsRowShown="0">
  <autoFilter ref="A209:J239"/>
  <tableColumns count="10">
    <tableColumn id="1" name="ID contact"/>
    <tableColumn id="2" name="ID Donateur"/>
    <tableColumn id="3" name="Nom"/>
    <tableColumn id="4" name="Prenom"/>
    <tableColumn id="5" name="Fonction"/>
    <tableColumn id="6" name="Telephone"/>
    <tableColumn id="7" name="Email"/>
    <tableColumn id="8" name="WhatsApp"/>
    <tableColumn id="9" name="Principal"/>
    <tableColumn id="10" name="Statut"/>
  </tableColumns>
</table>
</file>

<file path=xl/tables/table26.xml><?xml version="1.0" encoding="utf-8"?>
<table xmlns="http://schemas.openxmlformats.org/spreadsheetml/2006/main" id="26" name="tbl_Donateurs_Conventions" displayName="tbl_Donateurs_Conventions" ref="A415:L445" headerRowCount="1" totalsRowCount="0" totalsRowShown="0">
  <autoFilter ref="A415:L445"/>
  <tableColumns count="12">
    <tableColumn id="1" name="ID Donateur"/>
    <tableColumn id="2" name="Reference de convention"/>
    <tableColumn id="3" name="Projet"/>
    <tableColumn id="4" name="Date signature"/>
    <tableColumn id="5" name="Date debut"/>
    <tableColumn id="6" name="Date fin"/>
    <tableColumn id="7" name="Montant contractuel"/>
    <tableColumn id="8" name="Devise"/>
    <tableColumn id="9" name="Modalites de decaissement"/>
    <tableColumn id="10" name="Conditions particulieres"/>
    <tableColumn id="11" name="Statut"/>
    <tableColumn id="12" name="Jours avant echeance"/>
  </tableColumns>
</table>
</file>

<file path=xl/tables/table27.xml><?xml version="1.0" encoding="utf-8"?>
<table xmlns="http://schemas.openxmlformats.org/spreadsheetml/2006/main" id="27" name="tbl_Donateurs_Decaissements" displayName="tbl_Donateurs_Decaissements" ref="A371:I411" headerRowCount="1" totalsRowCount="0" totalsRowShown="0">
  <autoFilter ref="A371:I411"/>
  <tableColumns count="9">
    <tableColumn id="1" name="ID decaissement"/>
    <tableColumn id="2" name="ID Donateur"/>
    <tableColumn id="3" name="ID demande"/>
    <tableColumn id="4" name="Projet"/>
    <tableColumn id="5" name="Date prevue"/>
    <tableColumn id="6" name="Date recue"/>
    <tableColumn id="7" name="Montant prevu"/>
    <tableColumn id="8" name="Montant recu"/>
    <tableColumn id="9" name="Statut"/>
  </tableColumns>
</table>
</file>

<file path=xl/tables/table28.xml><?xml version="1.0" encoding="utf-8"?>
<table xmlns="http://schemas.openxmlformats.org/spreadsheetml/2006/main" id="28" name="tbl_Donateurs_Demandes" displayName="tbl_Donateurs_Demandes" ref="A307:P367" headerRowCount="1" totalsRowCount="0" totalsRowShown="0">
  <autoFilter ref="A307:P367"/>
  <tableColumns count="16">
    <tableColumn id="1" name="ID demande"/>
    <tableColumn id="2" name="ID opportunite"/>
    <tableColumn id="3" name="ID Donateur"/>
    <tableColumn id="4" name="Projet"/>
    <tableColumn id="5" name="Montant demande"/>
    <tableColumn id="6" name="Devise"/>
    <tableColumn id="7" name="Date de soumission"/>
    <tableColumn id="8" name="Date limite"/>
    <tableColumn id="9" name="Responsable"/>
    <tableColumn id="10" name="Statut"/>
    <tableColumn id="11" name="Montant accorde"/>
    <tableColumn id="12" name="Montant recu"/>
    <tableColumn id="13" name="Date de decision"/>
    <tableColumn id="14" name="Date de notification"/>
    <tableColumn id="15" name="Motif du rejet"/>
    <tableColumn id="16" name="Commentaire"/>
  </tableColumns>
</table>
</file>

<file path=xl/tables/table29.xml><?xml version="1.0" encoding="utf-8"?>
<table xmlns="http://schemas.openxmlformats.org/spreadsheetml/2006/main" id="29" name="tbl_Donateurs_Documents" displayName="tbl_Donateurs_Documents" ref="A527:F557" headerRowCount="1" totalsRowCount="0" totalsRowShown="0">
  <autoFilter ref="A527:F557"/>
  <tableColumns count="6">
    <tableColumn id="1" name="ID Donateur"/>
    <tableColumn id="2" name="Reference"/>
    <tableColumn id="3" name="Type de document"/>
    <tableColumn id="4" name="Date"/>
    <tableColumn id="5" name="Statut"/>
    <tableColumn id="6" name="Emplacement/lien"/>
  </tableColumns>
</table>
</file>

<file path=xl/tables/table30.xml><?xml version="1.0" encoding="utf-8"?>
<table xmlns="http://schemas.openxmlformats.org/spreadsheetml/2006/main" id="30" name="tbl_Donateurs_Historique" displayName="tbl_Donateurs_Historique" ref="A483:F523" headerRowCount="1" totalsRowCount="0" totalsRowShown="0">
  <autoFilter ref="A483:F523"/>
  <tableColumns count="6">
    <tableColumn id="1" name="ID Donateur"/>
    <tableColumn id="2" name="Date"/>
    <tableColumn id="3" name="Action"/>
    <tableColumn id="4" name="Responsable"/>
    <tableColumn id="5" name="Resultat"/>
    <tableColumn id="6" name="Prochaine action"/>
  </tableColumns>
</table>
</file>

<file path=xl/tables/table31.xml><?xml version="1.0" encoding="utf-8"?>
<table xmlns="http://schemas.openxmlformats.org/spreadsheetml/2006/main" id="31" name="tbl_Donateurs_Opportunites" displayName="tbl_Donateurs_Opportunites" ref="A243:X303" headerRowCount="1" totalsRowCount="0" totalsRowShown="0">
  <autoFilter ref="A243:X303"/>
  <tableColumns count="24">
    <tableColumn id="1" name="ID opportunite"/>
    <tableColumn id="2" name="ID Donateur"/>
    <tableColumn id="3" name="Nom du programme"/>
    <tableColumn id="4" name="Titre de l'appel"/>
    <tableColumn id="5" name="Description"/>
    <tableColumn id="6" name="Domaine"/>
    <tableColumn id="7" name="Zone geographique"/>
    <tableColumn id="8" name="Type de financement"/>
    <tableColumn id="9" name="Montant minimum"/>
    <tableColumn id="10" name="Montant maximum"/>
    <tableColumn id="11" name="Devise"/>
    <tableColumn id="12" name="Taux de cofinancement"/>
    <tableColumn id="13" name="Duree maximale (mois)"/>
    <tableColumn id="14" name="Date ouverture"/>
    <tableColumn id="15" name="Date cloture"/>
    <tableColumn id="16" name="Lien vers l'appel"/>
    <tableColumn id="17" name="ONG eligible"/>
    <tableColumn id="18" name="Score global (/100)"/>
    <tableColumn id="19" name="Niveau"/>
    <tableColumn id="20" name="Candidater"/>
    <tableColumn id="21" name="Decision"/>
    <tableColumn id="22" name="Date de decision"/>
    <tableColumn id="23" name="Responsable"/>
    <tableColumn id="24" name="Statut"/>
  </tableColumns>
</table>
</file>

<file path=xl/tables/table32.xml><?xml version="1.0" encoding="utf-8"?>
<table xmlns="http://schemas.openxmlformats.org/spreadsheetml/2006/main" id="32" name="tbl_Donateurs_Rapports" displayName="tbl_Donateurs_Rapports" ref="A449:G479" headerRowCount="1" totalsRowCount="0" totalsRowShown="0">
  <autoFilter ref="A449:G479"/>
  <tableColumns count="7">
    <tableColumn id="1" name="ID Donateur"/>
    <tableColumn id="2" name="Projet"/>
    <tableColumn id="3" name="Type de rapport"/>
    <tableColumn id="4" name="Frequence"/>
    <tableColumn id="5" name="Date limite"/>
    <tableColumn id="6" name="Date de soumission"/>
    <tableColumn id="7" name="Statut"/>
  </tableColumns>
</table>
</file>

<file path=xl/tables/table33.xml><?xml version="1.0" encoding="utf-8"?>
<table xmlns="http://schemas.openxmlformats.org/spreadsheetml/2006/main" id="33" name="tbl_FiltreAnnees" displayName="tbl_FiltreAnnees" ref="A737:B748" headerRowCount="1" totalsRowCount="0" totalsRowShown="0">
  <autoFilter ref="A737:B748"/>
  <tableColumns count="2">
    <tableColumn id="1" name="Code"/>
    <tableColumn id="2" name="Valeur"/>
  </tableColumns>
</table>
</file>

<file path=xl/tables/table34.xml><?xml version="1.0" encoding="utf-8"?>
<table xmlns="http://schemas.openxmlformats.org/spreadsheetml/2006/main" id="34" name="tbl_Fonctions" displayName="tbl_Fonctions" ref="A395:D425" headerRowCount="1" totalsRowCount="0" totalsRowShown="0">
  <autoFilter ref="A395:D425"/>
  <tableColumns count="4">
    <tableColumn id="1" name="Code"/>
    <tableColumn id="2" name="Libelle"/>
    <tableColumn id="3" name="Statut"/>
    <tableColumn id="4" name="Ordre"/>
  </tableColumns>
</table>
</file>

<file path=xl/tables/table35.xml><?xml version="1.0" encoding="utf-8"?>
<table xmlns="http://schemas.openxmlformats.org/spreadsheetml/2006/main" id="35" name="tbl_FrequencesPaiement" displayName="tbl_FrequencesPaiement" ref="A713:D718" headerRowCount="1" totalsRowCount="0" totalsRowShown="0">
  <autoFilter ref="A713:D718"/>
  <tableColumns count="4">
    <tableColumn id="1" name="Code"/>
    <tableColumn id="2" name="Libelle"/>
    <tableColumn id="3" name="Statut"/>
    <tableColumn id="4" name="Ordre"/>
  </tableColumns>
</table>
</file>

<file path=xl/tables/table36.xml><?xml version="1.0" encoding="utf-8"?>
<table xmlns="http://schemas.openxmlformats.org/spreadsheetml/2006/main" id="36" name="tbl_ModesPaiement" displayName="tbl_ModesPaiement" ref="A359:D367" headerRowCount="1" totalsRowCount="0" totalsRowShown="0">
  <autoFilter ref="A359:D367"/>
  <tableColumns count="4">
    <tableColumn id="1" name="Code"/>
    <tableColumn id="2" name="Libelle"/>
    <tableColumn id="3" name="Statut"/>
    <tableColumn id="4" name="Ordre"/>
  </tableColumns>
</table>
</file>

<file path=xl/tables/table37.xml><?xml version="1.0" encoding="utf-8"?>
<table xmlns="http://schemas.openxmlformats.org/spreadsheetml/2006/main" id="37" name="tbl_Mois" displayName="tbl_Mois" ref="A52:C65" headerRowCount="1" totalsRowCount="0" totalsRowShown="0">
  <autoFilter ref="A52:C65"/>
  <tableColumns count="3">
    <tableColumn id="1" name="N°"/>
    <tableColumn id="2" name="Mois"/>
    <tableColumn id="3" name="Trimestre"/>
  </tableColumns>
</table>
</file>

<file path=xl/tables/table38.xml><?xml version="1.0" encoding="utf-8"?>
<table xmlns="http://schemas.openxmlformats.org/spreadsheetml/2006/main" id="38" name="tbl_MotifsDepart" displayName="tbl_MotifsDepart" ref="A702:D709" headerRowCount="1" totalsRowCount="0" totalsRowShown="0">
  <autoFilter ref="A702:D709"/>
  <tableColumns count="4">
    <tableColumn id="1" name="Code"/>
    <tableColumn id="2" name="Libelle"/>
    <tableColumn id="3" name="Statut"/>
    <tableColumn id="4" name="Ordre"/>
  </tableColumns>
</table>
</file>

<file path=xl/tables/table39.xml><?xml version="1.0" encoding="utf-8"?>
<table xmlns="http://schemas.openxmlformats.org/spreadsheetml/2006/main" id="39" name="tbl_NiveauxCompetence" displayName="tbl_NiveauxCompetence" ref="A694:D698" headerRowCount="1" totalsRowCount="0" totalsRowShown="0">
  <autoFilter ref="A694:D698"/>
  <tableColumns count="4">
    <tableColumn id="1" name="Code"/>
    <tableColumn id="2" name="Libelle"/>
    <tableColumn id="3" name="Statut"/>
    <tableColumn id="4" name="Ordre"/>
  </tableColumns>
</table>
</file>

<file path=xl/tables/table40.xml><?xml version="1.0" encoding="utf-8"?>
<table xmlns="http://schemas.openxmlformats.org/spreadsheetml/2006/main" id="40" name="tbl_NiveauxHierarchiques" displayName="tbl_NiveauxHierarchiques" ref="A665:D671" headerRowCount="1" totalsRowCount="0" totalsRowShown="0">
  <autoFilter ref="A665:D671"/>
  <tableColumns count="4">
    <tableColumn id="1" name="Code"/>
    <tableColumn id="2" name="Libelle"/>
    <tableColumn id="3" name="Statut"/>
    <tableColumn id="4" name="Ordre"/>
  </tableColumns>
</table>
</file>

<file path=xl/tables/table41.xml><?xml version="1.0" encoding="utf-8"?>
<table xmlns="http://schemas.openxmlformats.org/spreadsheetml/2006/main" id="41" name="tbl_NiveauxPriorite" displayName="tbl_NiveauxPriorite" ref="A427:D432" headerRowCount="1" totalsRowCount="0" totalsRowShown="0">
  <autoFilter ref="A427:D432"/>
  <tableColumns count="4">
    <tableColumn id="1" name="Code"/>
    <tableColumn id="2" name="Libelle"/>
    <tableColumn id="3" name="Statut"/>
    <tableColumn id="4" name="Ordre"/>
  </tableColumns>
</table>
</file>

<file path=xl/tables/table42.xml><?xml version="1.0" encoding="utf-8"?>
<table xmlns="http://schemas.openxmlformats.org/spreadsheetml/2006/main" id="42" name="tbl_NiveauxRisque" displayName="tbl_NiveauxRisque" ref="A434:D440" headerRowCount="1" totalsRowCount="0" totalsRowShown="0">
  <autoFilter ref="A434:D440"/>
  <tableColumns count="4">
    <tableColumn id="1" name="Code"/>
    <tableColumn id="2" name="Libelle"/>
    <tableColumn id="3" name="Statut"/>
    <tableColumn id="4" name="Ordre"/>
  </tableColumns>
</table>
</file>

<file path=xl/tables/table43.xml><?xml version="1.0" encoding="utf-8"?>
<table xmlns="http://schemas.openxmlformats.org/spreadsheetml/2006/main" id="43" name="tbl_ONG_Bancaires" displayName="tbl_ONG_Bancaires" ref="A195:H199" headerRowCount="1" totalsRowCount="0" totalsRowShown="0">
  <autoFilter ref="A195:H199"/>
  <tableColumns count="8">
    <tableColumn id="1" name="Banque"/>
    <tableColumn id="2" name="Agence"/>
    <tableColumn id="3" name="Intitule du compte"/>
    <tableColumn id="4" name="Numero de compte"/>
    <tableColumn id="5" name="Devise"/>
    <tableColumn id="6" name="Type de compte"/>
    <tableColumn id="7" name="Compte principal"/>
    <tableColumn id="8" name="Statut"/>
  </tableColumns>
</table>
</file>

<file path=xl/tables/table44.xml><?xml version="1.0" encoding="utf-8"?>
<table xmlns="http://schemas.openxmlformats.org/spreadsheetml/2006/main" id="44" name="tbl_ONG_Communication" displayName="tbl_ONG_Communication" ref="A202:C212" headerRowCount="1" totalsRowCount="0" totalsRowShown="0">
  <autoFilter ref="A202:C212"/>
  <tableColumns count="3">
    <tableColumn id="1" name="Canal"/>
    <tableColumn id="2" name="Valeur / Lien"/>
    <tableColumn id="3" name="Actif / Inactif"/>
  </tableColumns>
</table>
</file>

<file path=xl/tables/table45.xml><?xml version="1.0" encoding="utf-8"?>
<table xmlns="http://schemas.openxmlformats.org/spreadsheetml/2006/main" id="45" name="tbl_ONG_Contacts" displayName="tbl_ONG_Contacts" ref="A82:E91" headerRowCount="1" totalsRowCount="0" totalsRowShown="0">
  <autoFilter ref="A82:E91"/>
  <tableColumns count="5">
    <tableColumn id="1" name="Fonction"/>
    <tableColumn id="2" name="Nom complet"/>
    <tableColumn id="3" name="Telephone"/>
    <tableColumn id="4" name="Email"/>
    <tableColumn id="5" name="Statut"/>
  </tableColumns>
</table>
</file>

<file path=xl/tables/table46.xml><?xml version="1.0" encoding="utf-8"?>
<table xmlns="http://schemas.openxmlformats.org/spreadsheetml/2006/main" id="46" name="tbl_ONG_Documents" displayName="tbl_ONG_Documents" ref="A187:G192" headerRowCount="1" totalsRowCount="0" totalsRowShown="0">
  <autoFilter ref="A187:G192"/>
  <tableColumns count="7">
    <tableColumn id="1" name="Code"/>
    <tableColumn id="2" name="Document"/>
    <tableColumn id="3" name="Reference"/>
    <tableColumn id="4" name="Date"/>
    <tableColumn id="5" name="Date d'expiration"/>
    <tableColumn id="6" name="Statut"/>
    <tableColumn id="7" name="Emplacement"/>
  </tableColumns>
</table>
</file>

<file path=xl/tables/table47.xml><?xml version="1.0" encoding="utf-8"?>
<table xmlns="http://schemas.openxmlformats.org/spreadsheetml/2006/main" id="47" name="tbl_ONG_Domaines" displayName="tbl_ONG_Domaines" ref="A126:D139" headerRowCount="1" totalsRowCount="0" totalsRowShown="0">
  <autoFilter ref="A126:D139"/>
  <tableColumns count="4">
    <tableColumn id="1" name="Code"/>
    <tableColumn id="2" name="Domaine"/>
    <tableColumn id="3" name="Prioritaire"/>
    <tableColumn id="4" name="Statut"/>
  </tableColumns>
</table>
</file>

<file path=xl/tables/table48.xml><?xml version="1.0" encoding="utf-8"?>
<table xmlns="http://schemas.openxmlformats.org/spreadsheetml/2006/main" id="48" name="tbl_ONG_Gouvernance" displayName="tbl_ONG_Gouvernance" ref="A231:F238" headerRowCount="1" totalsRowCount="0" totalsRowShown="0">
  <autoFilter ref="A231:F238"/>
  <tableColumns count="6">
    <tableColumn id="1" name="Code"/>
    <tableColumn id="2" name="Organe"/>
    <tableColumn id="3" name="Responsable"/>
    <tableColumn id="4" name="Date de debut"/>
    <tableColumn id="5" name="Date de fin"/>
    <tableColumn id="6" name="Statut"/>
  </tableColumns>
</table>
</file>

<file path=xl/tables/table49.xml><?xml version="1.0" encoding="utf-8"?>
<table xmlns="http://schemas.openxmlformats.org/spreadsheetml/2006/main" id="49" name="tbl_ONG_Historique" displayName="tbl_ONG_Historique" ref="A260:F262" headerRowCount="1" totalsRowCount="0" totalsRowShown="0">
  <autoFilter ref="A260:F262"/>
  <tableColumns count="6">
    <tableColumn id="1" name="Date"/>
    <tableColumn id="2" name="Information modifiee"/>
    <tableColumn id="3" name="Ancienne valeur"/>
    <tableColumn id="4" name="Nouvelle valeur"/>
    <tableColumn id="5" name="Auteur de la modification"/>
    <tableColumn id="6" name="Observation"/>
  </tableColumns>
</table>
</file>

<file path=xl/tables/table50.xml><?xml version="1.0" encoding="utf-8"?>
<table xmlns="http://schemas.openxmlformats.org/spreadsheetml/2006/main" id="50" name="tbl_ONG_Objectifs" displayName="tbl_ONG_Objectifs" ref="A121:E123" headerRowCount="1" totalsRowCount="0" totalsRowShown="0">
  <autoFilter ref="A121:E123"/>
  <tableColumns count="5">
    <tableColumn id="1" name="Code"/>
    <tableColumn id="2" name="Objectif strategique"/>
    <tableColumn id="3" name="Description"/>
    <tableColumn id="4" name="Periode"/>
    <tableColumn id="5" name="Statut"/>
  </tableColumns>
</table>
</file>

<file path=xl/tables/table51.xml><?xml version="1.0" encoding="utf-8"?>
<table xmlns="http://schemas.openxmlformats.org/spreadsheetml/2006/main" id="51" name="tbl_ONG_Organisation" displayName="tbl_ONG_Organisation" ref="A149:E155" headerRowCount="1" totalsRowCount="0" totalsRowShown="0">
  <autoFilter ref="A149:E155"/>
  <tableColumns count="5">
    <tableColumn id="1" name="Code"/>
    <tableColumn id="2" name="Structure"/>
    <tableColumn id="3" name="Type"/>
    <tableColumn id="4" name="Responsable"/>
    <tableColumn id="5" name="Statut"/>
  </tableColumns>
</table>
</file>

<file path=xl/tables/table52.xml><?xml version="1.0" encoding="utf-8"?>
<table xmlns="http://schemas.openxmlformats.org/spreadsheetml/2006/main" id="52" name="tbl_ONG_Partenariats" displayName="tbl_ONG_Partenariats" ref="A169:F175" headerRowCount="1" totalsRowCount="0" totalsRowShown="0">
  <autoFilter ref="A169:F175"/>
  <tableColumns count="6">
    <tableColumn id="1" name="Code partenaire"/>
    <tableColumn id="2" name="Partenaire"/>
    <tableColumn id="3" name="Type"/>
    <tableColumn id="4" name="Domaine"/>
    <tableColumn id="5" name="Annee debut"/>
    <tableColumn id="6" name="Statut"/>
  </tableColumns>
</table>
</file>

<file path=xl/tables/table53.xml><?xml version="1.0" encoding="utf-8"?>
<table xmlns="http://schemas.openxmlformats.org/spreadsheetml/2006/main" id="53" name="tbl_ONG_Reunions" displayName="tbl_ONG_Reunions" ref="A241:F246" headerRowCount="1" totalsRowCount="0" totalsRowShown="0">
  <autoFilter ref="A241:F246"/>
  <tableColumns count="6">
    <tableColumn id="1" name="Type de reunion"/>
    <tableColumn id="2" name="Frequence"/>
    <tableColumn id="3" name="Responsable"/>
    <tableColumn id="4" name="Derniere reunion"/>
    <tableColumn id="5" name="Prochaine reunion"/>
    <tableColumn id="6" name="Statut"/>
  </tableColumns>
</table>
</file>

<file path=xl/tables/table54.xml><?xml version="1.0" encoding="utf-8"?>
<table xmlns="http://schemas.openxmlformats.org/spreadsheetml/2006/main" id="54" name="tbl_ONG_SourcesFin" displayName="tbl_ONG_SourcesFin" ref="A178:D184" headerRowCount="1" totalsRowCount="0" totalsRowShown="0">
  <autoFilter ref="A178:D184"/>
  <tableColumns count="4">
    <tableColumn id="1" name="Source"/>
    <tableColumn id="2" name="Type de financement"/>
    <tableColumn id="3" name="Description"/>
    <tableColumn id="4" name="Statut"/>
  </tableColumns>
</table>
</file>

<file path=xl/tables/table55.xml><?xml version="1.0" encoding="utf-8"?>
<table xmlns="http://schemas.openxmlformats.org/spreadsheetml/2006/main" id="55" name="tbl_ONG_Valeurs" displayName="tbl_ONG_Valeurs" ref="A108:C118" headerRowCount="1" totalsRowCount="0" totalsRowShown="0">
  <autoFilter ref="A108:C118"/>
  <tableColumns count="3">
    <tableColumn id="1" name="Code"/>
    <tableColumn id="2" name="Valeur"/>
    <tableColumn id="3" name="Description"/>
  </tableColumns>
</table>
</file>

<file path=xl/tables/table56.xml><?xml version="1.0" encoding="utf-8"?>
<table xmlns="http://schemas.openxmlformats.org/spreadsheetml/2006/main" id="56" name="tbl_ONG_Zones" displayName="tbl_ONG_Zones" ref="A142:G146" headerRowCount="1" totalsRowCount="0" totalsRowShown="0">
  <autoFilter ref="A142:G146"/>
  <tableColumns count="7">
    <tableColumn id="1" name="Localite (reference)"/>
    <tableColumn id="2" name="Pays"/>
    <tableColumn id="3" name="Departement"/>
    <tableColumn id="4" name="District/Commune"/>
    <tableColumn id="5" name="Arrondissement"/>
    <tableColumn id="6" name="Statut de la zone"/>
    <tableColumn id="7" name="Annee de debut"/>
  </tableColumns>
</table>
</file>

<file path=xl/tables/table57.xml><?xml version="1.0" encoding="utf-8"?>
<table xmlns="http://schemas.openxmlformats.org/spreadsheetml/2006/main" id="57" name="tbl_Partenaires" displayName="tbl_Partenaires" ref="A55:BS115" headerRowCount="1" totalsRowCount="0" totalsRowShown="0">
  <autoFilter ref="A55:BS115"/>
  <tableColumns count="71">
    <tableColumn id="1" name="ID Partenaire"/>
    <tableColumn id="2" name="Code interne"/>
    <tableColumn id="3" name="Nom officiel"/>
    <tableColumn id="4" name="Nom court"/>
    <tableColumn id="5" name="Sigle"/>
    <tableColumn id="6" name="Type de partenaire"/>
    <tableColumn id="7" name="Categorie de partenariat"/>
    <tableColumn id="8" name="Forme juridique"/>
    <tableColumn id="9" name="Pays d'origine"/>
    <tableColumn id="10" name="Annee de creation"/>
    <tableColumn id="11" name="Site web"/>
    <tableColumn id="12" name="Description"/>
    <tableColumn id="13" name="Localite (siege)"/>
    <tableColumn id="14" name="Pays (siege)"/>
    <tableColumn id="15" name="Departement (siege)"/>
    <tableColumn id="16" name="Commune/District (siege)"/>
    <tableColumn id="17" name="Arrondissement (siege)"/>
    <tableColumn id="18" name="Adresse / site exact (siege)"/>
    <tableColumn id="19" name="Telephone principal"/>
    <tableColumn id="20" name="Telephone secondaire"/>
    <tableColumn id="21" name="Email general"/>
    <tableColumn id="22" name="Adresse postale"/>
    <tableColumn id="23" name="Nom contact principal"/>
    <tableColumn id="24" name="Prenom contact principal"/>
    <tableColumn id="25" name="Fonction contact principal"/>
    <tableColumn id="26" name="Telephone contact principal"/>
    <tableColumn id="27" name="Email contact principal"/>
    <tableColumn id="28" name="WhatsApp contact principal"/>
    <tableColumn id="29" name="Date debut fonction contact"/>
    <tableColumn id="30" name="Statut contact principal"/>
    <tableColumn id="31" name="Domaine de collaboration principal"/>
    <tableColumn id="32" name="Domaine de collaboration secondaire"/>
    <tableColumn id="33" name="Localite d'intervention"/>
    <tableColumn id="34" name="Pays d'intervention"/>
    <tableColumn id="35" name="Departement d'intervention"/>
    <tableColumn id="36" name="Commune d'intervention"/>
    <tableColumn id="37" name="Arrondissement d'intervention"/>
    <tableColumn id="38" name="Date debut collaboration"/>
    <tableColumn id="39" name="Date fin collaboration"/>
    <tableColumn id="40" name="Statut du partenaire"/>
    <tableColumn id="41" name="Niveau de partenariat"/>
    <tableColumn id="42" name="Contribution financiere prevue (FCFA)"/>
    <tableColumn id="43" name="Contribution financiere recue (FCFA)"/>
    <tableColumn id="44" name="Ecart contribution (FCFA)"/>
    <tableColumn id="45" name="Type de contribution principale"/>
    <tableColumn id="46" name="Nb projets associes"/>
    <tableColumn id="47" name="Nb conventions"/>
    <tableColumn id="48" name="Conventions actives"/>
    <tableColumn id="49" name="Alerte convention a renouveler (&lt;=60j)"/>
    <tableColumn id="50" name="Nb documents"/>
    <tableColumn id="51" name="Note globale evaluation (/5)"/>
    <tableColumn id="52" name="Date derniere evaluation"/>
    <tableColumn id="53" name="Nb risques identifies"/>
    <tableColumn id="54" name="Risque eleve/critique present"/>
    <tableColumn id="55" name="Nb contacts secondaires"/>
    <tableColumn id="56" name="Nb opportunites en cours"/>
    <tableColumn id="57" name="Nb actions de prospection"/>
    <tableColumn id="58" name="ID responsable interne"/>
    <tableColumn id="59" name="Nom responsable interne"/>
    <tableColumn id="60" name="Fonction responsable interne"/>
    <tableColumn id="61" name="Telephone responsable interne"/>
    <tableColumn id="62" name="Email responsable interne"/>
    <tableColumn id="63" name="Facebook"/>
    <tableColumn id="64" name="LinkedIn"/>
    <tableColumn id="65" name="X / Twitter"/>
    <tableColumn id="66" name="YouTube"/>
    <tableColumn id="67" name="Autre reseau"/>
    <tableColumn id="68" name="Newsletter (Oui/Non)"/>
    <tableColumn id="69" name="Contact presse"/>
    <tableColumn id="70" name="Doublon potentiel"/>
    <tableColumn id="71" name="Observations"/>
  </tableColumns>
</table>
</file>

<file path=xl/tables/table58.xml><?xml version="1.0" encoding="utf-8"?>
<table xmlns="http://schemas.openxmlformats.org/spreadsheetml/2006/main" id="58" name="tbl_Partenaires_Contacts" displayName="tbl_Partenaires_Contacts" ref="A135:H165" headerRowCount="1" totalsRowCount="0" totalsRowShown="0">
  <autoFilter ref="A135:H165"/>
  <tableColumns count="8">
    <tableColumn id="1" name="ID Partenaire"/>
    <tableColumn id="2" name="ID contact"/>
    <tableColumn id="3" name="Nom"/>
    <tableColumn id="4" name="Fonction"/>
    <tableColumn id="5" name="Telephone"/>
    <tableColumn id="6" name="Email"/>
    <tableColumn id="7" name="Principal"/>
    <tableColumn id="8" name="Statut"/>
  </tableColumns>
</table>
</file>

<file path=xl/tables/table59.xml><?xml version="1.0" encoding="utf-8"?>
<table xmlns="http://schemas.openxmlformats.org/spreadsheetml/2006/main" id="59" name="tbl_Partenaires_Conventions" displayName="tbl_Partenaires_Conventions" ref="A203:H233" headerRowCount="1" totalsRowCount="0" totalsRowShown="0">
  <autoFilter ref="A203:H233"/>
  <tableColumns count="8">
    <tableColumn id="1" name="ID Partenaire"/>
    <tableColumn id="2" name="Reference"/>
    <tableColumn id="3" name="Type de convention"/>
    <tableColumn id="4" name="Date signature"/>
    <tableColumn id="5" name="Date debut"/>
    <tableColumn id="6" name="Date fin"/>
    <tableColumn id="7" name="Statut"/>
    <tableColumn id="8" name="Jours avant echeance"/>
  </tableColumns>
</table>
</file>

<file path=xl/tables/table60.xml><?xml version="1.0" encoding="utf-8"?>
<table xmlns="http://schemas.openxmlformats.org/spreadsheetml/2006/main" id="60" name="tbl_Partenaires_Documents" displayName="tbl_Partenaires_Documents" ref="A237:F267" headerRowCount="1" totalsRowCount="0" totalsRowShown="0">
  <autoFilter ref="A237:F267"/>
  <tableColumns count="6">
    <tableColumn id="1" name="ID Partenaire"/>
    <tableColumn id="2" name="Reference"/>
    <tableColumn id="3" name="Type de document"/>
    <tableColumn id="4" name="Date"/>
    <tableColumn id="5" name="Statut"/>
    <tableColumn id="6" name="Emplacement/lien"/>
  </tableColumns>
</table>
</file>

<file path=xl/tables/table61.xml><?xml version="1.0" encoding="utf-8"?>
<table xmlns="http://schemas.openxmlformats.org/spreadsheetml/2006/main" id="61" name="tbl_Partenaires_Evaluations" displayName="tbl_Partenaires_Evaluations" ref="A305:J335" headerRowCount="1" totalsRowCount="0" totalsRowShown="0">
  <autoFilter ref="A305:J335"/>
  <tableColumns count="10">
    <tableColumn id="1" name="ID Partenaire"/>
    <tableColumn id="2" name="Date evaluation"/>
    <tableColumn id="3" name="Qualite collaboration (1-5)"/>
    <tableColumn id="4" name="Respect engagements (1-5)"/>
    <tableColumn id="5" name="Reactivite (1-5)"/>
    <tableColumn id="6" name="Contribution (1-5)"/>
    <tableColumn id="7" name="Fiabilite (1-5)"/>
    <tableColumn id="8" name="Satisfaction (1-5)"/>
    <tableColumn id="9" name="Note globale"/>
    <tableColumn id="10" name="Commentaires"/>
  </tableColumns>
</table>
</file>

<file path=xl/tables/table62.xml><?xml version="1.0" encoding="utf-8"?>
<table xmlns="http://schemas.openxmlformats.org/spreadsheetml/2006/main" id="62" name="tbl_Partenaires_Historique" displayName="tbl_Partenaires_Historique" ref="A271:G301" headerRowCount="1" totalsRowCount="0" totalsRowShown="0">
  <autoFilter ref="A271:G301"/>
  <tableColumns count="7">
    <tableColumn id="1" name="ID Partenaire"/>
    <tableColumn id="2" name="Date"/>
    <tableColumn id="3" name="Projet/Activite concerne"/>
    <tableColumn id="4" name="Action"/>
    <tableColumn id="5" name="Resultat"/>
    <tableColumn id="6" name="Responsable"/>
    <tableColumn id="7" name="Observation"/>
  </tableColumns>
</table>
</file>

<file path=xl/tables/table63.xml><?xml version="1.0" encoding="utf-8"?>
<table xmlns="http://schemas.openxmlformats.org/spreadsheetml/2006/main" id="63" name="tbl_Partenaires_Opportunites" displayName="tbl_Partenaires_Opportunites" ref="A373:H403" headerRowCount="1" totalsRowCount="0" totalsRowShown="0">
  <autoFilter ref="A373:H403"/>
  <tableColumns count="8">
    <tableColumn id="1" name="ID Partenaire"/>
    <tableColumn id="2" name="Opportunite identifiee"/>
    <tableColumn id="3" name="Domaine"/>
    <tableColumn id="4" name="Projet potentiel"/>
    <tableColumn id="5" name="Date"/>
    <tableColumn id="6" name="Responsable"/>
    <tableColumn id="7" name="Statut"/>
    <tableColumn id="8" name="Prochaine action"/>
  </tableColumns>
</table>
</file>

<file path=xl/tables/table64.xml><?xml version="1.0" encoding="utf-8"?>
<table xmlns="http://schemas.openxmlformats.org/spreadsheetml/2006/main" id="64" name="tbl_Partenaires_ParZone" displayName="tbl_Partenaires_ParZone" ref="A119:B131" headerRowCount="1" totalsRowCount="0" totalsRowShown="0">
  <autoFilter ref="A119:B131"/>
  <tableColumns count="2">
    <tableColumn id="1" name="Departement (siege)"/>
    <tableColumn id="2" name="Nb partenaires"/>
  </tableColumns>
</table>
</file>

<file path=xl/tables/table65.xml><?xml version="1.0" encoding="utf-8"?>
<table xmlns="http://schemas.openxmlformats.org/spreadsheetml/2006/main" id="65" name="tbl_Partenaires_Projets" displayName="tbl_Partenaires_Projets" ref="A169:H199" headerRowCount="1" totalsRowCount="0" totalsRowShown="0">
  <autoFilter ref="A169:H199"/>
  <tableColumns count="8">
    <tableColumn id="1" name="ID Partenaire"/>
    <tableColumn id="2" name="ID Projet"/>
    <tableColumn id="3" name="Nom du projet"/>
    <tableColumn id="4" name="Role du partenaire"/>
    <tableColumn id="5" name="Contribution"/>
    <tableColumn id="6" name="Date debut"/>
    <tableColumn id="7" name="Date fin"/>
    <tableColumn id="8" name="Statut"/>
  </tableColumns>
</table>
</file>

<file path=xl/tables/table66.xml><?xml version="1.0" encoding="utf-8"?>
<table xmlns="http://schemas.openxmlformats.org/spreadsheetml/2006/main" id="66" name="tbl_Partenaires_Prospection" displayName="tbl_Partenaires_Prospection" ref="A407:J437" headerRowCount="1" totalsRowCount="0" totalsRowShown="0">
  <autoFilter ref="A407:J437"/>
  <tableColumns count="10">
    <tableColumn id="1" name="ID Partenaire"/>
    <tableColumn id="2" name="Date premier contact"/>
    <tableColumn id="3" name="Moyen de contact"/>
    <tableColumn id="4" name="Personne contactee"/>
    <tableColumn id="5" name="Objet"/>
    <tableColumn id="6" name="Resultat"/>
    <tableColumn id="7" name="Prochaine action"/>
    <tableColumn id="8" name="Date de relance"/>
    <tableColumn id="9" name="Responsable"/>
    <tableColumn id="10" name="Statut"/>
  </tableColumns>
</table>
</file>

<file path=xl/tables/table67.xml><?xml version="1.0" encoding="utf-8"?>
<table xmlns="http://schemas.openxmlformats.org/spreadsheetml/2006/main" id="67" name="tbl_Partenaires_Risques" displayName="tbl_Partenaires_Risques" ref="A339:H369" headerRowCount="1" totalsRowCount="0" totalsRowShown="0">
  <autoFilter ref="A339:H369"/>
  <tableColumns count="8">
    <tableColumn id="1" name="ID Partenaire"/>
    <tableColumn id="2" name="Risque"/>
    <tableColumn id="3" name="Probabilite"/>
    <tableColumn id="4" name="Impact"/>
    <tableColumn id="5" name="Niveau"/>
    <tableColumn id="6" name="Mesure d'attenuation"/>
    <tableColumn id="7" name="Responsable"/>
    <tableColumn id="8" name="Statut"/>
  </tableColumns>
</table>
</file>

<file path=xl/tables/table68.xml><?xml version="1.0" encoding="utf-8"?>
<table xmlns="http://schemas.openxmlformats.org/spreadsheetml/2006/main" id="68" name="tbl_Projets" displayName="tbl_Projets" ref="A55:BI95" headerRowCount="1" totalsRowCount="0" totalsRowShown="0">
  <autoFilter ref="A55:BI95"/>
  <tableColumns count="61">
    <tableColumn id="1" name="ID Projet"/>
    <tableColumn id="2" name="Code interne"/>
    <tableColumn id="3" name="Titre complet du projet"/>
    <tableColumn id="4" name="Acronyme"/>
    <tableColumn id="5" name="Resume"/>
    <tableColumn id="6" name="Contexte"/>
    <tableColumn id="7" name="Probleme identifie"/>
    <tableColumn id="8" name="Justification"/>
    <tableColumn id="9" name="Description intervention"/>
    <tableColumn id="10" name="Domaine d'intervention"/>
    <tableColumn id="11" name="Type de projet"/>
    <tableColumn id="12" name="Objectif general"/>
    <tableColumn id="13" name="ID responsable"/>
    <tableColumn id="14" name="Nom du responsable"/>
    <tableColumn id="15" name="Fonction responsable"/>
    <tableColumn id="16" name="Telephone responsable"/>
    <tableColumn id="17" name="Email responsable"/>
    <tableColumn id="18" name="Localite"/>
    <tableColumn id="19" name="Pays"/>
    <tableColumn id="20" name="Departement"/>
    <tableColumn id="21" name="District/Commune"/>
    <tableColumn id="22" name="Arrondissement"/>
    <tableColumn id="23" name="Zone specifique"/>
    <tableColumn id="24" name="Date debut prevue"/>
    <tableColumn id="25" name="Date debut reelle"/>
    <tableColumn id="26" name="Date fin prevue"/>
    <tableColumn id="27" name="Date fin reelle"/>
    <tableColumn id="28" name="Duree prevue (j)"/>
    <tableColumn id="29" name="Duree reelle (j)"/>
    <tableColumn id="30" name="Statut du projet"/>
    <tableColumn id="31" name="Niveau de priorite"/>
    <tableColumn id="32" name="Budget demande (FCFA)"/>
    <tableColumn id="33" name="Budget approuve (FCFA)"/>
    <tableColumn id="34" name="Financement recu (FCFA)"/>
    <tableColumn id="35" name="Depenses realisees (FCFA)"/>
    <tableColumn id="36" name="Budget disponible (FCFA)"/>
    <tableColumn id="37" name="Solde (FCFA)"/>
    <tableColumn id="38" name="Taux execution budgetaire"/>
    <tableColumn id="39" name="Nb beneficiaires prevu"/>
    <tableColumn id="40" name="Nb femmes prevu"/>
    <tableColumn id="41" name="Nb hommes prevu"/>
    <tableColumn id="42" name="Nb jeunes prevu"/>
    <tableColumn id="43" name="Nb enfants prevu"/>
    <tableColumn id="44" name="Nb menages prevu"/>
    <tableColumn id="45" name="Nb beneficiaires reels"/>
    <tableColumn id="46" name="Nb femmes reelles"/>
    <tableColumn id="47" name="Nb hommes reels"/>
    <tableColumn id="48" name="Nb pers. vulnerables reelles"/>
    <tableColumn id="49" name="Nb pers. handicap reelles"/>
    <tableColumn id="50" name="Nb activites total"/>
    <tableColumn id="51" name="Activites planifiees"/>
    <tableColumn id="52" name="Activites en cours"/>
    <tableColumn id="53" name="Activites realisees"/>
    <tableColumn id="54" name="Activites annulees"/>
    <tableColumn id="55" name="Taux realisation activites"/>
    <tableColumn id="56" name="Taux d'avancement (%)"/>
    <tableColumn id="57" name="Projet en retard"/>
    <tableColumn id="58" name="Echeance proche (&lt;30j)"/>
    <tableColumn id="59" name="Budget en depassement"/>
    <tableColumn id="60" name="Financement insuffisant"/>
    <tableColumn id="61" name="Observations"/>
  </tableColumns>
</table>
</file>

<file path=xl/tables/table69.xml><?xml version="1.0" encoding="utf-8"?>
<table xmlns="http://schemas.openxmlformats.org/spreadsheetml/2006/main" id="69" name="tbl_Projets_Calendrier" displayName="tbl_Projets_Calendrier" ref="A303:G333" headerRowCount="1" totalsRowCount="0" totalsRowShown="0">
  <autoFilter ref="A303:G333"/>
  <tableColumns count="7">
    <tableColumn id="1" name="ID Projet"/>
    <tableColumn id="2" name="Etape"/>
    <tableColumn id="3" name="Date prevue"/>
    <tableColumn id="4" name="Date reelle"/>
    <tableColumn id="5" name="Responsable"/>
    <tableColumn id="6" name="Statut"/>
    <tableColumn id="7" name="% realisation"/>
  </tableColumns>
</table>
</file>

<file path=xl/tables/table70.xml><?xml version="1.0" encoding="utf-8"?>
<table xmlns="http://schemas.openxmlformats.org/spreadsheetml/2006/main" id="70" name="tbl_Projets_Documents" displayName="tbl_Projets_Documents" ref="A405:F435" headerRowCount="1" totalsRowCount="0" totalsRowShown="0">
  <autoFilter ref="A405:F435"/>
  <tableColumns count="6">
    <tableColumn id="1" name="ID Projet"/>
    <tableColumn id="2" name="Type de document"/>
    <tableColumn id="3" name="Reference"/>
    <tableColumn id="4" name="Date"/>
    <tableColumn id="5" name="Statut"/>
    <tableColumn id="6" name="Emplacement / lien"/>
  </tableColumns>
</table>
</file>

<file path=xl/tables/table71.xml><?xml version="1.0" encoding="utf-8"?>
<table xmlns="http://schemas.openxmlformats.org/spreadsheetml/2006/main" id="71" name="tbl_Projets_Equipe" displayName="tbl_Projets_Equipe" ref="A167:G197" headerRowCount="1" totalsRowCount="0" totalsRowShown="0">
  <autoFilter ref="A167:G197"/>
  <tableColumns count="7">
    <tableColumn id="1" name="ID Projet"/>
    <tableColumn id="2" name="ID employe"/>
    <tableColumn id="3" name="Nom"/>
    <tableColumn id="4" name="Fonction"/>
    <tableColumn id="5" name="Role dans le projet"/>
    <tableColumn id="6" name="Date d'affectation"/>
    <tableColumn id="7" name="Statut"/>
  </tableColumns>
</table>
</file>

<file path=xl/tables/table72.xml><?xml version="1.0" encoding="utf-8"?>
<table xmlns="http://schemas.openxmlformats.org/spreadsheetml/2006/main" id="72" name="tbl_Projets_Financements" displayName="tbl_Projets_Financements" ref="A235:L265" headerRowCount="1" totalsRowCount="0" totalsRowShown="0">
  <autoFilter ref="A235:L265"/>
  <tableColumns count="12">
    <tableColumn id="1" name="ID Projet"/>
    <tableColumn id="2" name="ID donateur"/>
    <tableColumn id="3" name="Nom donateur"/>
    <tableColumn id="4" name="Type donateur"/>
    <tableColumn id="5" name="Source de financement"/>
    <tableColumn id="6" name="Type de financement"/>
    <tableColumn id="7" name="Montant demande"/>
    <tableColumn id="8" name="Montant accorde"/>
    <tableColumn id="9" name="Montant recu"/>
    <tableColumn id="10" name="Devise"/>
    <tableColumn id="11" name="Date de reception"/>
    <tableColumn id="12" name="Statut"/>
  </tableColumns>
</table>
</file>

<file path=xl/tables/table73.xml><?xml version="1.0" encoding="utf-8"?>
<table xmlns="http://schemas.openxmlformats.org/spreadsheetml/2006/main" id="73" name="tbl_Projets_Indicateurs" displayName="tbl_Projets_Indicateurs" ref="A371:H401" headerRowCount="1" totalsRowCount="0" totalsRowShown="0">
  <autoFilter ref="A371:H401"/>
  <tableColumns count="8">
    <tableColumn id="1" name="ID Projet"/>
    <tableColumn id="2" name="Code indicateur"/>
    <tableColumn id="3" name="Indicateur"/>
    <tableColumn id="4" name="Unite"/>
    <tableColumn id="5" name="Reference"/>
    <tableColumn id="6" name="Cible"/>
    <tableColumn id="7" name="Realisation"/>
    <tableColumn id="8" name="% atteinte"/>
  </tableColumns>
</table>
</file>

<file path=xl/tables/table74.xml><?xml version="1.0" encoding="utf-8"?>
<table xmlns="http://schemas.openxmlformats.org/spreadsheetml/2006/main" id="74" name="tbl_Projets_Objectifs" displayName="tbl_Projets_Objectifs" ref="A99:G129" headerRowCount="1" totalsRowCount="0" totalsRowShown="0">
  <autoFilter ref="A99:G129"/>
  <tableColumns count="7">
    <tableColumn id="1" name="ID Projet"/>
    <tableColumn id="2" name="Code objectif"/>
    <tableColumn id="3" name="Objectif specifique"/>
    <tableColumn id="4" name="Indicateur associe"/>
    <tableColumn id="5" name="Valeur cible"/>
    <tableColumn id="6" name="Echeance"/>
    <tableColumn id="7" name="Statut"/>
  </tableColumns>
</table>
</file>

<file path=xl/tables/table75.xml><?xml version="1.0" encoding="utf-8"?>
<table xmlns="http://schemas.openxmlformats.org/spreadsheetml/2006/main" id="75" name="tbl_Projets_Partenaires" displayName="tbl_Projets_Partenaires" ref="A201:F231" headerRowCount="1" totalsRowCount="0" totalsRowShown="0">
  <autoFilter ref="A201:F231"/>
  <tableColumns count="6">
    <tableColumn id="1" name="ID Projet"/>
    <tableColumn id="2" name="ID partenaire"/>
    <tableColumn id="3" name="Nom du partenaire"/>
    <tableColumn id="4" name="Type de partenaire"/>
    <tableColumn id="5" name="Role"/>
    <tableColumn id="6" name="Statut"/>
  </tableColumns>
</table>
</file>

<file path=xl/tables/table76.xml><?xml version="1.0" encoding="utf-8"?>
<table xmlns="http://schemas.openxmlformats.org/spreadsheetml/2006/main" id="76" name="tbl_Projets_Resultats" displayName="tbl_Projets_Resultats" ref="A133:H163" headerRowCount="1" totalsRowCount="0" totalsRowShown="0">
  <autoFilter ref="A133:H163"/>
  <tableColumns count="8">
    <tableColumn id="1" name="ID Projet"/>
    <tableColumn id="2" name="Code resultat"/>
    <tableColumn id="3" name="Resultat attendu"/>
    <tableColumn id="4" name="Indicateur"/>
    <tableColumn id="5" name="Situation reference"/>
    <tableColumn id="6" name="Cible"/>
    <tableColumn id="7" name="Realisation"/>
    <tableColumn id="8" name="Taux atteinte"/>
  </tableColumns>
</table>
</file>

<file path=xl/tables/table77.xml><?xml version="1.0" encoding="utf-8"?>
<table xmlns="http://schemas.openxmlformats.org/spreadsheetml/2006/main" id="77" name="tbl_Projets_Risques" displayName="tbl_Projets_Risques" ref="A337:I367" headerRowCount="1" totalsRowCount="0" totalsRowShown="0">
  <autoFilter ref="A337:I367"/>
  <tableColumns count="9">
    <tableColumn id="1" name="ID Projet"/>
    <tableColumn id="2" name="ID risque"/>
    <tableColumn id="3" name="Risque principal"/>
    <tableColumn id="4" name="Niveau de risque"/>
    <tableColumn id="5" name="Probabilite"/>
    <tableColumn id="6" name="Impact"/>
    <tableColumn id="7" name="Mesure d'attenuation"/>
    <tableColumn id="8" name="Responsable"/>
    <tableColumn id="9" name="Statut"/>
  </tableColumns>
</table>
</file>

<file path=xl/tables/table78.xml><?xml version="1.0" encoding="utf-8"?>
<table xmlns="http://schemas.openxmlformats.org/spreadsheetml/2006/main" id="78" name="tbl_Projets_Zones" displayName="tbl_Projets_Zones" ref="A269:G299" headerRowCount="1" totalsRowCount="0" totalsRowShown="0">
  <autoFilter ref="A269:G299"/>
  <tableColumns count="7">
    <tableColumn id="1" name="ID Projet"/>
    <tableColumn id="2" name="Localite"/>
    <tableColumn id="3" name="Pays"/>
    <tableColumn id="4" name="Departement"/>
    <tableColumn id="5" name="District/Commune"/>
    <tableColumn id="6" name="Arrondissement"/>
    <tableColumn id="7" name="Zone specifique"/>
  </tableColumns>
</table>
</file>

<file path=xl/tables/table79.xml><?xml version="1.0" encoding="utf-8"?>
<table xmlns="http://schemas.openxmlformats.org/spreadsheetml/2006/main" id="79" name="tbl_Recettes" displayName="tbl_Recettes" ref="A38:BH88" headerRowCount="1" totalsRowCount="0" totalsRowShown="0">
  <autoFilter ref="A38:BH88"/>
  <tableColumns count="60">
    <tableColumn id="1" name="ID Recette"/>
    <tableColumn id="2" name="ID Decaissement (DONATEURS)"/>
    <tableColumn id="3" name="ID Financement"/>
    <tableColumn id="4" name="ID Donateur"/>
    <tableColumn id="5" name="Nom du donateur"/>
    <tableColumn id="6" name="Type de donateur"/>
    <tableColumn id="7" name="Pays"/>
    <tableColumn id="8" name="ID Projet"/>
    <tableColumn id="9" name="Nom du projet"/>
    <tableColumn id="10" name="Domaine"/>
    <tableColumn id="11" name="Responsable projet"/>
    <tableColumn id="12" name="ID Activite"/>
    <tableColumn id="13" name="Intitule activite"/>
    <tableColumn id="14" name="ID Budget (ligne budgetaire)"/>
    <tableColumn id="15" name="Type d'operation"/>
    <tableColumn id="16" name="Source de financement"/>
    <tableColumn id="17" name="Type de financement"/>
    <tableColumn id="18" name="Financement affecte"/>
    <tableColumn id="19" name="Recette propre"/>
    <tableColumn id="20" name="Date operation (effective)"/>
    <tableColumn id="21" name="Date prevue"/>
    <tableColumn id="22" name="Annee"/>
    <tableColumn id="23" name="Trimestre"/>
    <tableColumn id="24" name="Mois"/>
    <tableColumn id="25" name="Devise"/>
    <tableColumn id="26" name="Taux de change"/>
    <tableColumn id="27" name="Montant recu (devise orig.)"/>
    <tableColumn id="28" name="Montant recu (FCFA)"/>
    <tableColumn id="29" name="Montant attendu (FCFA)"/>
    <tableColumn id="30" name="Solde a recevoir (FCFA)"/>
    <tableColumn id="31" name="Statut de la recette"/>
    <tableColumn id="32" name="Moyen de reception"/>
    <tableColumn id="33" name="Banque"/>
    <tableColumn id="34" name="Compte / reference compte"/>
    <tableColumn id="35" name="Agence"/>
    <tableColumn id="36" name="Reference transaction"/>
    <tableColumn id="37" name="Numero de recu"/>
    <tableColumn id="38" name="Date de valeur"/>
    <tableColumn id="39" name="Piece justificative - type"/>
    <tableColumn id="40" name="Piece justificative - reference"/>
    <tableColumn id="41" name="Piece justificative - date"/>
    <tableColumn id="42" name="Piece justificative - statut"/>
    <tableColumn id="43" name="Piece justificative - lien/emplacement"/>
    <tableColumn id="44" name="Responsable du suivi"/>
    <tableColumn id="45" name="Fonction responsable"/>
    <tableColumn id="46" name="Derniere relance"/>
    <tableColumn id="47" name="Prochaine relance"/>
    <tableColumn id="48" name="Nombre de relances"/>
    <tableColumn id="49" name="Moyen de contact relance"/>
    <tableColumn id="50" name="Resultat relance"/>
    <tableColumn id="51" name="Commentaire relance"/>
    <tableColumn id="52" name="Rapprochement - Enregistree"/>
    <tableColumn id="53" name="Rapprochement - Sur releve"/>
    <tableColumn id="54" name="Rapprochement - Rapprochee"/>
    <tableColumn id="55" name="Date de rapprochement"/>
    <tableColumn id="56" name="Responsable rapprochement"/>
    <tableColumn id="57" name="Statut alerte"/>
    <tableColumn id="58" name="Observations"/>
    <tableColumn id="59" name="Rang donateur (technique)"/>
    <tableColumn id="60" name="Rang projet (technique)"/>
  </tableColumns>
</table>
</file>

<file path=xl/tables/table80.xml><?xml version="1.0" encoding="utf-8"?>
<table xmlns="http://schemas.openxmlformats.org/spreadsheetml/2006/main" id="80" name="tbl_RH" displayName="tbl_RH" ref="A26:AQ76" headerRowCount="1" totalsRowCount="0" totalsRowShown="0">
  <autoFilter ref="A26:AQ76"/>
  <tableColumns count="43">
    <tableColumn id="1" name="ID RH"/>
    <tableColumn id="2" name="Nom"/>
    <tableColumn id="3" name="Postnom"/>
    <tableColumn id="4" name="Prenom"/>
    <tableColumn id="5" name="Nom complet"/>
    <tableColumn id="6" name="Sexe"/>
    <tableColumn id="7" name="Date de naissance"/>
    <tableColumn id="8" name="Age"/>
    <tableColumn id="9" name="Nationalite"/>
    <tableColumn id="10" name="Etat civil"/>
    <tableColumn id="11" name="Telephone"/>
    <tableColumn id="12" name="E-mail"/>
    <tableColumn id="13" name="Adresse"/>
    <tableColumn id="14" name="Ville"/>
    <tableColumn id="15" name="Type de collaboration"/>
    <tableColumn id="16" name="Statut"/>
    <tableColumn id="17" name="Fonction"/>
    <tableColumn id="18" name="Poste / intitule precis"/>
    <tableColumn id="19" name="Departement / Service"/>
    <tableColumn id="20" name="Niveau hierarchique"/>
    <tableColumn id="21" name="Responsable direct"/>
    <tableColumn id="22" name="Date d'entree"/>
    <tableColumn id="23" name="Annee d'entree"/>
    <tableColumn id="24" name="Anciennete"/>
    <tableColumn id="25" name="Type de contrat"/>
    <tableColumn id="26" name="Reference contrat"/>
    <tableColumn id="27" name="Date debut contrat"/>
    <tableColumn id="28" name="Date fin contrat"/>
    <tableColumn id="29" name="Duree contrat"/>
    <tableColumn id="30" name="Renouvelable"/>
    <tableColumn id="31" name="Statut du contrat"/>
    <tableColumn id="32" name="Salaire / honoraires de base (FCFA)"/>
    <tableColumn id="33" name="Devise"/>
    <tableColumn id="34" name="Frequence de paiement"/>
    <tableColumn id="35" name="Indemnites (FCFA)"/>
    <tableColumn id="36" name="Primes (FCFA)"/>
    <tableColumn id="37" name="Total brut (FCFA)"/>
    <tableColumn id="38" name="Contact d'urgence - Nom"/>
    <tableColumn id="39" name="Contact d'urgence - Relation"/>
    <tableColumn id="40" name="Contact d'urgence - Telephone"/>
    <tableColumn id="41" name="Date de depart"/>
    <tableColumn id="42" name="Motif de depart"/>
    <tableColumn id="43" name="Observations"/>
  </tableColumns>
</table>
</file>

<file path=xl/tables/table81.xml><?xml version="1.0" encoding="utf-8"?>
<table xmlns="http://schemas.openxmlformats.org/spreadsheetml/2006/main" id="81" name="tbl_RH_AffectationsActivites" displayName="tbl_RH_AffectationsActivites" ref="A112:G142" headerRowCount="1" totalsRowCount="0" totalsRowShown="0">
  <autoFilter ref="A112:G142"/>
  <tableColumns count="7">
    <tableColumn id="1" name="ID"/>
    <tableColumn id="2" name="ID RH"/>
    <tableColumn id="3" name="ID Activite"/>
    <tableColumn id="4" name="Activite"/>
    <tableColumn id="5" name="Role"/>
    <tableColumn id="6" name="Date"/>
    <tableColumn id="7" name="Responsable"/>
  </tableColumns>
</table>
</file>

<file path=xl/tables/table82.xml><?xml version="1.0" encoding="utf-8"?>
<table xmlns="http://schemas.openxmlformats.org/spreadsheetml/2006/main" id="82" name="tbl_RH_AffectationsProjets" displayName="tbl_RH_AffectationsProjets" ref="A79:I109" headerRowCount="1" totalsRowCount="0" totalsRowShown="0">
  <autoFilter ref="A79:I109"/>
  <tableColumns count="9">
    <tableColumn id="1" name="ID"/>
    <tableColumn id="2" name="ID RH"/>
    <tableColumn id="3" name="ID Projet"/>
    <tableColumn id="4" name="Projet"/>
    <tableColumn id="5" name="Fonction sur le projet"/>
    <tableColumn id="6" name="Date debut"/>
    <tableColumn id="7" name="Date fin"/>
    <tableColumn id="8" name="% affectation"/>
    <tableColumn id="9" name="Statut"/>
  </tableColumns>
</table>
</file>

<file path=xl/tables/table83.xml><?xml version="1.0" encoding="utf-8"?>
<table xmlns="http://schemas.openxmlformats.org/spreadsheetml/2006/main" id="83" name="tbl_RH_Competences" displayName="tbl_RH_Competences" ref="A178:G208" headerRowCount="1" totalsRowCount="0" totalsRowShown="0">
  <autoFilter ref="A178:G208"/>
  <tableColumns count="7">
    <tableColumn id="1" name="ID"/>
    <tableColumn id="2" name="ID RH"/>
    <tableColumn id="3" name="Competence"/>
    <tableColumn id="4" name="Niveau"/>
    <tableColumn id="5" name="Annee d'acquisition"/>
    <tableColumn id="6" name="Certification"/>
    <tableColumn id="7" name="Date expiration"/>
  </tableColumns>
</table>
</file>

<file path=xl/tables/table84.xml><?xml version="1.0" encoding="utf-8"?>
<table xmlns="http://schemas.openxmlformats.org/spreadsheetml/2006/main" id="84" name="tbl_RH_Conges" displayName="tbl_RH_Conges" ref="A277:I307" headerRowCount="1" totalsRowCount="0" totalsRowShown="0">
  <autoFilter ref="A277:I307"/>
  <tableColumns count="9">
    <tableColumn id="1" name="ID"/>
    <tableColumn id="2" name="ID RH"/>
    <tableColumn id="3" name="Type de conge"/>
    <tableColumn id="4" name="Date debut"/>
    <tableColumn id="5" name="Date fin"/>
    <tableColumn id="6" name="Nb jours"/>
    <tableColumn id="7" name="Motif"/>
    <tableColumn id="8" name="Statut"/>
    <tableColumn id="9" name="Validateur"/>
  </tableColumns>
</table>
</file>

<file path=xl/tables/table85.xml><?xml version="1.0" encoding="utf-8"?>
<table xmlns="http://schemas.openxmlformats.org/spreadsheetml/2006/main" id="85" name="tbl_RH_Diplomes" displayName="tbl_RH_Diplomes" ref="A211:G241" headerRowCount="1" totalsRowCount="0" totalsRowShown="0">
  <autoFilter ref="A211:G241"/>
  <tableColumns count="7">
    <tableColumn id="1" name="ID"/>
    <tableColumn id="2" name="ID RH"/>
    <tableColumn id="3" name="Diplome"/>
    <tableColumn id="4" name="Domaine"/>
    <tableColumn id="5" name="Institution"/>
    <tableColumn id="6" name="Annee"/>
    <tableColumn id="7" name="Niveau"/>
  </tableColumns>
</table>
</file>

<file path=xl/tables/table86.xml><?xml version="1.0" encoding="utf-8"?>
<table xmlns="http://schemas.openxmlformats.org/spreadsheetml/2006/main" id="86" name="tbl_RH_Documents" displayName="tbl_RH_Documents" ref="A399:G429" headerRowCount="1" totalsRowCount="0" totalsRowShown="0">
  <autoFilter ref="A399:G429"/>
  <tableColumns count="7">
    <tableColumn id="1" name="ID"/>
    <tableColumn id="2" name="ID RH"/>
    <tableColumn id="3" name="Type de document"/>
    <tableColumn id="4" name="Reference"/>
    <tableColumn id="5" name="Date"/>
    <tableColumn id="6" name="Disponible"/>
    <tableColumn id="7" name="Lien / emplacement"/>
  </tableColumns>
</table>
</file>

<file path=xl/tables/table87.xml><?xml version="1.0" encoding="utf-8"?>
<table xmlns="http://schemas.openxmlformats.org/spreadsheetml/2006/main" id="87" name="tbl_RH_Evaluations" displayName="tbl_RH_Evaluations" ref="A244:K274" headerRowCount="1" totalsRowCount="0" totalsRowShown="0">
  <autoFilter ref="A244:K274"/>
  <tableColumns count="11">
    <tableColumn id="1" name="ID"/>
    <tableColumn id="2" name="ID RH"/>
    <tableColumn id="3" name="Date"/>
    <tableColumn id="4" name="Evaluateur"/>
    <tableColumn id="5" name="Performance"/>
    <tableColumn id="6" name="Objectifs"/>
    <tableColumn id="7" name="Resultats"/>
    <tableColumn id="8" name="Points forts"/>
    <tableColumn id="9" name="Points a ameliorer"/>
    <tableColumn id="10" name="Note (/5)"/>
    <tableColumn id="11" name="Commentaire"/>
  </tableColumns>
</table>
</file>

<file path=xl/tables/table88.xml><?xml version="1.0" encoding="utf-8"?>
<table xmlns="http://schemas.openxmlformats.org/spreadsheetml/2006/main" id="88" name="tbl_RH_Formations" displayName="tbl_RH_Formations" ref="A145:H175" headerRowCount="1" totalsRowCount="0" totalsRowShown="0">
  <autoFilter ref="A145:H175"/>
  <tableColumns count="8">
    <tableColumn id="1" name="ID formation"/>
    <tableColumn id="2" name="ID RH"/>
    <tableColumn id="3" name="Formation"/>
    <tableColumn id="4" name="Organisme"/>
    <tableColumn id="5" name="Date"/>
    <tableColumn id="6" name="Duree"/>
    <tableColumn id="7" name="Cout (FCFA)"/>
    <tableColumn id="8" name="Certificat obtenu"/>
  </tableColumns>
</table>
</file>

<file path=xl/tables/table89.xml><?xml version="1.0" encoding="utf-8"?>
<table xmlns="http://schemas.openxmlformats.org/spreadsheetml/2006/main" id="89" name="tbl_RH_HommesFemmes" displayName="tbl_RH_HommesFemmes" ref="A477:C480" headerRowCount="1" totalsRowCount="0" totalsRowShown="0">
  <autoFilter ref="A477:C480"/>
  <tableColumns count="3">
    <tableColumn id="1" name="Sexe"/>
    <tableColumn id="2" name="Nombre"/>
    <tableColumn id="3" name="%"/>
  </tableColumns>
</table>
</file>

<file path=xl/tables/table90.xml><?xml version="1.0" encoding="utf-8"?>
<table xmlns="http://schemas.openxmlformats.org/spreadsheetml/2006/main" id="90" name="tbl_RH_Missions" displayName="tbl_RH_Missions" ref="A310:J340" headerRowCount="1" totalsRowCount="0" totalsRowShown="0">
  <autoFilter ref="A310:J340"/>
  <tableColumns count="10">
    <tableColumn id="1" name="ID mission"/>
    <tableColumn id="2" name="ID RH"/>
    <tableColumn id="3" name="Destination"/>
    <tableColumn id="4" name="Objet"/>
    <tableColumn id="5" name="ID Projet"/>
    <tableColumn id="6" name="Date depart"/>
    <tableColumn id="7" name="Date retour"/>
    <tableColumn id="8" name="Statut"/>
    <tableColumn id="9" name="Budget mission (FCFA)"/>
    <tableColumn id="10" name="Rapport disponible"/>
  </tableColumns>
</table>
</file>

<file path=xl/tables/table91.xml><?xml version="1.0" encoding="utf-8"?>
<table xmlns="http://schemas.openxmlformats.org/spreadsheetml/2006/main" id="91" name="tbl_RH_Paiements" displayName="tbl_RH_Paiements" ref="A343:H373" headerRowCount="1" totalsRowCount="0" totalsRowShown="0">
  <autoFilter ref="A343:H373"/>
  <tableColumns count="8">
    <tableColumn id="1" name="ID"/>
    <tableColumn id="2" name="ID RH"/>
    <tableColumn id="3" name="Periode"/>
    <tableColumn id="4" name="Montant prevu (FCFA)"/>
    <tableColumn id="5" name="Montant paye (FCFA)"/>
    <tableColumn id="6" name="Date de paiement"/>
    <tableColumn id="7" name="Statut"/>
    <tableColumn id="8" name="Reference"/>
  </tableColumns>
</table>
</file>

<file path=xl/tables/table92.xml><?xml version="1.0" encoding="utf-8"?>
<table xmlns="http://schemas.openxmlformats.org/spreadsheetml/2006/main" id="92" name="tbl_RH_ParProjet" displayName="tbl_RH_ParProjet" ref="A458:C473" headerRowCount="1" totalsRowCount="0" totalsRowShown="0">
  <autoFilter ref="A458:C473"/>
  <tableColumns count="3">
    <tableColumn id="1" name="Projet"/>
    <tableColumn id="2" name="Effectif affecte"/>
    <tableColumn id="3" name="% moyen d'affectation"/>
  </tableColumns>
</table>
</file>

<file path=xl/tables/table93.xml><?xml version="1.0" encoding="utf-8"?>
<table xmlns="http://schemas.openxmlformats.org/spreadsheetml/2006/main" id="93" name="tbl_RH_ParService" displayName="tbl_RH_ParService" ref="A443:B454" headerRowCount="1" totalsRowCount="0" totalsRowShown="0">
  <autoFilter ref="A443:B454"/>
  <tableColumns count="2">
    <tableColumn id="1" name="Service / Departement"/>
    <tableColumn id="2" name="Effectif"/>
  </tableColumns>
</table>
</file>

<file path=xl/tables/table94.xml><?xml version="1.0" encoding="utf-8"?>
<table xmlns="http://schemas.openxmlformats.org/spreadsheetml/2006/main" id="94" name="tbl_RH_Presence" displayName="tbl_RH_Presence" ref="A376:E396" headerRowCount="1" totalsRowCount="0" totalsRowShown="0">
  <autoFilter ref="A376:E396"/>
  <tableColumns count="5">
    <tableColumn id="1" name="ID"/>
    <tableColumn id="2" name="ID RH"/>
    <tableColumn id="3" name="Date"/>
    <tableColumn id="4" name="Statut"/>
    <tableColumn id="5" name="Observation"/>
  </tableColumns>
</table>
</file>

<file path=xl/tables/table95.xml><?xml version="1.0" encoding="utf-8"?>
<table xmlns="http://schemas.openxmlformats.org/spreadsheetml/2006/main" id="95" name="tbl_RH_SyntheseRH" displayName="tbl_RH_SyntheseRH" ref="A432:B439" headerRowCount="1" totalsRowCount="0" totalsRowShown="0">
  <autoFilter ref="A432:B439"/>
  <tableColumns count="2">
    <tableColumn id="1" name="Indicateur"/>
    <tableColumn id="2" name="Nombre"/>
  </tableColumns>
</table>
</file>

<file path=xl/tables/table96.xml><?xml version="1.0" encoding="utf-8"?>
<table xmlns="http://schemas.openxmlformats.org/spreadsheetml/2006/main" id="96" name="tbl_ServicesRH" displayName="tbl_ServicesRH" ref="A650:D661" headerRowCount="1" totalsRowCount="0" totalsRowShown="0">
  <autoFilter ref="A650:D661"/>
  <tableColumns count="4">
    <tableColumn id="1" name="Code"/>
    <tableColumn id="2" name="Libelle"/>
    <tableColumn id="3" name="Statut"/>
    <tableColumn id="4" name="Ordre"/>
  </tableColumns>
</table>
</file>

<file path=xl/tables/table97.xml><?xml version="1.0" encoding="utf-8"?>
<table xmlns="http://schemas.openxmlformats.org/spreadsheetml/2006/main" id="97" name="tbl_SeuilsBudget" displayName="tbl_SeuilsBudget" ref="A620:C623" headerRowCount="1" totalsRowCount="0" totalsRowShown="0">
  <autoFilter ref="A620:C623"/>
  <tableColumns count="3">
    <tableColumn id="1" name="Code"/>
    <tableColumn id="2" name="Libelle"/>
    <tableColumn id="3" name="Valeur (%)"/>
  </tableColumns>
</table>
</file>

<file path=xl/tables/table98.xml><?xml version="1.0" encoding="utf-8"?>
<table xmlns="http://schemas.openxmlformats.org/spreadsheetml/2006/main" id="98" name="tbl_Sexe" displayName="tbl_Sexe" ref="A239:D243" headerRowCount="1" totalsRowCount="0" totalsRowShown="0">
  <autoFilter ref="A239:D243"/>
  <tableColumns count="4">
    <tableColumn id="1" name="Code"/>
    <tableColumn id="2" name="Libelle"/>
    <tableColumn id="3" name="Statut"/>
    <tableColumn id="4" name="Ordre"/>
  </tableColumns>
</table>
</file>

<file path=xl/tables/table99.xml><?xml version="1.0" encoding="utf-8"?>
<table xmlns="http://schemas.openxmlformats.org/spreadsheetml/2006/main" id="99" name="tbl_SourcesFinancement" displayName="tbl_SourcesFinancement" ref="A297:D312" headerRowCount="1" totalsRowCount="0" totalsRowShown="0">
  <autoFilter ref="A297:D312"/>
  <tableColumns count="4">
    <tableColumn id="1" name="Code"/>
    <tableColumn id="2" name="Libelle"/>
    <tableColumn id="3" name="Statut"/>
    <tableColumn id="4" name="Ordre"/>
  </tableColumns>
</table>
</file>

<file path=xl/tables/table100.xml><?xml version="1.0" encoding="utf-8"?>
<table xmlns="http://schemas.openxmlformats.org/spreadsheetml/2006/main" id="100" name="tbl_StatutsActivites" displayName="tbl_StatutsActivites" ref="A92:D102" headerRowCount="1" totalsRowCount="0" totalsRowShown="0">
  <autoFilter ref="A92:D102"/>
  <tableColumns count="4">
    <tableColumn id="1" name="Code"/>
    <tableColumn id="2" name="Libelle"/>
    <tableColumn id="3" name="Statut"/>
    <tableColumn id="4" name="Ordre"/>
  </tableColumns>
</table>
</file>

<file path=xl/tables/table101.xml><?xml version="1.0" encoding="utf-8"?>
<table xmlns="http://schemas.openxmlformats.org/spreadsheetml/2006/main" id="101" name="tbl_StatutsBudget" displayName="tbl_StatutsBudget" ref="A597:C604" headerRowCount="1" totalsRowCount="0" totalsRowShown="0">
  <autoFilter ref="A597:C604"/>
  <tableColumns count="3">
    <tableColumn id="1" name="Code"/>
    <tableColumn id="2" name="Libelle"/>
    <tableColumn id="3" name="Statut"/>
  </tableColumns>
</table>
</file>

<file path=xl/tables/table102.xml><?xml version="1.0" encoding="utf-8"?>
<table xmlns="http://schemas.openxmlformats.org/spreadsheetml/2006/main" id="102" name="tbl_StatutsConge" displayName="tbl_StatutsConge" ref="A685:D690" headerRowCount="1" totalsRowCount="0" totalsRowShown="0">
  <autoFilter ref="A685:D690"/>
  <tableColumns count="4">
    <tableColumn id="1" name="Code"/>
    <tableColumn id="2" name="Libelle"/>
    <tableColumn id="3" name="Statut"/>
    <tableColumn id="4" name="Ordre"/>
  </tableColumns>
</table>
</file>

<file path=xl/tables/table103.xml><?xml version="1.0" encoding="utf-8"?>
<table xmlns="http://schemas.openxmlformats.org/spreadsheetml/2006/main" id="103" name="tbl_StatutsDocuments" displayName="tbl_StatutsDocuments" ref="A522:D533" headerRowCount="1" totalsRowCount="0" totalsRowShown="0">
  <autoFilter ref="A522:D533"/>
  <tableColumns count="4">
    <tableColumn id="1" name="Code"/>
    <tableColumn id="2" name="Libelle"/>
    <tableColumn id="3" name="Statut"/>
    <tableColumn id="4" name="Ordre"/>
  </tableColumns>
</table>
</file>

<file path=xl/tables/table104.xml><?xml version="1.0" encoding="utf-8"?>
<table xmlns="http://schemas.openxmlformats.org/spreadsheetml/2006/main" id="104" name="tbl_StatutsGeneraux" displayName="tbl_StatutsGeneraux" ref="A589:D593" headerRowCount="1" totalsRowCount="0" totalsRowShown="0">
  <autoFilter ref="A589:D593"/>
  <tableColumns count="4">
    <tableColumn id="1" name="Code"/>
    <tableColumn id="2" name="Libelle"/>
    <tableColumn id="3" name="Statut"/>
    <tableColumn id="4" name="Ordre"/>
  </tableColumns>
</table>
</file>

<file path=xl/tables/table105.xml><?xml version="1.0" encoding="utf-8"?>
<table xmlns="http://schemas.openxmlformats.org/spreadsheetml/2006/main" id="105" name="tbl_StatutsProjets" displayName="tbl_StatutsProjets" ref="A74:D90" headerRowCount="1" totalsRowCount="0" totalsRowShown="0">
  <autoFilter ref="A74:D90"/>
  <tableColumns count="4">
    <tableColumn id="1" name="Code"/>
    <tableColumn id="2" name="Libelle"/>
    <tableColumn id="3" name="Statut"/>
    <tableColumn id="4" name="Ordre"/>
  </tableColumns>
</table>
</file>

<file path=xl/tables/table106.xml><?xml version="1.0" encoding="utf-8"?>
<table xmlns="http://schemas.openxmlformats.org/spreadsheetml/2006/main" id="106" name="tbl_StatutsRecettes" displayName="tbl_StatutsRecettes" ref="A626:C636" headerRowCount="1" totalsRowCount="0" totalsRowShown="0">
  <autoFilter ref="A626:C636"/>
  <tableColumns count="3">
    <tableColumn id="1" name="Code"/>
    <tableColumn id="2" name="Libelle"/>
    <tableColumn id="3" name="Statut"/>
  </tableColumns>
</table>
</file>

<file path=xl/tables/table107.xml><?xml version="1.0" encoding="utf-8"?>
<table xmlns="http://schemas.openxmlformats.org/spreadsheetml/2006/main" id="107" name="tbl_StatutsRH" displayName="tbl_StatutsRH" ref="A639:D646" headerRowCount="1" totalsRowCount="0" totalsRowShown="0">
  <autoFilter ref="A639:D646"/>
  <tableColumns count="4">
    <tableColumn id="1" name="Code"/>
    <tableColumn id="2" name="Libelle"/>
    <tableColumn id="3" name="Statut"/>
    <tableColumn id="4" name="Ordre"/>
  </tableColumns>
</table>
</file>

<file path=xl/tables/table108.xml><?xml version="1.0" encoding="utf-8"?>
<table xmlns="http://schemas.openxmlformats.org/spreadsheetml/2006/main" id="108" name="tbl_StatutsRisques" displayName="tbl_StatutsRisques" ref="A442:D450" headerRowCount="1" totalsRowCount="0" totalsRowShown="0">
  <autoFilter ref="A442:D450"/>
  <tableColumns count="4">
    <tableColumn id="1" name="Code"/>
    <tableColumn id="2" name="Libelle"/>
    <tableColumn id="3" name="Statut"/>
    <tableColumn id="4" name="Ordre"/>
  </tableColumns>
</table>
</file>

<file path=xl/tables/table109.xml><?xml version="1.0" encoding="utf-8"?>
<table xmlns="http://schemas.openxmlformats.org/spreadsheetml/2006/main" id="109" name="tbl_SuiviEval_Evaluations" displayName="tbl_SuiviEval_Evaluations" ref="A156:I171" headerRowCount="1" totalsRowCount="0" totalsRowShown="0">
  <autoFilter ref="A156:I171"/>
  <tableColumns count="9">
    <tableColumn id="1" name="Type d'evaluation"/>
    <tableColumn id="2" name="Date"/>
    <tableColumn id="3" name="Evaluateur"/>
    <tableColumn id="4" name="ID Projet"/>
    <tableColumn id="5" name="Nom du projet"/>
    <tableColumn id="6" name="Methodologie"/>
    <tableColumn id="7" name="Principaux resultats"/>
    <tableColumn id="8" name="Conclusions"/>
    <tableColumn id="9" name="Recommandations"/>
  </tableColumns>
</table>
</file>

<file path=xl/tables/table110.xml><?xml version="1.0" encoding="utf-8"?>
<table xmlns="http://schemas.openxmlformats.org/spreadsheetml/2006/main" id="110" name="tbl_SuiviEval_Indicateurs" displayName="tbl_SuiviEval_Indicateurs" ref="A54:AZ104" headerRowCount="1" totalsRowCount="0" totalsRowShown="0">
  <autoFilter ref="A54:AZ104"/>
  <tableColumns count="52">
    <tableColumn id="1" name="ID Indicateur"/>
    <tableColumn id="2" name="ID Projet"/>
    <tableColumn id="3" name="Nom du projet"/>
    <tableColumn id="4" name="Domaine d'intervention"/>
    <tableColumn id="5" name="Statut du projet"/>
    <tableColumn id="6" name="ID Activite"/>
    <tableColumn id="7" name="Activite liee"/>
    <tableColumn id="8" name="Statut de l'activite"/>
    <tableColumn id="9" name="Niveau (chaine de resultats)"/>
    <tableColumn id="10" name="Objectif general"/>
    <tableColumn id="11" name="Objectif specifique"/>
    <tableColumn id="12" name="Resultat / produit attendu"/>
    <tableColumn id="13" name="Intitule de l'indicateur"/>
    <tableColumn id="14" name="Definition"/>
    <tableColumn id="15" name="Type d'indicateur"/>
    <tableColumn id="16" name="Unite de mesure"/>
    <tableColumn id="17" name="Methode de calcul"/>
    <tableColumn id="18" name="Frequence de suivi"/>
    <tableColumn id="19" name="ID responsable"/>
    <tableColumn id="20" name="Nom du responsable"/>
    <tableColumn id="21" name="Fonction du responsable"/>
    <tableColumn id="22" name="Valeur de reference (baseline)"/>
    <tableColumn id="23" name="Annee baseline"/>
    <tableColumn id="24" name="Source baseline"/>
    <tableColumn id="25" name="Cible globale"/>
    <tableColumn id="26" name="Cible periode"/>
    <tableColumn id="27" name="Realisation"/>
    <tableColumn id="28" name="Date de mesure"/>
    <tableColumn id="29" name="Periode"/>
    <tableColumn id="30" name="Taux de realisation"/>
    <tableColumn id="31" name="Ecart"/>
    <tableColumn id="32" name="Ecart (%)"/>
    <tableColumn id="33" name="Performance"/>
    <tableColumn id="34" name="Statut cible"/>
    <tableColumn id="35" name="Beneficiaires cibles"/>
    <tableColumn id="36" name="Beneficiaires atteints"/>
    <tableColumn id="37" name="Hommes atteints"/>
    <tableColumn id="38" name="Femmes atteintes"/>
    <tableColumn id="39" name="Jeunes atteints"/>
    <tableColumn id="40" name="Taux de couverture"/>
    <tableColumn id="41" name="Localite"/>
    <tableColumn id="42" name="Departement"/>
    <tableColumn id="43" name="Commune"/>
    <tableColumn id="44" name="Source de verification"/>
    <tableColumn id="45" name="Methode de collecte"/>
    <tableColumn id="46" name="Outil utilise"/>
    <tableColumn id="47" name="Date de collecte"/>
    <tableColumn id="48" name="Collecteur"/>
    <tableColumn id="49" name="Qualite des donnees"/>
    <tableColumn id="50" name="Risque / probleme lie"/>
    <tableColumn id="51" name="Alerte"/>
    <tableColumn id="52" name="Observations"/>
  </tableColumns>
</table>
</file>

<file path=xl/tables/table111.xml><?xml version="1.0" encoding="utf-8"?>
<table xmlns="http://schemas.openxmlformats.org/spreadsheetml/2006/main" id="111" name="tbl_SuiviEval_Lecons" displayName="tbl_SuiviEval_Lecons" ref="A132:I152" headerRowCount="1" totalsRowCount="0" totalsRowShown="0">
  <autoFilter ref="A132:I152"/>
  <tableColumns count="9">
    <tableColumn id="1" name="Date"/>
    <tableColumn id="2" name="ID Projet"/>
    <tableColumn id="3" name="Nom du projet"/>
    <tableColumn id="4" name="Situation / Contexte"/>
    <tableColumn id="5" name="Lecon apprise"/>
    <tableColumn id="6" name="Ce qui a fonctionne"/>
    <tableColumn id="7" name="Ce qui n'a pas fonctionne"/>
    <tableColumn id="8" name="Bonne pratique / Innovation"/>
    <tableColumn id="9" name="Recommandation"/>
  </tableColumns>
</table>
</file>

<file path=xl/tables/table112.xml><?xml version="1.0" encoding="utf-8"?>
<table xmlns="http://schemas.openxmlformats.org/spreadsheetml/2006/main" id="112" name="tbl_SuiviEval_ParProjet" displayName="tbl_SuiviEval_ParProjet" ref="A11:G51" headerRowCount="1" totalsRowCount="0" totalsRowShown="0">
  <autoFilter ref="A11:G51"/>
  <tableColumns count="7">
    <tableColumn id="1" name="ID Projet"/>
    <tableColumn id="2" name="Nom du projet"/>
    <tableColumn id="3" name="Indicateurs suivis"/>
    <tableColumn id="4" name="Cibles atteintes"/>
    <tableColumn id="5" name="Taux moyen de realisation"/>
    <tableColumn id="6" name="Beneficiaires atteints"/>
    <tableColumn id="7" name="Statut global"/>
  </tableColumns>
</table>
</file>

<file path=xl/tables/table113.xml><?xml version="1.0" encoding="utf-8"?>
<table xmlns="http://schemas.openxmlformats.org/spreadsheetml/2006/main" id="113" name="tbl_SuiviEval_Risques" displayName="tbl_SuiviEval_Risques" ref="A108:L128" headerRowCount="1" totalsRowCount="0" totalsRowShown="0">
  <autoFilter ref="A108:L128"/>
  <tableColumns count="12">
    <tableColumn id="1" name="Date"/>
    <tableColumn id="2" name="ID Projet"/>
    <tableColumn id="3" name="Nom du projet"/>
    <tableColumn id="4" name="Risque / Probleme"/>
    <tableColumn id="5" name="Niveau de risque"/>
    <tableColumn id="6" name="Cause"/>
    <tableColumn id="7" name="Action corrective"/>
    <tableColumn id="8" name="ID Responsable"/>
    <tableColumn id="9" name="Nom du responsable"/>
    <tableColumn id="10" name="Echeance"/>
    <tableColumn id="11" name="Statut"/>
    <tableColumn id="12" name="Resultat obtenu"/>
  </tableColumns>
</table>
</file>

<file path=xl/tables/table114.xml><?xml version="1.0" encoding="utf-8"?>
<table xmlns="http://schemas.openxmlformats.org/spreadsheetml/2006/main" id="114" name="tbl_TranchesAge" displayName="tbl_TranchesAge" ref="A245:D257" headerRowCount="1" totalsRowCount="0" totalsRowShown="0">
  <autoFilter ref="A245:D257"/>
  <tableColumns count="4">
    <tableColumn id="1" name="Code"/>
    <tableColumn id="2" name="Libelle"/>
    <tableColumn id="3" name="Statut"/>
    <tableColumn id="4" name="Ordre"/>
  </tableColumns>
</table>
</file>

<file path=xl/tables/table115.xml><?xml version="1.0" encoding="utf-8"?>
<table xmlns="http://schemas.openxmlformats.org/spreadsheetml/2006/main" id="115" name="tbl_Trimestres" displayName="tbl_Trimestres" ref="A67:D72" headerRowCount="1" totalsRowCount="0" totalsRowShown="0">
  <autoFilter ref="A67:D72"/>
  <tableColumns count="4">
    <tableColumn id="1" name="Code"/>
    <tableColumn id="2" name="Trimestre"/>
    <tableColumn id="3" name="Periode"/>
    <tableColumn id="4" name="Ordre"/>
  </tableColumns>
</table>
</file>

<file path=xl/tables/table116.xml><?xml version="1.0" encoding="utf-8"?>
<table xmlns="http://schemas.openxmlformats.org/spreadsheetml/2006/main" id="116" name="tbl_TypesActivites" displayName="tbl_TypesActivites" ref="A174:D205" headerRowCount="1" totalsRowCount="0" totalsRowShown="0">
  <autoFilter ref="A174:D205"/>
  <tableColumns count="4">
    <tableColumn id="1" name="Code"/>
    <tableColumn id="2" name="Libelle"/>
    <tableColumn id="3" name="Statut"/>
    <tableColumn id="4" name="Ordre"/>
  </tableColumns>
</table>
</file>

<file path=xl/tables/table117.xml><?xml version="1.0" encoding="utf-8"?>
<table xmlns="http://schemas.openxmlformats.org/spreadsheetml/2006/main" id="117" name="tbl_TypesBudget" displayName="tbl_TypesBudget" ref="A607:C617" headerRowCount="1" totalsRowCount="0" totalsRowShown="0">
  <autoFilter ref="A607:C617"/>
  <tableColumns count="3">
    <tableColumn id="1" name="Code"/>
    <tableColumn id="2" name="Libelle"/>
    <tableColumn id="3" name="Statut"/>
  </tableColumns>
</table>
</file>

<file path=xl/tables/table118.xml><?xml version="1.0" encoding="utf-8"?>
<table xmlns="http://schemas.openxmlformats.org/spreadsheetml/2006/main" id="118" name="tbl_TypesConge" displayName="tbl_TypesConge" ref="A675:D681" headerRowCount="1" totalsRowCount="0" totalsRowShown="0">
  <autoFilter ref="A675:D681"/>
  <tableColumns count="4">
    <tableColumn id="1" name="Code"/>
    <tableColumn id="2" name="Libelle"/>
    <tableColumn id="3" name="Statut"/>
    <tableColumn id="4" name="Ordre"/>
  </tableColumns>
</table>
</file>

<file path=xl/tables/table119.xml><?xml version="1.0" encoding="utf-8"?>
<table xmlns="http://schemas.openxmlformats.org/spreadsheetml/2006/main" id="119" name="tbl_TypesContrats" displayName="tbl_TypesContrats" ref="A382:D393" headerRowCount="1" totalsRowCount="0" totalsRowShown="0">
  <autoFilter ref="A382:D393"/>
  <tableColumns count="4">
    <tableColumn id="1" name="Code"/>
    <tableColumn id="2" name="Libelle"/>
    <tableColumn id="3" name="Statut"/>
    <tableColumn id="4" name="Ordre"/>
  </tableColumns>
</table>
</file>

<file path=xl/tables/table120.xml><?xml version="1.0" encoding="utf-8"?>
<table xmlns="http://schemas.openxmlformats.org/spreadsheetml/2006/main" id="120" name="tbl_TypesDocuments" displayName="tbl_TypesDocuments" ref="A494:D520" headerRowCount="1" totalsRowCount="0" totalsRowShown="0">
  <autoFilter ref="A494:D520"/>
  <tableColumns count="4">
    <tableColumn id="1" name="Code"/>
    <tableColumn id="2" name="Libelle"/>
    <tableColumn id="3" name="Statut"/>
    <tableColumn id="4" name="Ordre"/>
  </tableColumns>
</table>
</file>

<file path=xl/tables/table121.xml><?xml version="1.0" encoding="utf-8"?>
<table xmlns="http://schemas.openxmlformats.org/spreadsheetml/2006/main" id="121" name="tbl_TypesDocumentsRH" displayName="tbl_TypesDocumentsRH" ref="A722:D733" headerRowCount="1" totalsRowCount="0" totalsRowShown="0">
  <autoFilter ref="A722:D733"/>
  <tableColumns count="4">
    <tableColumn id="1" name="Code"/>
    <tableColumn id="2" name="Libelle"/>
    <tableColumn id="3" name="Statut"/>
    <tableColumn id="4" name="Ordre"/>
  </tableColumns>
</table>
</file>

<file path=xl/tables/table122.xml><?xml version="1.0" encoding="utf-8"?>
<table xmlns="http://schemas.openxmlformats.org/spreadsheetml/2006/main" id="122" name="tbl_TypesDonateurs" displayName="tbl_TypesDonateurs" ref="A281:D295" headerRowCount="1" totalsRowCount="0" totalsRowShown="0">
  <autoFilter ref="A281:D295"/>
  <tableColumns count="4">
    <tableColumn id="1" name="Code"/>
    <tableColumn id="2" name="Libelle"/>
    <tableColumn id="3" name="Statut"/>
    <tableColumn id="4" name="Ordre"/>
  </tableColumns>
</table>
</file>

<file path=xl/tables/table123.xml><?xml version="1.0" encoding="utf-8"?>
<table xmlns="http://schemas.openxmlformats.org/spreadsheetml/2006/main" id="123" name="tbl_TypesFinancement" displayName="tbl_TypesFinancement" ref="A314:D324" headerRowCount="1" totalsRowCount="0" totalsRowShown="0">
  <autoFilter ref="A314:D324"/>
  <tableColumns count="4">
    <tableColumn id="1" name="Code"/>
    <tableColumn id="2" name="Libelle"/>
    <tableColumn id="3" name="Statut"/>
    <tableColumn id="4" name="Ordre"/>
  </tableColumns>
</table>
</file>

<file path=xl/tables/table124.xml><?xml version="1.0" encoding="utf-8"?>
<table xmlns="http://schemas.openxmlformats.org/spreadsheetml/2006/main" id="124" name="tbl_TypesImmobilisations" displayName="tbl_TypesImmobilisations" ref="A452:D470" headerRowCount="1" totalsRowCount="0" totalsRowShown="0">
  <autoFilter ref="A452:D470"/>
  <tableColumns count="4">
    <tableColumn id="1" name="Code"/>
    <tableColumn id="2" name="Libelle"/>
    <tableColumn id="3" name="Statut"/>
    <tableColumn id="4" name="Ordre"/>
  </tableColumns>
</table>
</file>

<file path=xl/tables/table125.xml><?xml version="1.0" encoding="utf-8"?>
<table xmlns="http://schemas.openxmlformats.org/spreadsheetml/2006/main" id="125" name="tbl_TypesPartenaires" displayName="tbl_TypesPartenaires" ref="A259:D279" headerRowCount="1" totalsRowCount="0" totalsRowShown="0">
  <autoFilter ref="A259:D279"/>
  <tableColumns count="4">
    <tableColumn id="1" name="Code"/>
    <tableColumn id="2" name="Libelle"/>
    <tableColumn id="3" name="Statut"/>
    <tableColumn id="4" name="Ordre"/>
  </tableColumns>
</table>
</file>

<file path=xl/tables/table126.xml><?xml version="1.0" encoding="utf-8"?>
<table xmlns="http://schemas.openxmlformats.org/spreadsheetml/2006/main" id="126" name="tbl_TypesProjets" displayName="tbl_TypesProjets" ref="A147:D172" headerRowCount="1" totalsRowCount="0" totalsRowShown="0">
  <autoFilter ref="A147:D172"/>
  <tableColumns count="4">
    <tableColumn id="1" name="Code"/>
    <tableColumn id="2" name="Libelle"/>
    <tableColumn id="3" name="Statut"/>
    <tableColumn id="4" name="Ordre"/>
  </tableColumns>
</table>
</file>

<file path=xl/tables/table127.xml><?xml version="1.0" encoding="utf-8"?>
<table xmlns="http://schemas.openxmlformats.org/spreadsheetml/2006/main" id="127" name="tbl_TypesRecettes" displayName="tbl_TypesRecettes" ref="A369:D380" headerRowCount="1" totalsRowCount="0" totalsRowShown="0">
  <autoFilter ref="A369:D380"/>
  <tableColumns count="4">
    <tableColumn id="1" name="Code"/>
    <tableColumn id="2" name="Libelle"/>
    <tableColumn id="3" name="Statut"/>
    <tableColumn id="4" name="Ordre"/>
  </tableColumns>
</table>
</file>

<file path=xl/tables/table128.xml><?xml version="1.0" encoding="utf-8"?>
<table xmlns="http://schemas.openxmlformats.org/spreadsheetml/2006/main" id="128" name="tbl_UnitesMesure" displayName="tbl_UnitesMesure" ref="A472:D492" headerRowCount="1" totalsRowCount="0" totalsRowShown="0">
  <autoFilter ref="A472:D492"/>
  <tableColumns count="4">
    <tableColumn id="1" name="Code"/>
    <tableColumn id="2" name="Libelle"/>
    <tableColumn id="3" name="Statut"/>
    <tableColumn id="4" name="Ordr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8.xml"/><Relationship Id="rId2" Type="http://schemas.openxmlformats.org/officeDocument/2006/relationships/table" Target="../tables/table21.xml"/><Relationship Id="rId3" Type="http://schemas.openxmlformats.org/officeDocument/2006/relationships/table" Target="../tables/table22.xml"/><Relationship Id="rId4" Type="http://schemas.openxmlformats.org/officeDocument/2006/relationships/table" Target="../tables/table23.xml"/><Relationship Id="rId5" Type="http://schemas.openxmlformats.org/officeDocument/2006/relationships/table" Target="../tables/table33.xml"/><Relationship Id="rId6" Type="http://schemas.openxmlformats.org/officeDocument/2006/relationships/table" Target="../tables/table34.xml"/><Relationship Id="rId7" Type="http://schemas.openxmlformats.org/officeDocument/2006/relationships/table" Target="../tables/table35.xml"/><Relationship Id="rId8" Type="http://schemas.openxmlformats.org/officeDocument/2006/relationships/table" Target="../tables/table36.xml"/><Relationship Id="rId9" Type="http://schemas.openxmlformats.org/officeDocument/2006/relationships/table" Target="../tables/table37.xml"/><Relationship Id="rId10" Type="http://schemas.openxmlformats.org/officeDocument/2006/relationships/table" Target="../tables/table38.xml"/><Relationship Id="rId11" Type="http://schemas.openxmlformats.org/officeDocument/2006/relationships/table" Target="../tables/table39.xml"/><Relationship Id="rId12" Type="http://schemas.openxmlformats.org/officeDocument/2006/relationships/table" Target="../tables/table40.xml"/><Relationship Id="rId13" Type="http://schemas.openxmlformats.org/officeDocument/2006/relationships/table" Target="../tables/table41.xml"/><Relationship Id="rId14" Type="http://schemas.openxmlformats.org/officeDocument/2006/relationships/table" Target="../tables/table42.xml"/><Relationship Id="rId15" Type="http://schemas.openxmlformats.org/officeDocument/2006/relationships/table" Target="../tables/table96.xml"/><Relationship Id="rId16" Type="http://schemas.openxmlformats.org/officeDocument/2006/relationships/table" Target="../tables/table97.xml"/><Relationship Id="rId17" Type="http://schemas.openxmlformats.org/officeDocument/2006/relationships/table" Target="../tables/table98.xml"/><Relationship Id="rId18" Type="http://schemas.openxmlformats.org/officeDocument/2006/relationships/table" Target="../tables/table99.xml"/><Relationship Id="rId19" Type="http://schemas.openxmlformats.org/officeDocument/2006/relationships/table" Target="../tables/table100.xml"/><Relationship Id="rId20" Type="http://schemas.openxmlformats.org/officeDocument/2006/relationships/table" Target="../tables/table101.xml"/><Relationship Id="rId21" Type="http://schemas.openxmlformats.org/officeDocument/2006/relationships/table" Target="../tables/table102.xml"/><Relationship Id="rId22" Type="http://schemas.openxmlformats.org/officeDocument/2006/relationships/table" Target="../tables/table103.xml"/><Relationship Id="rId23" Type="http://schemas.openxmlformats.org/officeDocument/2006/relationships/table" Target="../tables/table104.xml"/><Relationship Id="rId24" Type="http://schemas.openxmlformats.org/officeDocument/2006/relationships/table" Target="../tables/table105.xml"/><Relationship Id="rId25" Type="http://schemas.openxmlformats.org/officeDocument/2006/relationships/table" Target="../tables/table106.xml"/><Relationship Id="rId26" Type="http://schemas.openxmlformats.org/officeDocument/2006/relationships/table" Target="../tables/table107.xml"/><Relationship Id="rId27" Type="http://schemas.openxmlformats.org/officeDocument/2006/relationships/table" Target="../tables/table108.xml"/><Relationship Id="rId28" Type="http://schemas.openxmlformats.org/officeDocument/2006/relationships/table" Target="../tables/table114.xml"/><Relationship Id="rId29" Type="http://schemas.openxmlformats.org/officeDocument/2006/relationships/table" Target="../tables/table115.xml"/><Relationship Id="rId30" Type="http://schemas.openxmlformats.org/officeDocument/2006/relationships/table" Target="../tables/table116.xml"/><Relationship Id="rId31" Type="http://schemas.openxmlformats.org/officeDocument/2006/relationships/table" Target="../tables/table117.xml"/><Relationship Id="rId32" Type="http://schemas.openxmlformats.org/officeDocument/2006/relationships/table" Target="../tables/table118.xml"/><Relationship Id="rId33" Type="http://schemas.openxmlformats.org/officeDocument/2006/relationships/table" Target="../tables/table119.xml"/><Relationship Id="rId34" Type="http://schemas.openxmlformats.org/officeDocument/2006/relationships/table" Target="../tables/table120.xml"/><Relationship Id="rId35" Type="http://schemas.openxmlformats.org/officeDocument/2006/relationships/table" Target="../tables/table121.xml"/><Relationship Id="rId36" Type="http://schemas.openxmlformats.org/officeDocument/2006/relationships/table" Target="../tables/table122.xml"/><Relationship Id="rId37" Type="http://schemas.openxmlformats.org/officeDocument/2006/relationships/table" Target="../tables/table123.xml"/><Relationship Id="rId38" Type="http://schemas.openxmlformats.org/officeDocument/2006/relationships/table" Target="../tables/table124.xml"/><Relationship Id="rId39" Type="http://schemas.openxmlformats.org/officeDocument/2006/relationships/table" Target="../tables/table125.xml"/><Relationship Id="rId40" Type="http://schemas.openxmlformats.org/officeDocument/2006/relationships/table" Target="../tables/table126.xml"/><Relationship Id="rId41" Type="http://schemas.openxmlformats.org/officeDocument/2006/relationships/table" Target="../tables/table127.xml"/><Relationship Id="rId42" Type="http://schemas.openxmlformats.org/officeDocument/2006/relationships/table" Target="../tables/table128.xml"/>
</Relationships>
</file>

<file path=xl/worksheets/_rels/sheet2.xml.rels><?xml version="1.0" encoding="UTF-8"?>
<Relationships xmlns="http://schemas.openxmlformats.org/package/2006/relationships"><Relationship Id="rId1" Type="http://schemas.openxmlformats.org/officeDocument/2006/relationships/table" Target="../tables/table43.xml"/><Relationship Id="rId2" Type="http://schemas.openxmlformats.org/officeDocument/2006/relationships/table" Target="../tables/table44.xml"/><Relationship Id="rId3" Type="http://schemas.openxmlformats.org/officeDocument/2006/relationships/table" Target="../tables/table45.xml"/><Relationship Id="rId4" Type="http://schemas.openxmlformats.org/officeDocument/2006/relationships/table" Target="../tables/table46.xml"/><Relationship Id="rId5" Type="http://schemas.openxmlformats.org/officeDocument/2006/relationships/table" Target="../tables/table47.xml"/><Relationship Id="rId6" Type="http://schemas.openxmlformats.org/officeDocument/2006/relationships/table" Target="../tables/table48.xml"/><Relationship Id="rId7" Type="http://schemas.openxmlformats.org/officeDocument/2006/relationships/table" Target="../tables/table49.xml"/><Relationship Id="rId8" Type="http://schemas.openxmlformats.org/officeDocument/2006/relationships/table" Target="../tables/table50.xml"/><Relationship Id="rId9" Type="http://schemas.openxmlformats.org/officeDocument/2006/relationships/table" Target="../tables/table51.xml"/><Relationship Id="rId10" Type="http://schemas.openxmlformats.org/officeDocument/2006/relationships/table" Target="../tables/table52.xml"/><Relationship Id="rId11" Type="http://schemas.openxmlformats.org/officeDocument/2006/relationships/table" Target="../tables/table53.xml"/><Relationship Id="rId12" Type="http://schemas.openxmlformats.org/officeDocument/2006/relationships/table" Target="../tables/table54.xml"/><Relationship Id="rId13" Type="http://schemas.openxmlformats.org/officeDocument/2006/relationships/table" Target="../tables/table55.xml"/><Relationship Id="rId14" Type="http://schemas.openxmlformats.org/officeDocument/2006/relationships/table" Target="../tables/table56.xml"/>
</Relationships>
</file>

<file path=xl/worksheets/_rels/sheet3.xml.rels><?xml version="1.0" encoding="UTF-8"?>
<Relationships xmlns="http://schemas.openxmlformats.org/package/2006/relationships"><Relationship Id="rId1" Type="http://schemas.openxmlformats.org/officeDocument/2006/relationships/table" Target="../tables/table9.xml"/><Relationship Id="rId2" Type="http://schemas.openxmlformats.org/officeDocument/2006/relationships/table" Target="../tables/table10.xml"/><Relationship Id="rId3" Type="http://schemas.openxmlformats.org/officeDocument/2006/relationships/table" Target="../tables/table11.xml"/>
</Relationships>
</file>

<file path=xl/worksheets/_rels/sheet4.xml.rels><?xml version="1.0" encoding="UTF-8"?>
<Relationships xmlns="http://schemas.openxmlformats.org/package/2006/relationships"><Relationship Id="rId1" Type="http://schemas.openxmlformats.org/officeDocument/2006/relationships/table" Target="../tables/table68.xml"/><Relationship Id="rId2" Type="http://schemas.openxmlformats.org/officeDocument/2006/relationships/table" Target="../tables/table69.xml"/><Relationship Id="rId3" Type="http://schemas.openxmlformats.org/officeDocument/2006/relationships/table" Target="../tables/table70.xml"/><Relationship Id="rId4" Type="http://schemas.openxmlformats.org/officeDocument/2006/relationships/table" Target="../tables/table71.xml"/><Relationship Id="rId5" Type="http://schemas.openxmlformats.org/officeDocument/2006/relationships/table" Target="../tables/table72.xml"/><Relationship Id="rId6" Type="http://schemas.openxmlformats.org/officeDocument/2006/relationships/table" Target="../tables/table73.xml"/><Relationship Id="rId7" Type="http://schemas.openxmlformats.org/officeDocument/2006/relationships/table" Target="../tables/table74.xml"/><Relationship Id="rId8" Type="http://schemas.openxmlformats.org/officeDocument/2006/relationships/table" Target="../tables/table75.xml"/><Relationship Id="rId9" Type="http://schemas.openxmlformats.org/officeDocument/2006/relationships/table" Target="../tables/table76.xml"/><Relationship Id="rId10" Type="http://schemas.openxmlformats.org/officeDocument/2006/relationships/table" Target="../tables/table77.xml"/><Relationship Id="rId11" Type="http://schemas.openxmlformats.org/officeDocument/2006/relationships/table" Target="../tables/table78.xml"/>
</Relationships>
</file>

<file path=xl/worksheets/_rels/sheet5.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57.xml"/><Relationship Id="rId2" Type="http://schemas.openxmlformats.org/officeDocument/2006/relationships/table" Target="../tables/table58.xml"/><Relationship Id="rId3" Type="http://schemas.openxmlformats.org/officeDocument/2006/relationships/table" Target="../tables/table59.xml"/><Relationship Id="rId4" Type="http://schemas.openxmlformats.org/officeDocument/2006/relationships/table" Target="../tables/table60.xml"/><Relationship Id="rId5" Type="http://schemas.openxmlformats.org/officeDocument/2006/relationships/table" Target="../tables/table61.xml"/><Relationship Id="rId6" Type="http://schemas.openxmlformats.org/officeDocument/2006/relationships/table" Target="../tables/table62.xml"/><Relationship Id="rId7" Type="http://schemas.openxmlformats.org/officeDocument/2006/relationships/table" Target="../tables/table63.xml"/><Relationship Id="rId8" Type="http://schemas.openxmlformats.org/officeDocument/2006/relationships/table" Target="../tables/table64.xml"/><Relationship Id="rId9" Type="http://schemas.openxmlformats.org/officeDocument/2006/relationships/table" Target="../tables/table65.xml"/><Relationship Id="rId10" Type="http://schemas.openxmlformats.org/officeDocument/2006/relationships/table" Target="../tables/table66.xml"/><Relationship Id="rId11" Type="http://schemas.openxmlformats.org/officeDocument/2006/relationships/table" Target="../tables/table67.xml"/>
</Relationships>
</file>

<file path=xl/worksheets/_rels/sheet7.xml.rels><?xml version="1.0" encoding="UTF-8"?>
<Relationships xmlns="http://schemas.openxmlformats.org/package/2006/relationships"><Relationship Id="rId1" Type="http://schemas.openxmlformats.org/officeDocument/2006/relationships/table" Target="../tables/table24.xml"/><Relationship Id="rId2" Type="http://schemas.openxmlformats.org/officeDocument/2006/relationships/table" Target="../tables/table25.xml"/><Relationship Id="rId3" Type="http://schemas.openxmlformats.org/officeDocument/2006/relationships/table" Target="../tables/table26.xml"/><Relationship Id="rId4" Type="http://schemas.openxmlformats.org/officeDocument/2006/relationships/table" Target="../tables/table27.xml"/><Relationship Id="rId5" Type="http://schemas.openxmlformats.org/officeDocument/2006/relationships/table" Target="../tables/table28.xml"/><Relationship Id="rId6" Type="http://schemas.openxmlformats.org/officeDocument/2006/relationships/table" Target="../tables/table29.xml"/><Relationship Id="rId7" Type="http://schemas.openxmlformats.org/officeDocument/2006/relationships/table" Target="../tables/table30.xml"/><Relationship Id="rId8" Type="http://schemas.openxmlformats.org/officeDocument/2006/relationships/table" Target="../tables/table31.xml"/><Relationship Id="rId9" Type="http://schemas.openxmlformats.org/officeDocument/2006/relationships/table" Target="../tables/table32.xml"/>
</Relationships>
</file>

<file path=xl/worksheets/_rels/sheet8.xml.rels><?xml version="1.0" encoding="UTF-8"?>
<Relationships xmlns="http://schemas.openxmlformats.org/package/2006/relationships"><Relationship Id="rId1" Type="http://schemas.openxmlformats.org/officeDocument/2006/relationships/table" Target="../tables/table12.xml"/><Relationship Id="rId2" Type="http://schemas.openxmlformats.org/officeDocument/2006/relationships/table" Target="../tables/table13.xml"/><Relationship Id="rId3" Type="http://schemas.openxmlformats.org/officeDocument/2006/relationships/table" Target="../tables/table14.xml"/><Relationship Id="rId4" Type="http://schemas.openxmlformats.org/officeDocument/2006/relationships/table" Target="../tables/table15.xml"/><Relationship Id="rId5" Type="http://schemas.openxmlformats.org/officeDocument/2006/relationships/table" Target="../tables/table16.xml"/><Relationship Id="rId6" Type="http://schemas.openxmlformats.org/officeDocument/2006/relationships/table" Target="../tables/table17.xml"/><Relationship Id="rId7" Type="http://schemas.openxmlformats.org/officeDocument/2006/relationships/table" Target="../tables/table18.xml"/><Relationship Id="rId8" Type="http://schemas.openxmlformats.org/officeDocument/2006/relationships/table" Target="../tables/table19.xml"/><Relationship Id="rId9" Type="http://schemas.openxmlformats.org/officeDocument/2006/relationships/table" Target="../tables/table20.xml"/>
</Relationships>
</file>

<file path=xl/worksheets/_rels/sheet9.xml.rels><?xml version="1.0" encoding="UTF-8"?>
<Relationships xmlns="http://schemas.openxmlformats.org/package/2006/relationships"><Relationship Id="rId1" Type="http://schemas.openxmlformats.org/officeDocument/2006/relationships/table" Target="../tables/table79.xml"/>
</Relationships>
</file>

<file path=xl/worksheets/_rels/sheet11.xml.rels><?xml version="1.0" encoding="UTF-8"?>
<Relationships xmlns="http://schemas.openxmlformats.org/package/2006/relationships"><Relationship Id="rId1" Type="http://schemas.openxmlformats.org/officeDocument/2006/relationships/table" Target="../tables/table80.xml"/><Relationship Id="rId2" Type="http://schemas.openxmlformats.org/officeDocument/2006/relationships/table" Target="../tables/table81.xml"/><Relationship Id="rId3" Type="http://schemas.openxmlformats.org/officeDocument/2006/relationships/table" Target="../tables/table82.xml"/><Relationship Id="rId4" Type="http://schemas.openxmlformats.org/officeDocument/2006/relationships/table" Target="../tables/table83.xml"/><Relationship Id="rId5" Type="http://schemas.openxmlformats.org/officeDocument/2006/relationships/table" Target="../tables/table84.xml"/><Relationship Id="rId6" Type="http://schemas.openxmlformats.org/officeDocument/2006/relationships/table" Target="../tables/table85.xml"/><Relationship Id="rId7" Type="http://schemas.openxmlformats.org/officeDocument/2006/relationships/table" Target="../tables/table86.xml"/><Relationship Id="rId8" Type="http://schemas.openxmlformats.org/officeDocument/2006/relationships/table" Target="../tables/table87.xml"/><Relationship Id="rId9" Type="http://schemas.openxmlformats.org/officeDocument/2006/relationships/table" Target="../tables/table88.xml"/><Relationship Id="rId10" Type="http://schemas.openxmlformats.org/officeDocument/2006/relationships/table" Target="../tables/table89.xml"/><Relationship Id="rId11" Type="http://schemas.openxmlformats.org/officeDocument/2006/relationships/table" Target="../tables/table90.xml"/><Relationship Id="rId12" Type="http://schemas.openxmlformats.org/officeDocument/2006/relationships/table" Target="../tables/table91.xml"/><Relationship Id="rId13" Type="http://schemas.openxmlformats.org/officeDocument/2006/relationships/table" Target="../tables/table92.xml"/><Relationship Id="rId14" Type="http://schemas.openxmlformats.org/officeDocument/2006/relationships/table" Target="../tables/table93.xml"/><Relationship Id="rId15" Type="http://schemas.openxmlformats.org/officeDocument/2006/relationships/table" Target="../tables/table94.xml"/><Relationship Id="rId16" Type="http://schemas.openxmlformats.org/officeDocument/2006/relationships/table" Target="../tables/table95.xml"/>
</Relationships>
</file>

<file path=xl/worksheets/_rels/sheet12.xml.rels><?xml version="1.0" encoding="UTF-8"?>
<Relationships xmlns="http://schemas.openxmlformats.org/package/2006/relationships"><Relationship Id="rId1" Type="http://schemas.openxmlformats.org/officeDocument/2006/relationships/table" Target="../tables/table109.xml"/><Relationship Id="rId2" Type="http://schemas.openxmlformats.org/officeDocument/2006/relationships/table" Target="../tables/table110.xml"/><Relationship Id="rId3" Type="http://schemas.openxmlformats.org/officeDocument/2006/relationships/table" Target="../tables/table111.xml"/><Relationship Id="rId4" Type="http://schemas.openxmlformats.org/officeDocument/2006/relationships/table" Target="../tables/table112.xml"/><Relationship Id="rId5" Type="http://schemas.openxmlformats.org/officeDocument/2006/relationships/table" Target="../tables/table113.xml"/>
</Relationships>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_rels/sheet1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7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customHeight="true"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3" min="3" style="1" width="46"/>
    <col collapsed="false" customWidth="true" hidden="false" outlineLevel="0" max="4" min="4" style="1" width="22"/>
    <col collapsed="false" customWidth="true" hidden="false" outlineLevel="0" max="5" min="5" style="1" width="14"/>
    <col collapsed="false" customWidth="true" hidden="false" outlineLevel="0" max="6" min="6" style="1" width="10"/>
    <col collapsed="false" customWidth="true" hidden="false" outlineLevel="0" max="7" min="7" style="1" width="14"/>
    <col collapsed="false" customWidth="true" hidden="false" outlineLevel="0" max="8" min="8" style="1" width="18"/>
    <col collapsed="false" customWidth="true" hidden="false" outlineLevel="0" max="9" min="9" style="1" width="14"/>
    <col collapsed="false" customWidth="true" hidden="false" outlineLevel="0" max="10" min="10" style="1" width="22"/>
    <col collapsed="false" customWidth="true" hidden="false" outlineLevel="0" max="11" min="11" style="1" width="20"/>
    <col collapsed="false" customWidth="true" hidden="false" outlineLevel="0" max="12" min="12" style="1" width="14"/>
  </cols>
  <sheetData>
    <row r="1" customFormat="false" ht="31.5" hidden="false" customHeight="true" outlineLevel="0" collapsed="false">
      <c r="A1" s="2" t="s">
        <v>0</v>
      </c>
      <c r="B1" s="2"/>
      <c r="C1" s="2"/>
      <c r="D1" s="2"/>
      <c r="E1" s="2"/>
      <c r="F1" s="2"/>
      <c r="G1" s="2"/>
      <c r="H1" s="2"/>
      <c r="I1" s="2"/>
      <c r="J1" s="2"/>
      <c r="K1" s="2"/>
      <c r="L1" s="2"/>
    </row>
    <row r="2" customFormat="false" ht="18" hidden="false" customHeight="true" outlineLevel="0" collapsed="false">
      <c r="A2" s="3" t="s">
        <v>1</v>
      </c>
      <c r="B2" s="3"/>
      <c r="C2" s="3"/>
      <c r="D2" s="3"/>
      <c r="E2" s="3"/>
      <c r="F2" s="3"/>
      <c r="G2" s="3"/>
      <c r="H2" s="3"/>
      <c r="I2" s="3"/>
      <c r="J2" s="3"/>
      <c r="K2" s="3"/>
      <c r="L2" s="3"/>
    </row>
    <row r="4" customFormat="false" ht="27.75" hidden="false" customHeight="true" outlineLevel="0" collapsed="false">
      <c r="A4" s="4" t="s">
        <v>2</v>
      </c>
      <c r="B4" s="4"/>
      <c r="C4" s="4"/>
      <c r="D4" s="4"/>
      <c r="E4" s="4"/>
      <c r="F4" s="4"/>
      <c r="G4" s="4"/>
      <c r="H4" s="4"/>
      <c r="I4" s="4"/>
      <c r="J4" s="4"/>
      <c r="K4" s="4"/>
      <c r="L4" s="4"/>
    </row>
    <row r="6" customFormat="false" ht="19.5" hidden="false" customHeight="true" outlineLevel="0" collapsed="false">
      <c r="A6" s="5" t="s">
        <v>3</v>
      </c>
      <c r="B6" s="5"/>
      <c r="C6" s="5"/>
      <c r="D6" s="5"/>
      <c r="E6" s="5"/>
      <c r="F6" s="5"/>
      <c r="G6" s="5"/>
      <c r="H6" s="5"/>
      <c r="I6" s="5"/>
      <c r="J6" s="5"/>
      <c r="K6" s="5"/>
      <c r="L6" s="5"/>
    </row>
    <row r="7" customFormat="false" ht="15" hidden="false" customHeight="true" outlineLevel="0" collapsed="false">
      <c r="A7" s="6" t="s">
        <v>4</v>
      </c>
      <c r="B7" s="6"/>
      <c r="C7" s="6"/>
      <c r="D7" s="6"/>
      <c r="E7" s="6"/>
      <c r="F7" s="6"/>
      <c r="G7" s="6"/>
      <c r="H7" s="6"/>
      <c r="I7" s="7" t="s">
        <v>5</v>
      </c>
      <c r="J7" s="7"/>
      <c r="K7" s="7"/>
      <c r="L7" s="7"/>
    </row>
    <row r="8" customFormat="false" ht="15" hidden="false" customHeight="true" outlineLevel="0" collapsed="false">
      <c r="A8" s="8" t="s">
        <v>6</v>
      </c>
      <c r="B8" s="8"/>
      <c r="C8" s="8"/>
      <c r="D8" s="8"/>
      <c r="E8" s="8"/>
      <c r="F8" s="8"/>
      <c r="G8" s="8"/>
      <c r="H8" s="8"/>
      <c r="I8" s="9" t="s">
        <v>7</v>
      </c>
      <c r="J8" s="9"/>
      <c r="K8" s="9"/>
      <c r="L8" s="9"/>
    </row>
    <row r="9" customFormat="false" ht="15" hidden="false" customHeight="true" outlineLevel="0" collapsed="false">
      <c r="A9" s="6" t="s">
        <v>8</v>
      </c>
      <c r="B9" s="6"/>
      <c r="C9" s="6"/>
      <c r="D9" s="6"/>
      <c r="E9" s="6"/>
      <c r="F9" s="6"/>
      <c r="G9" s="6"/>
      <c r="H9" s="6"/>
      <c r="I9" s="7" t="s">
        <v>9</v>
      </c>
      <c r="J9" s="7"/>
      <c r="K9" s="7"/>
      <c r="L9" s="7"/>
    </row>
    <row r="10" customFormat="false" ht="15" hidden="false" customHeight="true" outlineLevel="0" collapsed="false">
      <c r="A10" s="8" t="s">
        <v>10</v>
      </c>
      <c r="B10" s="8"/>
      <c r="C10" s="8"/>
      <c r="D10" s="8"/>
      <c r="E10" s="8"/>
      <c r="F10" s="8"/>
      <c r="G10" s="8"/>
      <c r="H10" s="8"/>
      <c r="I10" s="9" t="s">
        <v>11</v>
      </c>
      <c r="J10" s="9"/>
      <c r="K10" s="9"/>
      <c r="L10" s="9"/>
    </row>
    <row r="11" customFormat="false" ht="15" hidden="false" customHeight="true" outlineLevel="0" collapsed="false">
      <c r="A11" s="6" t="s">
        <v>12</v>
      </c>
      <c r="B11" s="6"/>
      <c r="C11" s="6"/>
      <c r="D11" s="6"/>
      <c r="E11" s="6"/>
      <c r="F11" s="6"/>
      <c r="G11" s="6"/>
      <c r="H11" s="6"/>
      <c r="I11" s="7" t="s">
        <v>13</v>
      </c>
      <c r="J11" s="7"/>
      <c r="K11" s="7"/>
      <c r="L11" s="7"/>
    </row>
    <row r="12" customFormat="false" ht="15" hidden="false" customHeight="true" outlineLevel="0" collapsed="false">
      <c r="A12" s="8" t="s">
        <v>14</v>
      </c>
      <c r="B12" s="8"/>
      <c r="C12" s="8"/>
      <c r="D12" s="8"/>
      <c r="E12" s="8"/>
      <c r="F12" s="8"/>
      <c r="G12" s="8"/>
      <c r="H12" s="8"/>
      <c r="I12" s="9" t="s">
        <v>15</v>
      </c>
      <c r="J12" s="9"/>
      <c r="K12" s="9"/>
      <c r="L12" s="9"/>
    </row>
    <row r="13" customFormat="false" ht="15" hidden="false" customHeight="true" outlineLevel="0" collapsed="false">
      <c r="A13" s="6" t="s">
        <v>16</v>
      </c>
      <c r="B13" s="6"/>
      <c r="C13" s="6"/>
      <c r="D13" s="6"/>
      <c r="E13" s="6"/>
      <c r="F13" s="6"/>
      <c r="G13" s="6"/>
      <c r="H13" s="6"/>
      <c r="I13" s="7" t="s">
        <v>17</v>
      </c>
      <c r="J13" s="7"/>
      <c r="K13" s="7"/>
      <c r="L13" s="7"/>
    </row>
    <row r="14" customFormat="false" ht="15" hidden="false" customHeight="true" outlineLevel="0" collapsed="false">
      <c r="A14" s="8" t="s">
        <v>18</v>
      </c>
      <c r="B14" s="8"/>
      <c r="C14" s="8"/>
      <c r="D14" s="8"/>
      <c r="E14" s="8"/>
      <c r="F14" s="8"/>
      <c r="G14" s="8"/>
      <c r="H14" s="8"/>
      <c r="I14" s="9" t="s">
        <v>19</v>
      </c>
      <c r="J14" s="9"/>
      <c r="K14" s="9"/>
      <c r="L14" s="9"/>
    </row>
    <row r="15" customFormat="false" ht="15" hidden="false" customHeight="true" outlineLevel="0" collapsed="false">
      <c r="A15" s="6" t="s">
        <v>20</v>
      </c>
      <c r="B15" s="6"/>
      <c r="C15" s="6"/>
      <c r="D15" s="6"/>
      <c r="E15" s="6"/>
      <c r="F15" s="6"/>
      <c r="G15" s="6"/>
      <c r="H15" s="6"/>
      <c r="I15" s="7" t="s">
        <v>21</v>
      </c>
      <c r="J15" s="7"/>
      <c r="K15" s="7"/>
      <c r="L15" s="7"/>
    </row>
    <row r="16" customFormat="false" ht="15" hidden="false" customHeight="true" outlineLevel="0" collapsed="false">
      <c r="A16" s="8" t="s">
        <v>22</v>
      </c>
      <c r="B16" s="8"/>
      <c r="C16" s="8"/>
      <c r="D16" s="8"/>
      <c r="E16" s="8"/>
      <c r="F16" s="8"/>
      <c r="G16" s="8"/>
      <c r="H16" s="8"/>
      <c r="I16" s="9" t="s">
        <v>23</v>
      </c>
      <c r="J16" s="9"/>
      <c r="K16" s="9"/>
      <c r="L16" s="9"/>
    </row>
    <row r="17" customFormat="false" ht="15" hidden="false" customHeight="true" outlineLevel="0" collapsed="false">
      <c r="A17" s="6" t="s">
        <v>24</v>
      </c>
      <c r="B17" s="6"/>
      <c r="C17" s="6"/>
      <c r="D17" s="6"/>
      <c r="E17" s="6"/>
      <c r="F17" s="6"/>
      <c r="G17" s="6"/>
      <c r="H17" s="6"/>
      <c r="I17" s="7" t="s">
        <v>5</v>
      </c>
      <c r="J17" s="7"/>
      <c r="K17" s="7"/>
      <c r="L17" s="7"/>
    </row>
    <row r="18" customFormat="false" ht="15" hidden="false" customHeight="true" outlineLevel="0" collapsed="false">
      <c r="A18" s="8" t="s">
        <v>25</v>
      </c>
      <c r="B18" s="8"/>
      <c r="C18" s="8"/>
      <c r="D18" s="8"/>
      <c r="E18" s="8"/>
      <c r="F18" s="8"/>
      <c r="G18" s="8"/>
      <c r="H18" s="8"/>
      <c r="I18" s="9" t="s">
        <v>26</v>
      </c>
      <c r="J18" s="9"/>
      <c r="K18" s="9"/>
      <c r="L18" s="9"/>
    </row>
    <row r="19" customFormat="false" ht="15" hidden="false" customHeight="true" outlineLevel="0" collapsed="false">
      <c r="A19" s="6" t="s">
        <v>27</v>
      </c>
      <c r="B19" s="6"/>
      <c r="C19" s="6"/>
      <c r="D19" s="6"/>
      <c r="E19" s="6"/>
      <c r="F19" s="6"/>
      <c r="G19" s="6"/>
      <c r="H19" s="6"/>
      <c r="I19" s="7" t="s">
        <v>28</v>
      </c>
      <c r="J19" s="7"/>
      <c r="K19" s="7"/>
      <c r="L19" s="7"/>
    </row>
    <row r="20" customFormat="false" ht="15" hidden="false" customHeight="true" outlineLevel="0" collapsed="false">
      <c r="A20" s="8" t="s">
        <v>29</v>
      </c>
      <c r="B20" s="8"/>
      <c r="C20" s="8"/>
      <c r="D20" s="8"/>
      <c r="E20" s="8"/>
      <c r="F20" s="8"/>
      <c r="G20" s="8"/>
      <c r="H20" s="8"/>
      <c r="I20" s="9" t="s">
        <v>30</v>
      </c>
      <c r="J20" s="9"/>
      <c r="K20" s="9"/>
      <c r="L20" s="9"/>
    </row>
    <row r="21" customFormat="false" ht="15" hidden="false" customHeight="true" outlineLevel="0" collapsed="false">
      <c r="A21" s="6" t="s">
        <v>31</v>
      </c>
      <c r="B21" s="6"/>
      <c r="C21" s="6"/>
      <c r="D21" s="6"/>
      <c r="E21" s="6"/>
      <c r="F21" s="6"/>
      <c r="G21" s="6"/>
      <c r="H21" s="6"/>
      <c r="I21" s="7" t="s">
        <v>13</v>
      </c>
      <c r="J21" s="7"/>
      <c r="K21" s="7"/>
      <c r="L21" s="7"/>
    </row>
    <row r="22" customFormat="false" ht="15" hidden="false" customHeight="true" outlineLevel="0" collapsed="false">
      <c r="A22" s="8" t="s">
        <v>32</v>
      </c>
      <c r="B22" s="8"/>
      <c r="C22" s="8"/>
      <c r="D22" s="8"/>
      <c r="E22" s="8"/>
      <c r="F22" s="8"/>
      <c r="G22" s="8"/>
      <c r="H22" s="8"/>
      <c r="I22" s="9" t="s">
        <v>19</v>
      </c>
      <c r="J22" s="9"/>
      <c r="K22" s="9"/>
      <c r="L22" s="9"/>
    </row>
    <row r="23" customFormat="false" ht="15" hidden="false" customHeight="true" outlineLevel="0" collapsed="false">
      <c r="A23" s="6" t="s">
        <v>33</v>
      </c>
      <c r="B23" s="6"/>
      <c r="C23" s="6"/>
      <c r="D23" s="6"/>
      <c r="E23" s="6"/>
      <c r="F23" s="6"/>
      <c r="G23" s="6"/>
      <c r="H23" s="6"/>
      <c r="I23" s="7" t="s">
        <v>34</v>
      </c>
      <c r="J23" s="7"/>
      <c r="K23" s="7"/>
      <c r="L23" s="7"/>
    </row>
    <row r="24" customFormat="false" ht="15" hidden="false" customHeight="true" outlineLevel="0" collapsed="false">
      <c r="A24" s="8" t="s">
        <v>35</v>
      </c>
      <c r="B24" s="8"/>
      <c r="C24" s="8"/>
      <c r="D24" s="8"/>
      <c r="E24" s="8"/>
      <c r="F24" s="8"/>
      <c r="G24" s="8"/>
      <c r="H24" s="8"/>
      <c r="I24" s="9" t="s">
        <v>36</v>
      </c>
      <c r="J24" s="9"/>
      <c r="K24" s="9"/>
      <c r="L24" s="9"/>
    </row>
    <row r="25" customFormat="false" ht="15" hidden="false" customHeight="true" outlineLevel="0" collapsed="false">
      <c r="A25" s="6" t="s">
        <v>37</v>
      </c>
      <c r="B25" s="6"/>
      <c r="C25" s="6"/>
      <c r="D25" s="6"/>
      <c r="E25" s="6"/>
      <c r="F25" s="6"/>
      <c r="G25" s="6"/>
      <c r="H25" s="6"/>
      <c r="I25" s="7" t="s">
        <v>36</v>
      </c>
      <c r="J25" s="7"/>
      <c r="K25" s="7"/>
      <c r="L25" s="7"/>
    </row>
    <row r="26" customFormat="false" ht="15" hidden="false" customHeight="true" outlineLevel="0" collapsed="false">
      <c r="A26" s="8" t="s">
        <v>38</v>
      </c>
      <c r="B26" s="8"/>
      <c r="C26" s="8"/>
      <c r="D26" s="8"/>
      <c r="E26" s="8"/>
      <c r="F26" s="8"/>
      <c r="G26" s="8"/>
      <c r="H26" s="8"/>
      <c r="I26" s="9" t="s">
        <v>21</v>
      </c>
      <c r="J26" s="9"/>
      <c r="K26" s="9"/>
      <c r="L26" s="9"/>
    </row>
    <row r="27" customFormat="false" ht="15" hidden="false" customHeight="true" outlineLevel="0" collapsed="false">
      <c r="A27" s="6" t="s">
        <v>39</v>
      </c>
      <c r="B27" s="6"/>
      <c r="C27" s="6"/>
      <c r="D27" s="6"/>
      <c r="E27" s="6"/>
      <c r="F27" s="6"/>
      <c r="G27" s="6"/>
      <c r="H27" s="6"/>
      <c r="I27" s="7" t="s">
        <v>9</v>
      </c>
      <c r="J27" s="7"/>
      <c r="K27" s="7"/>
      <c r="L27" s="7"/>
    </row>
    <row r="28" customFormat="false" ht="15" hidden="false" customHeight="true" outlineLevel="0" collapsed="false">
      <c r="A28" s="8" t="s">
        <v>40</v>
      </c>
      <c r="B28" s="8"/>
      <c r="C28" s="8"/>
      <c r="D28" s="8"/>
      <c r="E28" s="8"/>
      <c r="F28" s="8"/>
      <c r="G28" s="8"/>
      <c r="H28" s="8"/>
      <c r="I28" s="9" t="s">
        <v>41</v>
      </c>
      <c r="J28" s="9"/>
      <c r="K28" s="9"/>
      <c r="L28" s="9"/>
    </row>
    <row r="29" customFormat="false" ht="15" hidden="false" customHeight="true" outlineLevel="0" collapsed="false">
      <c r="A29" s="6" t="s">
        <v>42</v>
      </c>
      <c r="B29" s="6"/>
      <c r="C29" s="6"/>
      <c r="D29" s="6"/>
      <c r="E29" s="6"/>
      <c r="F29" s="6"/>
      <c r="G29" s="6"/>
      <c r="H29" s="6"/>
      <c r="I29" s="7" t="s">
        <v>34</v>
      </c>
      <c r="J29" s="7"/>
      <c r="K29" s="7"/>
      <c r="L29" s="7"/>
    </row>
    <row r="30" customFormat="false" ht="15" hidden="false" customHeight="true" outlineLevel="0" collapsed="false">
      <c r="A30" s="8" t="s">
        <v>43</v>
      </c>
      <c r="B30" s="8"/>
      <c r="C30" s="8"/>
      <c r="D30" s="8"/>
      <c r="E30" s="8"/>
      <c r="F30" s="8"/>
      <c r="G30" s="8"/>
      <c r="H30" s="8"/>
      <c r="I30" s="9" t="s">
        <v>44</v>
      </c>
      <c r="J30" s="9"/>
      <c r="K30" s="9"/>
      <c r="L30" s="9"/>
    </row>
    <row r="31" customFormat="false" ht="15" hidden="false" customHeight="true" outlineLevel="0" collapsed="false">
      <c r="A31" s="6" t="s">
        <v>45</v>
      </c>
      <c r="B31" s="6"/>
      <c r="C31" s="6"/>
      <c r="D31" s="6"/>
      <c r="E31" s="6"/>
      <c r="F31" s="6"/>
      <c r="G31" s="6"/>
      <c r="H31" s="6"/>
      <c r="I31" s="7" t="s">
        <v>26</v>
      </c>
      <c r="J31" s="7"/>
      <c r="K31" s="7"/>
      <c r="L31" s="7"/>
    </row>
    <row r="32" customFormat="false" ht="15" hidden="false" customHeight="true" outlineLevel="0" collapsed="false">
      <c r="A32" s="8" t="s">
        <v>46</v>
      </c>
      <c r="B32" s="8"/>
      <c r="C32" s="8"/>
      <c r="D32" s="8"/>
      <c r="E32" s="8"/>
      <c r="F32" s="8"/>
      <c r="G32" s="8"/>
      <c r="H32" s="8"/>
      <c r="I32" s="9" t="s">
        <v>47</v>
      </c>
      <c r="J32" s="9"/>
      <c r="K32" s="9"/>
      <c r="L32" s="9"/>
    </row>
    <row r="33" customFormat="false" ht="15" hidden="false" customHeight="true" outlineLevel="0" collapsed="false">
      <c r="A33" s="6" t="s">
        <v>48</v>
      </c>
      <c r="B33" s="6"/>
      <c r="C33" s="6"/>
      <c r="D33" s="6"/>
      <c r="E33" s="6"/>
      <c r="F33" s="6"/>
      <c r="G33" s="6"/>
      <c r="H33" s="6"/>
      <c r="I33" s="7" t="s">
        <v>36</v>
      </c>
      <c r="J33" s="7"/>
      <c r="K33" s="7"/>
      <c r="L33" s="7"/>
    </row>
    <row r="34" customFormat="false" ht="15" hidden="false" customHeight="true" outlineLevel="0" collapsed="false">
      <c r="A34" s="8" t="s">
        <v>49</v>
      </c>
      <c r="B34" s="8"/>
      <c r="C34" s="8"/>
      <c r="D34" s="8"/>
      <c r="E34" s="8"/>
      <c r="F34" s="8"/>
      <c r="G34" s="8"/>
      <c r="H34" s="8"/>
      <c r="I34" s="9" t="s">
        <v>23</v>
      </c>
      <c r="J34" s="9"/>
      <c r="K34" s="9"/>
      <c r="L34" s="9"/>
    </row>
    <row r="35" customFormat="false" ht="15" hidden="false" customHeight="true" outlineLevel="0" collapsed="false">
      <c r="A35" s="6" t="s">
        <v>50</v>
      </c>
      <c r="B35" s="6"/>
      <c r="C35" s="6"/>
      <c r="D35" s="6"/>
      <c r="E35" s="6"/>
      <c r="F35" s="6"/>
      <c r="G35" s="6"/>
      <c r="H35" s="6"/>
      <c r="I35" s="7" t="s">
        <v>9</v>
      </c>
      <c r="J35" s="7"/>
      <c r="K35" s="7"/>
      <c r="L35" s="7"/>
    </row>
    <row r="36" customFormat="false" ht="108.75" hidden="false" customHeight="true" outlineLevel="0" collapsed="false">
      <c r="A36" s="10" t="s">
        <v>51</v>
      </c>
    </row>
    <row r="37" customFormat="false" ht="19.5" hidden="false" customHeight="true" outlineLevel="0" collapsed="false">
      <c r="A37" s="5" t="s">
        <v>4</v>
      </c>
      <c r="B37" s="5"/>
      <c r="C37" s="5"/>
    </row>
    <row r="38" customFormat="false" ht="25.5" hidden="false" customHeight="true" outlineLevel="0" collapsed="false">
      <c r="A38" s="11" t="s">
        <v>52</v>
      </c>
      <c r="B38" s="11" t="s">
        <v>53</v>
      </c>
      <c r="C38" s="11" t="s">
        <v>54</v>
      </c>
    </row>
    <row r="39" customFormat="false" ht="15" hidden="false" customHeight="true" outlineLevel="0" collapsed="false">
      <c r="A39" s="12" t="s">
        <v>55</v>
      </c>
      <c r="B39" s="13" t="n">
        <v>2024</v>
      </c>
      <c r="C39" s="14" t="s">
        <v>56</v>
      </c>
    </row>
    <row r="40" customFormat="false" ht="15" hidden="false" customHeight="true" outlineLevel="0" collapsed="false">
      <c r="A40" s="12" t="s">
        <v>57</v>
      </c>
      <c r="B40" s="13" t="n">
        <v>2025</v>
      </c>
      <c r="C40" s="14" t="s">
        <v>56</v>
      </c>
    </row>
    <row r="41" customFormat="false" ht="15" hidden="false" customHeight="true" outlineLevel="0" collapsed="false">
      <c r="A41" s="12" t="s">
        <v>58</v>
      </c>
      <c r="B41" s="13" t="n">
        <v>2026</v>
      </c>
      <c r="C41" s="14" t="s">
        <v>56</v>
      </c>
    </row>
    <row r="42" customFormat="false" ht="15" hidden="false" customHeight="true" outlineLevel="0" collapsed="false">
      <c r="A42" s="12" t="s">
        <v>59</v>
      </c>
      <c r="B42" s="13" t="n">
        <v>2027</v>
      </c>
      <c r="C42" s="14" t="s">
        <v>56</v>
      </c>
    </row>
    <row r="43" customFormat="false" ht="15" hidden="false" customHeight="true" outlineLevel="0" collapsed="false">
      <c r="A43" s="12" t="s">
        <v>60</v>
      </c>
      <c r="B43" s="13" t="n">
        <v>2028</v>
      </c>
      <c r="C43" s="14" t="s">
        <v>56</v>
      </c>
    </row>
    <row r="44" customFormat="false" ht="15" hidden="false" customHeight="true" outlineLevel="0" collapsed="false">
      <c r="A44" s="12" t="s">
        <v>61</v>
      </c>
      <c r="B44" s="13" t="n">
        <v>2029</v>
      </c>
      <c r="C44" s="14" t="s">
        <v>56</v>
      </c>
    </row>
    <row r="45" customFormat="false" ht="15" hidden="false" customHeight="true" outlineLevel="0" collapsed="false">
      <c r="A45" s="12" t="s">
        <v>62</v>
      </c>
      <c r="B45" s="13" t="n">
        <v>2030</v>
      </c>
      <c r="C45" s="14" t="s">
        <v>56</v>
      </c>
    </row>
    <row r="46" customFormat="false" ht="15" hidden="false" customHeight="true" outlineLevel="0" collapsed="false">
      <c r="A46" s="12" t="s">
        <v>63</v>
      </c>
      <c r="B46" s="13" t="n">
        <v>2031</v>
      </c>
      <c r="C46" s="14" t="s">
        <v>56</v>
      </c>
    </row>
    <row r="47" customFormat="false" ht="15" hidden="false" customHeight="true" outlineLevel="0" collapsed="false">
      <c r="A47" s="12" t="s">
        <v>64</v>
      </c>
      <c r="B47" s="13" t="n">
        <v>2032</v>
      </c>
      <c r="C47" s="14" t="s">
        <v>56</v>
      </c>
    </row>
    <row r="48" customFormat="false" ht="15" hidden="false" customHeight="true" outlineLevel="0" collapsed="false">
      <c r="A48" s="12" t="s">
        <v>65</v>
      </c>
      <c r="B48" s="13" t="n">
        <v>2033</v>
      </c>
      <c r="C48" s="14" t="s">
        <v>56</v>
      </c>
    </row>
    <row r="49" customFormat="false" ht="15" hidden="false" customHeight="true" outlineLevel="0" collapsed="false">
      <c r="A49" s="12"/>
      <c r="B49" s="13"/>
      <c r="C49" s="14"/>
    </row>
    <row r="50" customFormat="false" ht="15" hidden="false" customHeight="true" outlineLevel="0" collapsed="false">
      <c r="A50" s="15"/>
    </row>
    <row r="51" customFormat="false" ht="19.5" hidden="false" customHeight="true" outlineLevel="0" collapsed="false">
      <c r="A51" s="5" t="s">
        <v>6</v>
      </c>
      <c r="B51" s="5"/>
      <c r="C51" s="5"/>
    </row>
    <row r="52" customFormat="false" ht="25.5" hidden="false" customHeight="true" outlineLevel="0" collapsed="false">
      <c r="A52" s="11" t="s">
        <v>66</v>
      </c>
      <c r="B52" s="11" t="s">
        <v>67</v>
      </c>
      <c r="C52" s="11" t="s">
        <v>68</v>
      </c>
    </row>
    <row r="53" customFormat="false" ht="15" hidden="false" customHeight="true" outlineLevel="0" collapsed="false">
      <c r="A53" s="16" t="n">
        <v>1</v>
      </c>
      <c r="B53" s="14" t="s">
        <v>69</v>
      </c>
      <c r="C53" s="14" t="s">
        <v>70</v>
      </c>
    </row>
    <row r="54" customFormat="false" ht="15" hidden="false" customHeight="true" outlineLevel="0" collapsed="false">
      <c r="A54" s="16" t="n">
        <v>2</v>
      </c>
      <c r="B54" s="14" t="s">
        <v>71</v>
      </c>
      <c r="C54" s="14" t="s">
        <v>70</v>
      </c>
    </row>
    <row r="55" customFormat="false" ht="15" hidden="false" customHeight="true" outlineLevel="0" collapsed="false">
      <c r="A55" s="16" t="n">
        <v>3</v>
      </c>
      <c r="B55" s="14" t="s">
        <v>72</v>
      </c>
      <c r="C55" s="14" t="s">
        <v>70</v>
      </c>
    </row>
    <row r="56" customFormat="false" ht="15" hidden="false" customHeight="true" outlineLevel="0" collapsed="false">
      <c r="A56" s="16" t="n">
        <v>4</v>
      </c>
      <c r="B56" s="14" t="s">
        <v>73</v>
      </c>
      <c r="C56" s="14" t="s">
        <v>74</v>
      </c>
    </row>
    <row r="57" customFormat="false" ht="15" hidden="false" customHeight="true" outlineLevel="0" collapsed="false">
      <c r="A57" s="16" t="n">
        <v>5</v>
      </c>
      <c r="B57" s="14" t="s">
        <v>75</v>
      </c>
      <c r="C57" s="14" t="s">
        <v>74</v>
      </c>
    </row>
    <row r="58" customFormat="false" ht="15" hidden="false" customHeight="true" outlineLevel="0" collapsed="false">
      <c r="A58" s="16" t="n">
        <v>6</v>
      </c>
      <c r="B58" s="14" t="s">
        <v>76</v>
      </c>
      <c r="C58" s="14" t="s">
        <v>74</v>
      </c>
    </row>
    <row r="59" customFormat="false" ht="15" hidden="false" customHeight="true" outlineLevel="0" collapsed="false">
      <c r="A59" s="16" t="n">
        <v>7</v>
      </c>
      <c r="B59" s="14" t="s">
        <v>77</v>
      </c>
      <c r="C59" s="14" t="s">
        <v>78</v>
      </c>
    </row>
    <row r="60" customFormat="false" ht="15" hidden="false" customHeight="true" outlineLevel="0" collapsed="false">
      <c r="A60" s="16" t="n">
        <v>8</v>
      </c>
      <c r="B60" s="14" t="s">
        <v>79</v>
      </c>
      <c r="C60" s="14" t="s">
        <v>78</v>
      </c>
    </row>
    <row r="61" customFormat="false" ht="15" hidden="false" customHeight="true" outlineLevel="0" collapsed="false">
      <c r="A61" s="16" t="n">
        <v>9</v>
      </c>
      <c r="B61" s="14" t="s">
        <v>80</v>
      </c>
      <c r="C61" s="14" t="s">
        <v>78</v>
      </c>
    </row>
    <row r="62" customFormat="false" ht="15" hidden="false" customHeight="true" outlineLevel="0" collapsed="false">
      <c r="A62" s="16" t="n">
        <v>10</v>
      </c>
      <c r="B62" s="14" t="s">
        <v>81</v>
      </c>
      <c r="C62" s="14" t="s">
        <v>82</v>
      </c>
    </row>
    <row r="63" customFormat="false" ht="15" hidden="false" customHeight="true" outlineLevel="0" collapsed="false">
      <c r="A63" s="16" t="n">
        <v>11</v>
      </c>
      <c r="B63" s="14" t="s">
        <v>83</v>
      </c>
      <c r="C63" s="14" t="s">
        <v>82</v>
      </c>
    </row>
    <row r="64" customFormat="false" ht="15" hidden="false" customHeight="true" outlineLevel="0" collapsed="false">
      <c r="A64" s="16" t="n">
        <v>12</v>
      </c>
      <c r="B64" s="14" t="s">
        <v>84</v>
      </c>
      <c r="C64" s="14" t="s">
        <v>82</v>
      </c>
    </row>
    <row r="65" customFormat="false" ht="15" hidden="false" customHeight="true" outlineLevel="0" collapsed="false">
      <c r="A65" s="15" t="s">
        <v>85</v>
      </c>
    </row>
    <row r="66" customFormat="false" ht="19.5" hidden="false" customHeight="true" outlineLevel="0" collapsed="false">
      <c r="A66" s="5" t="s">
        <v>8</v>
      </c>
      <c r="B66" s="5"/>
      <c r="C66" s="5"/>
      <c r="D66" s="5"/>
    </row>
    <row r="67" customFormat="false" ht="25.5" hidden="false" customHeight="true" outlineLevel="0" collapsed="false">
      <c r="A67" s="11" t="s">
        <v>52</v>
      </c>
      <c r="B67" s="11" t="s">
        <v>68</v>
      </c>
      <c r="C67" s="11" t="s">
        <v>86</v>
      </c>
      <c r="D67" s="11" t="s">
        <v>87</v>
      </c>
    </row>
    <row r="68" customFormat="false" ht="15" hidden="false" customHeight="true" outlineLevel="0" collapsed="false">
      <c r="A68" s="12" t="s">
        <v>70</v>
      </c>
      <c r="B68" s="14" t="s">
        <v>88</v>
      </c>
      <c r="C68" s="14" t="s">
        <v>89</v>
      </c>
      <c r="D68" s="13" t="n">
        <v>1</v>
      </c>
    </row>
    <row r="69" customFormat="false" ht="15" hidden="false" customHeight="true" outlineLevel="0" collapsed="false">
      <c r="A69" s="12" t="s">
        <v>74</v>
      </c>
      <c r="B69" s="14" t="s">
        <v>90</v>
      </c>
      <c r="C69" s="14" t="s">
        <v>91</v>
      </c>
      <c r="D69" s="13" t="n">
        <v>2</v>
      </c>
    </row>
    <row r="70" customFormat="false" ht="15" hidden="false" customHeight="true" outlineLevel="0" collapsed="false">
      <c r="A70" s="12" t="s">
        <v>78</v>
      </c>
      <c r="B70" s="14" t="s">
        <v>92</v>
      </c>
      <c r="C70" s="14" t="s">
        <v>93</v>
      </c>
      <c r="D70" s="13" t="n">
        <v>3</v>
      </c>
    </row>
    <row r="71" customFormat="false" ht="15" hidden="false" customHeight="true" outlineLevel="0" collapsed="false">
      <c r="A71" s="12" t="s">
        <v>82</v>
      </c>
      <c r="B71" s="14" t="s">
        <v>94</v>
      </c>
      <c r="C71" s="14" t="s">
        <v>95</v>
      </c>
      <c r="D71" s="13" t="n">
        <v>4</v>
      </c>
    </row>
    <row r="72" customFormat="false" ht="15" hidden="false" customHeight="true" outlineLevel="0" collapsed="false">
      <c r="A72" s="15" t="s">
        <v>85</v>
      </c>
    </row>
    <row r="73" customFormat="false" ht="19.5" hidden="false" customHeight="true" outlineLevel="0" collapsed="false">
      <c r="A73" s="5" t="s">
        <v>10</v>
      </c>
      <c r="B73" s="5"/>
      <c r="C73" s="5"/>
      <c r="D73" s="5"/>
    </row>
    <row r="74" customFormat="false" ht="25.5" hidden="false" customHeight="true" outlineLevel="0" collapsed="false">
      <c r="A74" s="11" t="s">
        <v>52</v>
      </c>
      <c r="B74" s="11" t="s">
        <v>96</v>
      </c>
      <c r="C74" s="11" t="s">
        <v>54</v>
      </c>
      <c r="D74" s="11" t="s">
        <v>87</v>
      </c>
    </row>
    <row r="75" customFormat="false" ht="15" hidden="false" customHeight="true" outlineLevel="0" collapsed="false">
      <c r="A75" s="12" t="s">
        <v>97</v>
      </c>
      <c r="B75" s="14" t="s">
        <v>98</v>
      </c>
      <c r="C75" s="14" t="s">
        <v>56</v>
      </c>
      <c r="D75" s="13" t="n">
        <v>1</v>
      </c>
    </row>
    <row r="76" customFormat="false" ht="15" hidden="false" customHeight="true" outlineLevel="0" collapsed="false">
      <c r="A76" s="12" t="s">
        <v>99</v>
      </c>
      <c r="B76" s="14" t="s">
        <v>100</v>
      </c>
      <c r="C76" s="14" t="s">
        <v>56</v>
      </c>
      <c r="D76" s="13" t="n">
        <v>2</v>
      </c>
    </row>
    <row r="77" customFormat="false" ht="15" hidden="false" customHeight="true" outlineLevel="0" collapsed="false">
      <c r="A77" s="12" t="s">
        <v>101</v>
      </c>
      <c r="B77" s="14" t="s">
        <v>102</v>
      </c>
      <c r="C77" s="14" t="s">
        <v>56</v>
      </c>
      <c r="D77" s="13" t="n">
        <v>3</v>
      </c>
    </row>
    <row r="78" customFormat="false" ht="15" hidden="false" customHeight="true" outlineLevel="0" collapsed="false">
      <c r="A78" s="12" t="s">
        <v>103</v>
      </c>
      <c r="B78" s="14" t="s">
        <v>104</v>
      </c>
      <c r="C78" s="14" t="s">
        <v>56</v>
      </c>
      <c r="D78" s="13" t="n">
        <v>4</v>
      </c>
    </row>
    <row r="79" customFormat="false" ht="15" hidden="false" customHeight="true" outlineLevel="0" collapsed="false">
      <c r="A79" s="12" t="s">
        <v>105</v>
      </c>
      <c r="B79" s="14" t="s">
        <v>106</v>
      </c>
      <c r="C79" s="14" t="s">
        <v>56</v>
      </c>
      <c r="D79" s="13" t="n">
        <v>5</v>
      </c>
    </row>
    <row r="80" customFormat="false" ht="15" hidden="false" customHeight="true" outlineLevel="0" collapsed="false">
      <c r="A80" s="12" t="s">
        <v>107</v>
      </c>
      <c r="B80" s="14" t="s">
        <v>108</v>
      </c>
      <c r="C80" s="14" t="s">
        <v>56</v>
      </c>
      <c r="D80" s="13" t="n">
        <v>6</v>
      </c>
    </row>
    <row r="81" customFormat="false" ht="15" hidden="false" customHeight="true" outlineLevel="0" collapsed="false">
      <c r="A81" s="12" t="s">
        <v>109</v>
      </c>
      <c r="B81" s="14" t="s">
        <v>110</v>
      </c>
      <c r="C81" s="14" t="s">
        <v>56</v>
      </c>
      <c r="D81" s="13" t="n">
        <v>7</v>
      </c>
    </row>
    <row r="82" customFormat="false" ht="15" hidden="false" customHeight="true" outlineLevel="0" collapsed="false">
      <c r="A82" s="12" t="s">
        <v>111</v>
      </c>
      <c r="B82" s="14" t="s">
        <v>112</v>
      </c>
      <c r="C82" s="14" t="s">
        <v>56</v>
      </c>
      <c r="D82" s="13" t="n">
        <v>8</v>
      </c>
    </row>
    <row r="83" customFormat="false" ht="15" hidden="false" customHeight="true" outlineLevel="0" collapsed="false">
      <c r="A83" s="12" t="s">
        <v>113</v>
      </c>
      <c r="B83" s="14" t="s">
        <v>114</v>
      </c>
      <c r="C83" s="14" t="s">
        <v>56</v>
      </c>
      <c r="D83" s="13" t="n">
        <v>9</v>
      </c>
    </row>
    <row r="84" customFormat="false" ht="15" hidden="false" customHeight="true" outlineLevel="0" collapsed="false">
      <c r="A84" s="12" t="s">
        <v>115</v>
      </c>
      <c r="B84" s="14" t="s">
        <v>116</v>
      </c>
      <c r="C84" s="14" t="s">
        <v>56</v>
      </c>
      <c r="D84" s="13" t="n">
        <v>10</v>
      </c>
    </row>
    <row r="85" customFormat="false" ht="15" hidden="false" customHeight="true" outlineLevel="0" collapsed="false">
      <c r="A85" s="12" t="s">
        <v>117</v>
      </c>
      <c r="B85" s="14" t="s">
        <v>118</v>
      </c>
      <c r="C85" s="14" t="s">
        <v>56</v>
      </c>
      <c r="D85" s="13" t="n">
        <v>11</v>
      </c>
    </row>
    <row r="86" customFormat="false" ht="15" hidden="false" customHeight="true" outlineLevel="0" collapsed="false">
      <c r="A86" s="12" t="s">
        <v>119</v>
      </c>
      <c r="B86" s="14" t="s">
        <v>120</v>
      </c>
      <c r="C86" s="14" t="s">
        <v>56</v>
      </c>
      <c r="D86" s="13" t="n">
        <v>12</v>
      </c>
    </row>
    <row r="87" customFormat="false" ht="15" hidden="false" customHeight="true" outlineLevel="0" collapsed="false">
      <c r="A87" s="12" t="s">
        <v>121</v>
      </c>
      <c r="B87" s="14" t="s">
        <v>122</v>
      </c>
      <c r="C87" s="14" t="s">
        <v>56</v>
      </c>
      <c r="D87" s="13" t="n">
        <v>13</v>
      </c>
    </row>
    <row r="88" customFormat="false" ht="15" hidden="false" customHeight="true" outlineLevel="0" collapsed="false">
      <c r="A88" s="12" t="s">
        <v>123</v>
      </c>
      <c r="B88" s="14" t="s">
        <v>124</v>
      </c>
      <c r="C88" s="14" t="s">
        <v>56</v>
      </c>
      <c r="D88" s="13" t="n">
        <v>14</v>
      </c>
    </row>
    <row r="89" customFormat="false" ht="15" hidden="false" customHeight="true" outlineLevel="0" collapsed="false">
      <c r="A89" s="12" t="s">
        <v>125</v>
      </c>
      <c r="B89" s="14" t="s">
        <v>126</v>
      </c>
      <c r="C89" s="14" t="s">
        <v>56</v>
      </c>
      <c r="D89" s="13" t="n">
        <v>15</v>
      </c>
    </row>
    <row r="90" customFormat="false" ht="15" hidden="false" customHeight="true" outlineLevel="0" collapsed="false">
      <c r="A90" s="15" t="s">
        <v>85</v>
      </c>
    </row>
    <row r="91" customFormat="false" ht="19.5" hidden="false" customHeight="true" outlineLevel="0" collapsed="false">
      <c r="A91" s="5" t="s">
        <v>12</v>
      </c>
      <c r="B91" s="5"/>
      <c r="C91" s="5"/>
      <c r="D91" s="5"/>
    </row>
    <row r="92" customFormat="false" ht="25.5" hidden="false" customHeight="true" outlineLevel="0" collapsed="false">
      <c r="A92" s="11" t="s">
        <v>52</v>
      </c>
      <c r="B92" s="11" t="s">
        <v>96</v>
      </c>
      <c r="C92" s="11" t="s">
        <v>54</v>
      </c>
      <c r="D92" s="11" t="s">
        <v>87</v>
      </c>
    </row>
    <row r="93" customFormat="false" ht="15" hidden="false" customHeight="true" outlineLevel="0" collapsed="false">
      <c r="A93" s="12" t="s">
        <v>127</v>
      </c>
      <c r="B93" s="14" t="s">
        <v>128</v>
      </c>
      <c r="C93" s="14" t="s">
        <v>56</v>
      </c>
      <c r="D93" s="13" t="n">
        <v>1</v>
      </c>
    </row>
    <row r="94" customFormat="false" ht="15" hidden="false" customHeight="true" outlineLevel="0" collapsed="false">
      <c r="A94" s="12" t="s">
        <v>129</v>
      </c>
      <c r="B94" s="14" t="s">
        <v>100</v>
      </c>
      <c r="C94" s="14" t="s">
        <v>56</v>
      </c>
      <c r="D94" s="13" t="n">
        <v>2</v>
      </c>
    </row>
    <row r="95" customFormat="false" ht="15" hidden="false" customHeight="true" outlineLevel="0" collapsed="false">
      <c r="A95" s="12" t="s">
        <v>130</v>
      </c>
      <c r="B95" s="14" t="s">
        <v>131</v>
      </c>
      <c r="C95" s="14" t="s">
        <v>56</v>
      </c>
      <c r="D95" s="13" t="n">
        <v>3</v>
      </c>
    </row>
    <row r="96" customFormat="false" ht="15" hidden="false" customHeight="true" outlineLevel="0" collapsed="false">
      <c r="A96" s="12" t="s">
        <v>132</v>
      </c>
      <c r="B96" s="14" t="s">
        <v>114</v>
      </c>
      <c r="C96" s="14" t="s">
        <v>56</v>
      </c>
      <c r="D96" s="13" t="n">
        <v>4</v>
      </c>
    </row>
    <row r="97" customFormat="false" ht="15" hidden="false" customHeight="true" outlineLevel="0" collapsed="false">
      <c r="A97" s="12" t="s">
        <v>133</v>
      </c>
      <c r="B97" s="14" t="s">
        <v>134</v>
      </c>
      <c r="C97" s="14" t="s">
        <v>56</v>
      </c>
      <c r="D97" s="13" t="n">
        <v>5</v>
      </c>
    </row>
    <row r="98" customFormat="false" ht="15" hidden="false" customHeight="true" outlineLevel="0" collapsed="false">
      <c r="A98" s="12" t="s">
        <v>135</v>
      </c>
      <c r="B98" s="14" t="s">
        <v>136</v>
      </c>
      <c r="C98" s="14" t="s">
        <v>56</v>
      </c>
      <c r="D98" s="13" t="n">
        <v>6</v>
      </c>
    </row>
    <row r="99" customFormat="false" ht="15" hidden="false" customHeight="true" outlineLevel="0" collapsed="false">
      <c r="A99" s="12" t="s">
        <v>137</v>
      </c>
      <c r="B99" s="14" t="s">
        <v>138</v>
      </c>
      <c r="C99" s="14" t="s">
        <v>56</v>
      </c>
      <c r="D99" s="13" t="n">
        <v>7</v>
      </c>
    </row>
    <row r="100" customFormat="false" ht="15" hidden="false" customHeight="true" outlineLevel="0" collapsed="false">
      <c r="A100" s="12" t="s">
        <v>139</v>
      </c>
      <c r="B100" s="14" t="s">
        <v>140</v>
      </c>
      <c r="C100" s="14" t="s">
        <v>56</v>
      </c>
      <c r="D100" s="13" t="n">
        <v>8</v>
      </c>
    </row>
    <row r="101" customFormat="false" ht="15" hidden="false" customHeight="true" outlineLevel="0" collapsed="false">
      <c r="A101" s="12" t="s">
        <v>141</v>
      </c>
      <c r="B101" s="14" t="s">
        <v>142</v>
      </c>
      <c r="C101" s="14" t="s">
        <v>56</v>
      </c>
      <c r="D101" s="13" t="n">
        <v>9</v>
      </c>
    </row>
    <row r="102" customFormat="false" ht="15" hidden="false" customHeight="true" outlineLevel="0" collapsed="false">
      <c r="A102" s="15" t="s">
        <v>85</v>
      </c>
    </row>
    <row r="103" customFormat="false" ht="19.5" hidden="false" customHeight="true" outlineLevel="0" collapsed="false">
      <c r="A103" s="5" t="s">
        <v>14</v>
      </c>
      <c r="B103" s="5"/>
      <c r="C103" s="5"/>
      <c r="D103" s="5"/>
      <c r="E103" s="5"/>
      <c r="F103" s="5"/>
    </row>
    <row r="104" customFormat="false" ht="25.5" hidden="false" customHeight="true" outlineLevel="0" collapsed="false">
      <c r="A104" s="11" t="s">
        <v>52</v>
      </c>
      <c r="B104" s="11" t="s">
        <v>96</v>
      </c>
      <c r="C104" s="11" t="s">
        <v>143</v>
      </c>
      <c r="D104" s="11" t="s">
        <v>144</v>
      </c>
      <c r="E104" s="11" t="s">
        <v>54</v>
      </c>
      <c r="F104" s="11" t="s">
        <v>87</v>
      </c>
    </row>
    <row r="105" customFormat="false" ht="15" hidden="false" customHeight="true" outlineLevel="0" collapsed="false">
      <c r="A105" s="12" t="s">
        <v>145</v>
      </c>
      <c r="B105" s="14" t="s">
        <v>146</v>
      </c>
      <c r="C105" s="14" t="s">
        <v>147</v>
      </c>
      <c r="D105" s="14" t="s">
        <v>148</v>
      </c>
      <c r="E105" s="14" t="s">
        <v>56</v>
      </c>
      <c r="F105" s="13" t="n">
        <v>1</v>
      </c>
    </row>
    <row r="106" customFormat="false" ht="15" hidden="false" customHeight="true" outlineLevel="0" collapsed="false">
      <c r="A106" s="12" t="s">
        <v>149</v>
      </c>
      <c r="B106" s="14" t="s">
        <v>150</v>
      </c>
      <c r="C106" s="14" t="s">
        <v>151</v>
      </c>
      <c r="D106" s="14" t="s">
        <v>148</v>
      </c>
      <c r="E106" s="14" t="s">
        <v>56</v>
      </c>
      <c r="F106" s="13" t="n">
        <v>2</v>
      </c>
    </row>
    <row r="107" customFormat="false" ht="15" hidden="false" customHeight="true" outlineLevel="0" collapsed="false">
      <c r="A107" s="12" t="s">
        <v>152</v>
      </c>
      <c r="B107" s="14" t="s">
        <v>153</v>
      </c>
      <c r="C107" s="14" t="s">
        <v>154</v>
      </c>
      <c r="D107" s="14" t="s">
        <v>148</v>
      </c>
      <c r="E107" s="14" t="s">
        <v>56</v>
      </c>
      <c r="F107" s="13" t="n">
        <v>3</v>
      </c>
    </row>
    <row r="108" customFormat="false" ht="15" hidden="false" customHeight="true" outlineLevel="0" collapsed="false">
      <c r="A108" s="12" t="s">
        <v>155</v>
      </c>
      <c r="B108" s="14" t="s">
        <v>156</v>
      </c>
      <c r="C108" s="14" t="s">
        <v>157</v>
      </c>
      <c r="D108" s="14" t="s">
        <v>148</v>
      </c>
      <c r="E108" s="14" t="s">
        <v>56</v>
      </c>
      <c r="F108" s="13" t="n">
        <v>4</v>
      </c>
    </row>
    <row r="109" customFormat="false" ht="15" hidden="false" customHeight="true" outlineLevel="0" collapsed="false">
      <c r="A109" s="12" t="s">
        <v>158</v>
      </c>
      <c r="B109" s="14" t="s">
        <v>159</v>
      </c>
      <c r="C109" s="14" t="s">
        <v>160</v>
      </c>
      <c r="D109" s="14" t="s">
        <v>148</v>
      </c>
      <c r="E109" s="14" t="s">
        <v>56</v>
      </c>
      <c r="F109" s="13" t="n">
        <v>5</v>
      </c>
    </row>
    <row r="110" customFormat="false" ht="15" hidden="false" customHeight="true" outlineLevel="0" collapsed="false">
      <c r="A110" s="12" t="s">
        <v>161</v>
      </c>
      <c r="B110" s="14" t="s">
        <v>162</v>
      </c>
      <c r="C110" s="14" t="s">
        <v>163</v>
      </c>
      <c r="D110" s="14" t="s">
        <v>148</v>
      </c>
      <c r="E110" s="14" t="s">
        <v>56</v>
      </c>
      <c r="F110" s="13" t="n">
        <v>6</v>
      </c>
    </row>
    <row r="111" customFormat="false" ht="15" hidden="false" customHeight="true" outlineLevel="0" collapsed="false">
      <c r="A111" s="12" t="s">
        <v>164</v>
      </c>
      <c r="B111" s="14" t="s">
        <v>165</v>
      </c>
      <c r="C111" s="14" t="s">
        <v>166</v>
      </c>
      <c r="D111" s="14" t="s">
        <v>148</v>
      </c>
      <c r="E111" s="14" t="s">
        <v>56</v>
      </c>
      <c r="F111" s="13" t="n">
        <v>7</v>
      </c>
    </row>
    <row r="112" customFormat="false" ht="15" hidden="false" customHeight="true" outlineLevel="0" collapsed="false">
      <c r="A112" s="12" t="s">
        <v>167</v>
      </c>
      <c r="B112" s="14" t="s">
        <v>168</v>
      </c>
      <c r="C112" s="14" t="s">
        <v>169</v>
      </c>
      <c r="D112" s="14" t="s">
        <v>148</v>
      </c>
      <c r="E112" s="14" t="s">
        <v>56</v>
      </c>
      <c r="F112" s="13" t="n">
        <v>8</v>
      </c>
    </row>
    <row r="113" customFormat="false" ht="15" hidden="false" customHeight="true" outlineLevel="0" collapsed="false">
      <c r="A113" s="12" t="s">
        <v>170</v>
      </c>
      <c r="B113" s="14" t="s">
        <v>171</v>
      </c>
      <c r="C113" s="14" t="s">
        <v>172</v>
      </c>
      <c r="D113" s="14" t="s">
        <v>148</v>
      </c>
      <c r="E113" s="14" t="s">
        <v>56</v>
      </c>
      <c r="F113" s="13" t="n">
        <v>9</v>
      </c>
    </row>
    <row r="114" customFormat="false" ht="15" hidden="false" customHeight="true" outlineLevel="0" collapsed="false">
      <c r="A114" s="12" t="s">
        <v>173</v>
      </c>
      <c r="B114" s="14" t="s">
        <v>174</v>
      </c>
      <c r="C114" s="14" t="s">
        <v>175</v>
      </c>
      <c r="D114" s="14" t="s">
        <v>176</v>
      </c>
      <c r="E114" s="14" t="s">
        <v>56</v>
      </c>
      <c r="F114" s="13" t="n">
        <v>10</v>
      </c>
    </row>
    <row r="115" customFormat="false" ht="15" hidden="false" customHeight="true" outlineLevel="0" collapsed="false">
      <c r="A115" s="12" t="s">
        <v>177</v>
      </c>
      <c r="B115" s="14" t="s">
        <v>178</v>
      </c>
      <c r="C115" s="14" t="s">
        <v>179</v>
      </c>
      <c r="D115" s="14" t="s">
        <v>176</v>
      </c>
      <c r="E115" s="14" t="s">
        <v>56</v>
      </c>
      <c r="F115" s="13" t="n">
        <v>11</v>
      </c>
    </row>
    <row r="116" customFormat="false" ht="15" hidden="false" customHeight="true" outlineLevel="0" collapsed="false">
      <c r="A116" s="12" t="s">
        <v>180</v>
      </c>
      <c r="B116" s="14" t="s">
        <v>181</v>
      </c>
      <c r="C116" s="14" t="s">
        <v>182</v>
      </c>
      <c r="D116" s="14" t="s">
        <v>176</v>
      </c>
      <c r="E116" s="14" t="s">
        <v>56</v>
      </c>
      <c r="F116" s="13" t="n">
        <v>12</v>
      </c>
    </row>
    <row r="117" customFormat="false" ht="15" hidden="false" customHeight="true" outlineLevel="0" collapsed="false">
      <c r="A117" s="12" t="s">
        <v>183</v>
      </c>
      <c r="B117" s="14" t="s">
        <v>184</v>
      </c>
      <c r="C117" s="14" t="s">
        <v>185</v>
      </c>
      <c r="D117" s="14" t="s">
        <v>176</v>
      </c>
      <c r="E117" s="14" t="s">
        <v>56</v>
      </c>
      <c r="F117" s="13" t="n">
        <v>13</v>
      </c>
    </row>
    <row r="118" customFormat="false" ht="15" hidden="false" customHeight="true" outlineLevel="0" collapsed="false">
      <c r="A118" s="12" t="s">
        <v>186</v>
      </c>
      <c r="B118" s="14" t="s">
        <v>187</v>
      </c>
      <c r="C118" s="14" t="s">
        <v>188</v>
      </c>
      <c r="D118" s="14" t="s">
        <v>176</v>
      </c>
      <c r="E118" s="14" t="s">
        <v>56</v>
      </c>
      <c r="F118" s="13" t="n">
        <v>14</v>
      </c>
    </row>
    <row r="119" customFormat="false" ht="15" hidden="false" customHeight="true" outlineLevel="0" collapsed="false">
      <c r="A119" s="12" t="s">
        <v>189</v>
      </c>
      <c r="B119" s="14" t="s">
        <v>190</v>
      </c>
      <c r="C119" s="14" t="s">
        <v>191</v>
      </c>
      <c r="D119" s="14" t="s">
        <v>176</v>
      </c>
      <c r="E119" s="14" t="s">
        <v>56</v>
      </c>
      <c r="F119" s="13" t="n">
        <v>15</v>
      </c>
    </row>
    <row r="120" customFormat="false" ht="15" hidden="false" customHeight="true" outlineLevel="0" collapsed="false">
      <c r="A120" s="12" t="s">
        <v>192</v>
      </c>
      <c r="B120" s="14" t="s">
        <v>193</v>
      </c>
      <c r="C120" s="14" t="s">
        <v>194</v>
      </c>
      <c r="D120" s="14" t="s">
        <v>176</v>
      </c>
      <c r="E120" s="14" t="s">
        <v>56</v>
      </c>
      <c r="F120" s="13" t="n">
        <v>16</v>
      </c>
    </row>
    <row r="121" customFormat="false" ht="15" hidden="false" customHeight="true" outlineLevel="0" collapsed="false">
      <c r="A121" s="12" t="s">
        <v>195</v>
      </c>
      <c r="B121" s="14" t="s">
        <v>196</v>
      </c>
      <c r="C121" s="14" t="s">
        <v>197</v>
      </c>
      <c r="D121" s="14" t="s">
        <v>176</v>
      </c>
      <c r="E121" s="14" t="s">
        <v>56</v>
      </c>
      <c r="F121" s="13" t="n">
        <v>17</v>
      </c>
    </row>
    <row r="122" customFormat="false" ht="15" hidden="false" customHeight="true" outlineLevel="0" collapsed="false">
      <c r="A122" s="12" t="s">
        <v>198</v>
      </c>
      <c r="B122" s="14" t="s">
        <v>199</v>
      </c>
      <c r="C122" s="14" t="s">
        <v>200</v>
      </c>
      <c r="D122" s="14" t="s">
        <v>176</v>
      </c>
      <c r="E122" s="14" t="s">
        <v>56</v>
      </c>
      <c r="F122" s="13" t="n">
        <v>18</v>
      </c>
    </row>
    <row r="123" customFormat="false" ht="15" hidden="false" customHeight="true" outlineLevel="0" collapsed="false">
      <c r="A123" s="12" t="s">
        <v>201</v>
      </c>
      <c r="B123" s="14" t="s">
        <v>202</v>
      </c>
      <c r="C123" s="14" t="s">
        <v>203</v>
      </c>
      <c r="D123" s="14" t="s">
        <v>176</v>
      </c>
      <c r="E123" s="14" t="s">
        <v>56</v>
      </c>
      <c r="F123" s="13" t="n">
        <v>19</v>
      </c>
    </row>
    <row r="124" customFormat="false" ht="15" hidden="false" customHeight="true" outlineLevel="0" collapsed="false">
      <c r="A124" s="12" t="s">
        <v>204</v>
      </c>
      <c r="B124" s="14" t="s">
        <v>205</v>
      </c>
      <c r="C124" s="14" t="s">
        <v>206</v>
      </c>
      <c r="D124" s="14" t="s">
        <v>176</v>
      </c>
      <c r="E124" s="14" t="s">
        <v>56</v>
      </c>
      <c r="F124" s="13" t="n">
        <v>20</v>
      </c>
    </row>
    <row r="125" customFormat="false" ht="15" hidden="false" customHeight="true" outlineLevel="0" collapsed="false">
      <c r="A125" s="12" t="s">
        <v>207</v>
      </c>
      <c r="B125" s="14" t="s">
        <v>208</v>
      </c>
      <c r="C125" s="14" t="s">
        <v>209</v>
      </c>
      <c r="D125" s="14" t="s">
        <v>176</v>
      </c>
      <c r="E125" s="14" t="s">
        <v>56</v>
      </c>
      <c r="F125" s="13" t="n">
        <v>21</v>
      </c>
    </row>
    <row r="126" customFormat="false" ht="15" hidden="false" customHeight="true" outlineLevel="0" collapsed="false">
      <c r="A126" s="12" t="s">
        <v>210</v>
      </c>
      <c r="B126" s="14" t="s">
        <v>211</v>
      </c>
      <c r="C126" s="14" t="s">
        <v>212</v>
      </c>
      <c r="D126" s="14" t="s">
        <v>176</v>
      </c>
      <c r="E126" s="14" t="s">
        <v>56</v>
      </c>
      <c r="F126" s="13" t="n">
        <v>22</v>
      </c>
    </row>
    <row r="127" customFormat="false" ht="15" hidden="false" customHeight="true" outlineLevel="0" collapsed="false">
      <c r="A127" s="12" t="s">
        <v>213</v>
      </c>
      <c r="B127" s="14" t="s">
        <v>214</v>
      </c>
      <c r="C127" s="14" t="s">
        <v>215</v>
      </c>
      <c r="D127" s="14" t="s">
        <v>176</v>
      </c>
      <c r="E127" s="14" t="s">
        <v>56</v>
      </c>
      <c r="F127" s="13" t="n">
        <v>23</v>
      </c>
    </row>
    <row r="128" customFormat="false" ht="15" hidden="false" customHeight="true" outlineLevel="0" collapsed="false">
      <c r="A128" s="12" t="s">
        <v>216</v>
      </c>
      <c r="B128" s="14" t="s">
        <v>217</v>
      </c>
      <c r="C128" s="14" t="s">
        <v>218</v>
      </c>
      <c r="D128" s="14" t="s">
        <v>176</v>
      </c>
      <c r="E128" s="14" t="s">
        <v>56</v>
      </c>
      <c r="F128" s="13" t="n">
        <v>24</v>
      </c>
    </row>
    <row r="129" customFormat="false" ht="15" hidden="false" customHeight="true" outlineLevel="0" collapsed="false">
      <c r="A129" s="12" t="s">
        <v>219</v>
      </c>
      <c r="B129" s="14" t="s">
        <v>220</v>
      </c>
      <c r="C129" s="14" t="s">
        <v>221</v>
      </c>
      <c r="D129" s="14" t="s">
        <v>176</v>
      </c>
      <c r="E129" s="14" t="s">
        <v>56</v>
      </c>
      <c r="F129" s="13" t="n">
        <v>25</v>
      </c>
    </row>
    <row r="130" customFormat="false" ht="15" hidden="false" customHeight="true" outlineLevel="0" collapsed="false">
      <c r="A130" s="12" t="s">
        <v>222</v>
      </c>
      <c r="B130" s="14" t="s">
        <v>223</v>
      </c>
      <c r="C130" s="14" t="s">
        <v>224</v>
      </c>
      <c r="D130" s="14" t="s">
        <v>176</v>
      </c>
      <c r="E130" s="14" t="s">
        <v>56</v>
      </c>
      <c r="F130" s="13" t="n">
        <v>26</v>
      </c>
    </row>
    <row r="131" customFormat="false" ht="15" hidden="false" customHeight="true" outlineLevel="0" collapsed="false">
      <c r="A131" s="12" t="s">
        <v>225</v>
      </c>
      <c r="B131" s="14" t="s">
        <v>226</v>
      </c>
      <c r="C131" s="14" t="s">
        <v>227</v>
      </c>
      <c r="D131" s="14" t="s">
        <v>176</v>
      </c>
      <c r="E131" s="14" t="s">
        <v>56</v>
      </c>
      <c r="F131" s="13" t="n">
        <v>27</v>
      </c>
    </row>
    <row r="132" customFormat="false" ht="15" hidden="false" customHeight="true" outlineLevel="0" collapsed="false">
      <c r="A132" s="12" t="s">
        <v>228</v>
      </c>
      <c r="B132" s="14" t="s">
        <v>229</v>
      </c>
      <c r="C132" s="14" t="s">
        <v>230</v>
      </c>
      <c r="D132" s="14" t="s">
        <v>176</v>
      </c>
      <c r="E132" s="14" t="s">
        <v>56</v>
      </c>
      <c r="F132" s="13" t="n">
        <v>28</v>
      </c>
    </row>
    <row r="133" customFormat="false" ht="15" hidden="false" customHeight="true" outlineLevel="0" collapsed="false">
      <c r="A133" s="12" t="s">
        <v>231</v>
      </c>
      <c r="B133" s="14" t="s">
        <v>232</v>
      </c>
      <c r="C133" s="14" t="s">
        <v>233</v>
      </c>
      <c r="D133" s="14" t="s">
        <v>176</v>
      </c>
      <c r="E133" s="14" t="s">
        <v>56</v>
      </c>
      <c r="F133" s="13" t="n">
        <v>29</v>
      </c>
    </row>
    <row r="134" customFormat="false" ht="15" hidden="false" customHeight="true" outlineLevel="0" collapsed="false">
      <c r="A134" s="12" t="s">
        <v>234</v>
      </c>
      <c r="B134" s="14" t="s">
        <v>235</v>
      </c>
      <c r="C134" s="14" t="s">
        <v>236</v>
      </c>
      <c r="D134" s="14" t="s">
        <v>176</v>
      </c>
      <c r="E134" s="14" t="s">
        <v>56</v>
      </c>
      <c r="F134" s="13" t="n">
        <v>30</v>
      </c>
    </row>
    <row r="135" customFormat="false" ht="15" hidden="false" customHeight="true" outlineLevel="0" collapsed="false">
      <c r="A135" s="12" t="s">
        <v>237</v>
      </c>
      <c r="B135" s="14" t="s">
        <v>238</v>
      </c>
      <c r="C135" s="14" t="s">
        <v>239</v>
      </c>
      <c r="D135" s="14" t="s">
        <v>176</v>
      </c>
      <c r="E135" s="14" t="s">
        <v>56</v>
      </c>
      <c r="F135" s="13" t="n">
        <v>31</v>
      </c>
    </row>
    <row r="136" customFormat="false" ht="15" hidden="false" customHeight="true" outlineLevel="0" collapsed="false">
      <c r="A136" s="12" t="s">
        <v>240</v>
      </c>
      <c r="B136" s="14" t="s">
        <v>241</v>
      </c>
      <c r="C136" s="14" t="s">
        <v>242</v>
      </c>
      <c r="D136" s="14" t="s">
        <v>176</v>
      </c>
      <c r="E136" s="14" t="s">
        <v>56</v>
      </c>
      <c r="F136" s="13" t="n">
        <v>32</v>
      </c>
    </row>
    <row r="137" customFormat="false" ht="15" hidden="false" customHeight="true" outlineLevel="0" collapsed="false">
      <c r="A137" s="12" t="s">
        <v>243</v>
      </c>
      <c r="B137" s="14" t="s">
        <v>244</v>
      </c>
      <c r="C137" s="14" t="s">
        <v>245</v>
      </c>
      <c r="D137" s="14" t="s">
        <v>176</v>
      </c>
      <c r="E137" s="14" t="s">
        <v>56</v>
      </c>
      <c r="F137" s="13" t="n">
        <v>33</v>
      </c>
    </row>
    <row r="138" customFormat="false" ht="15" hidden="false" customHeight="true" outlineLevel="0" collapsed="false">
      <c r="A138" s="12" t="s">
        <v>246</v>
      </c>
      <c r="B138" s="14" t="s">
        <v>247</v>
      </c>
      <c r="C138" s="14" t="s">
        <v>248</v>
      </c>
      <c r="D138" s="14" t="s">
        <v>176</v>
      </c>
      <c r="E138" s="14" t="s">
        <v>56</v>
      </c>
      <c r="F138" s="13" t="n">
        <v>34</v>
      </c>
    </row>
    <row r="139" customFormat="false" ht="15" hidden="false" customHeight="true" outlineLevel="0" collapsed="false">
      <c r="A139" s="12" t="s">
        <v>249</v>
      </c>
      <c r="B139" s="14" t="s">
        <v>250</v>
      </c>
      <c r="C139" s="14" t="s">
        <v>251</v>
      </c>
      <c r="D139" s="14" t="s">
        <v>176</v>
      </c>
      <c r="E139" s="14" t="s">
        <v>56</v>
      </c>
      <c r="F139" s="13" t="n">
        <v>35</v>
      </c>
    </row>
    <row r="140" customFormat="false" ht="15" hidden="false" customHeight="true" outlineLevel="0" collapsed="false">
      <c r="A140" s="12" t="s">
        <v>252</v>
      </c>
      <c r="B140" s="14" t="s">
        <v>253</v>
      </c>
      <c r="C140" s="14" t="s">
        <v>254</v>
      </c>
      <c r="D140" s="14" t="s">
        <v>176</v>
      </c>
      <c r="E140" s="14" t="s">
        <v>56</v>
      </c>
      <c r="F140" s="13" t="n">
        <v>36</v>
      </c>
    </row>
    <row r="141" customFormat="false" ht="15" hidden="false" customHeight="true" outlineLevel="0" collapsed="false">
      <c r="A141" s="12" t="s">
        <v>255</v>
      </c>
      <c r="B141" s="14" t="s">
        <v>256</v>
      </c>
      <c r="C141" s="14" t="s">
        <v>257</v>
      </c>
      <c r="D141" s="14" t="s">
        <v>176</v>
      </c>
      <c r="E141" s="14" t="s">
        <v>56</v>
      </c>
      <c r="F141" s="13" t="n">
        <v>37</v>
      </c>
    </row>
    <row r="142" customFormat="false" ht="15" hidden="false" customHeight="true" outlineLevel="0" collapsed="false">
      <c r="A142" s="12" t="s">
        <v>258</v>
      </c>
      <c r="B142" s="14" t="s">
        <v>259</v>
      </c>
      <c r="C142" s="14" t="s">
        <v>260</v>
      </c>
      <c r="D142" s="14" t="s">
        <v>176</v>
      </c>
      <c r="E142" s="14" t="s">
        <v>56</v>
      </c>
      <c r="F142" s="13" t="n">
        <v>38</v>
      </c>
    </row>
    <row r="143" customFormat="false" ht="15" hidden="false" customHeight="true" outlineLevel="0" collapsed="false">
      <c r="A143" s="12" t="s">
        <v>261</v>
      </c>
      <c r="B143" s="14" t="s">
        <v>262</v>
      </c>
      <c r="C143" s="14" t="s">
        <v>263</v>
      </c>
      <c r="D143" s="14" t="s">
        <v>176</v>
      </c>
      <c r="E143" s="14" t="s">
        <v>56</v>
      </c>
      <c r="F143" s="13" t="n">
        <v>39</v>
      </c>
    </row>
    <row r="144" customFormat="false" ht="15" hidden="false" customHeight="true" outlineLevel="0" collapsed="false">
      <c r="A144" s="12" t="s">
        <v>264</v>
      </c>
      <c r="B144" s="14" t="s">
        <v>265</v>
      </c>
      <c r="C144" s="14" t="s">
        <v>266</v>
      </c>
      <c r="D144" s="14" t="s">
        <v>176</v>
      </c>
      <c r="E144" s="14" t="s">
        <v>56</v>
      </c>
      <c r="F144" s="13" t="n">
        <v>40</v>
      </c>
    </row>
    <row r="145" customFormat="false" ht="15" hidden="false" customHeight="true" outlineLevel="0" collapsed="false">
      <c r="A145" s="15" t="s">
        <v>85</v>
      </c>
    </row>
    <row r="146" customFormat="false" ht="19.5" hidden="false" customHeight="true" outlineLevel="0" collapsed="false">
      <c r="A146" s="5" t="s">
        <v>16</v>
      </c>
      <c r="B146" s="5"/>
      <c r="C146" s="5"/>
      <c r="D146" s="5"/>
    </row>
    <row r="147" customFormat="false" ht="25.5" hidden="false" customHeight="true" outlineLevel="0" collapsed="false">
      <c r="A147" s="11" t="s">
        <v>52</v>
      </c>
      <c r="B147" s="11" t="s">
        <v>96</v>
      </c>
      <c r="C147" s="11" t="s">
        <v>54</v>
      </c>
      <c r="D147" s="11" t="s">
        <v>87</v>
      </c>
    </row>
    <row r="148" customFormat="false" ht="15" hidden="false" customHeight="true" outlineLevel="0" collapsed="false">
      <c r="A148" s="12" t="s">
        <v>267</v>
      </c>
      <c r="B148" s="14" t="s">
        <v>268</v>
      </c>
      <c r="C148" s="14" t="s">
        <v>56</v>
      </c>
      <c r="D148" s="13" t="n">
        <v>1</v>
      </c>
    </row>
    <row r="149" customFormat="false" ht="15" hidden="false" customHeight="true" outlineLevel="0" collapsed="false">
      <c r="A149" s="12" t="s">
        <v>269</v>
      </c>
      <c r="B149" s="14" t="s">
        <v>270</v>
      </c>
      <c r="C149" s="14" t="s">
        <v>56</v>
      </c>
      <c r="D149" s="13" t="n">
        <v>2</v>
      </c>
    </row>
    <row r="150" customFormat="false" ht="15" hidden="false" customHeight="true" outlineLevel="0" collapsed="false">
      <c r="A150" s="12" t="s">
        <v>271</v>
      </c>
      <c r="B150" s="14" t="s">
        <v>272</v>
      </c>
      <c r="C150" s="14" t="s">
        <v>56</v>
      </c>
      <c r="D150" s="13" t="n">
        <v>3</v>
      </c>
    </row>
    <row r="151" customFormat="false" ht="15" hidden="false" customHeight="true" outlineLevel="0" collapsed="false">
      <c r="A151" s="12" t="s">
        <v>273</v>
      </c>
      <c r="B151" s="14" t="s">
        <v>274</v>
      </c>
      <c r="C151" s="14" t="s">
        <v>56</v>
      </c>
      <c r="D151" s="13" t="n">
        <v>4</v>
      </c>
    </row>
    <row r="152" customFormat="false" ht="15" hidden="false" customHeight="true" outlineLevel="0" collapsed="false">
      <c r="A152" s="12" t="s">
        <v>275</v>
      </c>
      <c r="B152" s="14" t="s">
        <v>276</v>
      </c>
      <c r="C152" s="14" t="s">
        <v>56</v>
      </c>
      <c r="D152" s="13" t="n">
        <v>5</v>
      </c>
    </row>
    <row r="153" customFormat="false" ht="15" hidden="false" customHeight="true" outlineLevel="0" collapsed="false">
      <c r="A153" s="12" t="s">
        <v>277</v>
      </c>
      <c r="B153" s="14" t="s">
        <v>278</v>
      </c>
      <c r="C153" s="14" t="s">
        <v>56</v>
      </c>
      <c r="D153" s="13" t="n">
        <v>6</v>
      </c>
    </row>
    <row r="154" customFormat="false" ht="15" hidden="false" customHeight="true" outlineLevel="0" collapsed="false">
      <c r="A154" s="12" t="s">
        <v>279</v>
      </c>
      <c r="B154" s="14" t="s">
        <v>280</v>
      </c>
      <c r="C154" s="14" t="s">
        <v>56</v>
      </c>
      <c r="D154" s="13" t="n">
        <v>7</v>
      </c>
    </row>
    <row r="155" customFormat="false" ht="15" hidden="false" customHeight="true" outlineLevel="0" collapsed="false">
      <c r="A155" s="12" t="s">
        <v>281</v>
      </c>
      <c r="B155" s="14" t="s">
        <v>282</v>
      </c>
      <c r="C155" s="14" t="s">
        <v>56</v>
      </c>
      <c r="D155" s="13" t="n">
        <v>8</v>
      </c>
    </row>
    <row r="156" customFormat="false" ht="15" hidden="false" customHeight="true" outlineLevel="0" collapsed="false">
      <c r="A156" s="12" t="s">
        <v>283</v>
      </c>
      <c r="B156" s="14" t="s">
        <v>284</v>
      </c>
      <c r="C156" s="14" t="s">
        <v>56</v>
      </c>
      <c r="D156" s="13" t="n">
        <v>9</v>
      </c>
    </row>
    <row r="157" customFormat="false" ht="15" hidden="false" customHeight="true" outlineLevel="0" collapsed="false">
      <c r="A157" s="12" t="s">
        <v>285</v>
      </c>
      <c r="B157" s="14" t="s">
        <v>286</v>
      </c>
      <c r="C157" s="14" t="s">
        <v>56</v>
      </c>
      <c r="D157" s="13" t="n">
        <v>10</v>
      </c>
    </row>
    <row r="158" customFormat="false" ht="15" hidden="false" customHeight="true" outlineLevel="0" collapsed="false">
      <c r="A158" s="12" t="s">
        <v>287</v>
      </c>
      <c r="B158" s="14" t="s">
        <v>288</v>
      </c>
      <c r="C158" s="14" t="s">
        <v>56</v>
      </c>
      <c r="D158" s="13" t="n">
        <v>11</v>
      </c>
    </row>
    <row r="159" customFormat="false" ht="15" hidden="false" customHeight="true" outlineLevel="0" collapsed="false">
      <c r="A159" s="12" t="s">
        <v>289</v>
      </c>
      <c r="B159" s="14" t="s">
        <v>290</v>
      </c>
      <c r="C159" s="14" t="s">
        <v>56</v>
      </c>
      <c r="D159" s="13" t="n">
        <v>12</v>
      </c>
    </row>
    <row r="160" customFormat="false" ht="15" hidden="false" customHeight="true" outlineLevel="0" collapsed="false">
      <c r="A160" s="12" t="s">
        <v>291</v>
      </c>
      <c r="B160" s="14" t="s">
        <v>292</v>
      </c>
      <c r="C160" s="14" t="s">
        <v>56</v>
      </c>
      <c r="D160" s="13" t="n">
        <v>13</v>
      </c>
    </row>
    <row r="161" customFormat="false" ht="15" hidden="false" customHeight="true" outlineLevel="0" collapsed="false">
      <c r="A161" s="12" t="s">
        <v>293</v>
      </c>
      <c r="B161" s="14" t="s">
        <v>294</v>
      </c>
      <c r="C161" s="14" t="s">
        <v>56</v>
      </c>
      <c r="D161" s="13" t="n">
        <v>14</v>
      </c>
    </row>
    <row r="162" customFormat="false" ht="15" hidden="false" customHeight="true" outlineLevel="0" collapsed="false">
      <c r="A162" s="12" t="s">
        <v>295</v>
      </c>
      <c r="B162" s="14" t="s">
        <v>296</v>
      </c>
      <c r="C162" s="14" t="s">
        <v>56</v>
      </c>
      <c r="D162" s="13" t="n">
        <v>15</v>
      </c>
    </row>
    <row r="163" customFormat="false" ht="15" hidden="false" customHeight="true" outlineLevel="0" collapsed="false">
      <c r="A163" s="12" t="s">
        <v>297</v>
      </c>
      <c r="B163" s="14" t="s">
        <v>298</v>
      </c>
      <c r="C163" s="14" t="s">
        <v>56</v>
      </c>
      <c r="D163" s="13" t="n">
        <v>16</v>
      </c>
    </row>
    <row r="164" customFormat="false" ht="15" hidden="false" customHeight="true" outlineLevel="0" collapsed="false">
      <c r="A164" s="12" t="s">
        <v>299</v>
      </c>
      <c r="B164" s="14" t="s">
        <v>300</v>
      </c>
      <c r="C164" s="14" t="s">
        <v>56</v>
      </c>
      <c r="D164" s="13" t="n">
        <v>17</v>
      </c>
    </row>
    <row r="165" customFormat="false" ht="15" hidden="false" customHeight="true" outlineLevel="0" collapsed="false">
      <c r="A165" s="12" t="s">
        <v>301</v>
      </c>
      <c r="B165" s="14" t="s">
        <v>302</v>
      </c>
      <c r="C165" s="14" t="s">
        <v>56</v>
      </c>
      <c r="D165" s="13" t="n">
        <v>18</v>
      </c>
    </row>
    <row r="166" customFormat="false" ht="15" hidden="false" customHeight="true" outlineLevel="0" collapsed="false">
      <c r="A166" s="12" t="s">
        <v>303</v>
      </c>
      <c r="B166" s="14" t="s">
        <v>304</v>
      </c>
      <c r="C166" s="14" t="s">
        <v>56</v>
      </c>
      <c r="D166" s="13" t="n">
        <v>19</v>
      </c>
    </row>
    <row r="167" customFormat="false" ht="15" hidden="false" customHeight="true" outlineLevel="0" collapsed="false">
      <c r="A167" s="12" t="s">
        <v>305</v>
      </c>
      <c r="B167" s="14" t="s">
        <v>306</v>
      </c>
      <c r="C167" s="14" t="s">
        <v>56</v>
      </c>
      <c r="D167" s="13" t="n">
        <v>20</v>
      </c>
    </row>
    <row r="168" customFormat="false" ht="15" hidden="false" customHeight="true" outlineLevel="0" collapsed="false">
      <c r="A168" s="12" t="s">
        <v>307</v>
      </c>
      <c r="B168" s="14" t="s">
        <v>308</v>
      </c>
      <c r="C168" s="14" t="s">
        <v>56</v>
      </c>
      <c r="D168" s="13" t="n">
        <v>21</v>
      </c>
    </row>
    <row r="169" customFormat="false" ht="15" hidden="false" customHeight="true" outlineLevel="0" collapsed="false">
      <c r="A169" s="12" t="s">
        <v>309</v>
      </c>
      <c r="B169" s="14" t="s">
        <v>310</v>
      </c>
      <c r="C169" s="14" t="s">
        <v>56</v>
      </c>
      <c r="D169" s="13" t="n">
        <v>22</v>
      </c>
    </row>
    <row r="170" customFormat="false" ht="15" hidden="false" customHeight="true" outlineLevel="0" collapsed="false">
      <c r="A170" s="12" t="s">
        <v>311</v>
      </c>
      <c r="B170" s="14" t="s">
        <v>312</v>
      </c>
      <c r="C170" s="14" t="s">
        <v>56</v>
      </c>
      <c r="D170" s="13" t="n">
        <v>23</v>
      </c>
    </row>
    <row r="171" customFormat="false" ht="15" hidden="false" customHeight="true" outlineLevel="0" collapsed="false">
      <c r="A171" s="12" t="s">
        <v>313</v>
      </c>
      <c r="B171" s="14" t="s">
        <v>314</v>
      </c>
      <c r="C171" s="14" t="s">
        <v>56</v>
      </c>
      <c r="D171" s="13" t="n">
        <v>24</v>
      </c>
    </row>
    <row r="172" customFormat="false" ht="15" hidden="false" customHeight="true" outlineLevel="0" collapsed="false">
      <c r="A172" s="15" t="s">
        <v>85</v>
      </c>
    </row>
    <row r="173" customFormat="false" ht="19.5" hidden="false" customHeight="true" outlineLevel="0" collapsed="false">
      <c r="A173" s="5" t="s">
        <v>18</v>
      </c>
      <c r="B173" s="5"/>
      <c r="C173" s="5"/>
      <c r="D173" s="5"/>
    </row>
    <row r="174" customFormat="false" ht="25.5" hidden="false" customHeight="true" outlineLevel="0" collapsed="false">
      <c r="A174" s="11" t="s">
        <v>52</v>
      </c>
      <c r="B174" s="11" t="s">
        <v>96</v>
      </c>
      <c r="C174" s="11" t="s">
        <v>54</v>
      </c>
      <c r="D174" s="11" t="s">
        <v>87</v>
      </c>
    </row>
    <row r="175" customFormat="false" ht="15" hidden="false" customHeight="true" outlineLevel="0" collapsed="false">
      <c r="A175" s="12" t="s">
        <v>315</v>
      </c>
      <c r="B175" s="14" t="s">
        <v>316</v>
      </c>
      <c r="C175" s="14" t="s">
        <v>56</v>
      </c>
      <c r="D175" s="13" t="n">
        <v>1</v>
      </c>
    </row>
    <row r="176" customFormat="false" ht="15" hidden="false" customHeight="true" outlineLevel="0" collapsed="false">
      <c r="A176" s="12" t="s">
        <v>317</v>
      </c>
      <c r="B176" s="14" t="s">
        <v>318</v>
      </c>
      <c r="C176" s="14" t="s">
        <v>56</v>
      </c>
      <c r="D176" s="13" t="n">
        <v>2</v>
      </c>
    </row>
    <row r="177" customFormat="false" ht="15" hidden="false" customHeight="true" outlineLevel="0" collapsed="false">
      <c r="A177" s="12" t="s">
        <v>319</v>
      </c>
      <c r="B177" s="14" t="s">
        <v>320</v>
      </c>
      <c r="C177" s="14" t="s">
        <v>56</v>
      </c>
      <c r="D177" s="13" t="n">
        <v>3</v>
      </c>
    </row>
    <row r="178" customFormat="false" ht="15" hidden="false" customHeight="true" outlineLevel="0" collapsed="false">
      <c r="A178" s="12" t="s">
        <v>321</v>
      </c>
      <c r="B178" s="14" t="s">
        <v>322</v>
      </c>
      <c r="C178" s="14" t="s">
        <v>56</v>
      </c>
      <c r="D178" s="13" t="n">
        <v>4</v>
      </c>
    </row>
    <row r="179" customFormat="false" ht="15" hidden="false" customHeight="true" outlineLevel="0" collapsed="false">
      <c r="A179" s="12" t="s">
        <v>323</v>
      </c>
      <c r="B179" s="14" t="s">
        <v>324</v>
      </c>
      <c r="C179" s="14" t="s">
        <v>56</v>
      </c>
      <c r="D179" s="13" t="n">
        <v>5</v>
      </c>
    </row>
    <row r="180" customFormat="false" ht="15" hidden="false" customHeight="true" outlineLevel="0" collapsed="false">
      <c r="A180" s="12" t="s">
        <v>325</v>
      </c>
      <c r="B180" s="14" t="s">
        <v>326</v>
      </c>
      <c r="C180" s="14" t="s">
        <v>56</v>
      </c>
      <c r="D180" s="13" t="n">
        <v>6</v>
      </c>
    </row>
    <row r="181" customFormat="false" ht="15" hidden="false" customHeight="true" outlineLevel="0" collapsed="false">
      <c r="A181" s="12" t="s">
        <v>327</v>
      </c>
      <c r="B181" s="14" t="s">
        <v>328</v>
      </c>
      <c r="C181" s="14" t="s">
        <v>56</v>
      </c>
      <c r="D181" s="13" t="n">
        <v>7</v>
      </c>
    </row>
    <row r="182" customFormat="false" ht="15" hidden="false" customHeight="true" outlineLevel="0" collapsed="false">
      <c r="A182" s="12" t="s">
        <v>329</v>
      </c>
      <c r="B182" s="14" t="s">
        <v>330</v>
      </c>
      <c r="C182" s="14" t="s">
        <v>56</v>
      </c>
      <c r="D182" s="13" t="n">
        <v>8</v>
      </c>
    </row>
    <row r="183" customFormat="false" ht="15" hidden="false" customHeight="true" outlineLevel="0" collapsed="false">
      <c r="A183" s="12" t="s">
        <v>331</v>
      </c>
      <c r="B183" s="14" t="s">
        <v>332</v>
      </c>
      <c r="C183" s="14" t="s">
        <v>56</v>
      </c>
      <c r="D183" s="13" t="n">
        <v>9</v>
      </c>
    </row>
    <row r="184" customFormat="false" ht="15" hidden="false" customHeight="true" outlineLevel="0" collapsed="false">
      <c r="A184" s="12" t="s">
        <v>333</v>
      </c>
      <c r="B184" s="14" t="s">
        <v>334</v>
      </c>
      <c r="C184" s="14" t="s">
        <v>56</v>
      </c>
      <c r="D184" s="13" t="n">
        <v>10</v>
      </c>
    </row>
    <row r="185" customFormat="false" ht="15" hidden="false" customHeight="true" outlineLevel="0" collapsed="false">
      <c r="A185" s="12" t="s">
        <v>335</v>
      </c>
      <c r="B185" s="14" t="s">
        <v>336</v>
      </c>
      <c r="C185" s="14" t="s">
        <v>56</v>
      </c>
      <c r="D185" s="13" t="n">
        <v>11</v>
      </c>
    </row>
    <row r="186" customFormat="false" ht="15" hidden="false" customHeight="true" outlineLevel="0" collapsed="false">
      <c r="A186" s="12" t="s">
        <v>337</v>
      </c>
      <c r="B186" s="14" t="s">
        <v>338</v>
      </c>
      <c r="C186" s="14" t="s">
        <v>56</v>
      </c>
      <c r="D186" s="13" t="n">
        <v>12</v>
      </c>
    </row>
    <row r="187" customFormat="false" ht="15" hidden="false" customHeight="true" outlineLevel="0" collapsed="false">
      <c r="A187" s="12" t="s">
        <v>339</v>
      </c>
      <c r="B187" s="14" t="s">
        <v>340</v>
      </c>
      <c r="C187" s="14" t="s">
        <v>56</v>
      </c>
      <c r="D187" s="13" t="n">
        <v>13</v>
      </c>
    </row>
    <row r="188" customFormat="false" ht="15" hidden="false" customHeight="true" outlineLevel="0" collapsed="false">
      <c r="A188" s="12" t="s">
        <v>341</v>
      </c>
      <c r="B188" s="14" t="s">
        <v>342</v>
      </c>
      <c r="C188" s="14" t="s">
        <v>56</v>
      </c>
      <c r="D188" s="13" t="n">
        <v>14</v>
      </c>
    </row>
    <row r="189" customFormat="false" ht="15" hidden="false" customHeight="true" outlineLevel="0" collapsed="false">
      <c r="A189" s="12" t="s">
        <v>343</v>
      </c>
      <c r="B189" s="14" t="s">
        <v>344</v>
      </c>
      <c r="C189" s="14" t="s">
        <v>56</v>
      </c>
      <c r="D189" s="13" t="n">
        <v>15</v>
      </c>
    </row>
    <row r="190" customFormat="false" ht="15" hidden="false" customHeight="true" outlineLevel="0" collapsed="false">
      <c r="A190" s="12" t="s">
        <v>345</v>
      </c>
      <c r="B190" s="14" t="s">
        <v>346</v>
      </c>
      <c r="C190" s="14" t="s">
        <v>56</v>
      </c>
      <c r="D190" s="13" t="n">
        <v>16</v>
      </c>
    </row>
    <row r="191" customFormat="false" ht="15" hidden="false" customHeight="true" outlineLevel="0" collapsed="false">
      <c r="A191" s="12" t="s">
        <v>347</v>
      </c>
      <c r="B191" s="14" t="s">
        <v>348</v>
      </c>
      <c r="C191" s="14" t="s">
        <v>56</v>
      </c>
      <c r="D191" s="13" t="n">
        <v>17</v>
      </c>
    </row>
    <row r="192" customFormat="false" ht="15" hidden="false" customHeight="true" outlineLevel="0" collapsed="false">
      <c r="A192" s="12" t="s">
        <v>349</v>
      </c>
      <c r="B192" s="14" t="s">
        <v>350</v>
      </c>
      <c r="C192" s="14" t="s">
        <v>56</v>
      </c>
      <c r="D192" s="13" t="n">
        <v>18</v>
      </c>
    </row>
    <row r="193" customFormat="false" ht="15" hidden="false" customHeight="true" outlineLevel="0" collapsed="false">
      <c r="A193" s="12" t="s">
        <v>351</v>
      </c>
      <c r="B193" s="14" t="s">
        <v>352</v>
      </c>
      <c r="C193" s="14" t="s">
        <v>56</v>
      </c>
      <c r="D193" s="13" t="n">
        <v>19</v>
      </c>
    </row>
    <row r="194" customFormat="false" ht="15" hidden="false" customHeight="true" outlineLevel="0" collapsed="false">
      <c r="A194" s="12" t="s">
        <v>353</v>
      </c>
      <c r="B194" s="14" t="s">
        <v>354</v>
      </c>
      <c r="C194" s="14" t="s">
        <v>56</v>
      </c>
      <c r="D194" s="13" t="n">
        <v>20</v>
      </c>
    </row>
    <row r="195" customFormat="false" ht="15" hidden="false" customHeight="true" outlineLevel="0" collapsed="false">
      <c r="A195" s="12" t="s">
        <v>355</v>
      </c>
      <c r="B195" s="14" t="s">
        <v>356</v>
      </c>
      <c r="C195" s="14" t="s">
        <v>56</v>
      </c>
      <c r="D195" s="13" t="n">
        <v>21</v>
      </c>
    </row>
    <row r="196" customFormat="false" ht="15" hidden="false" customHeight="true" outlineLevel="0" collapsed="false">
      <c r="A196" s="12" t="s">
        <v>357</v>
      </c>
      <c r="B196" s="14" t="s">
        <v>358</v>
      </c>
      <c r="C196" s="14" t="s">
        <v>56</v>
      </c>
      <c r="D196" s="13" t="n">
        <v>22</v>
      </c>
    </row>
    <row r="197" customFormat="false" ht="15" hidden="false" customHeight="true" outlineLevel="0" collapsed="false">
      <c r="A197" s="12" t="s">
        <v>359</v>
      </c>
      <c r="B197" s="14" t="s">
        <v>360</v>
      </c>
      <c r="C197" s="14" t="s">
        <v>56</v>
      </c>
      <c r="D197" s="13" t="n">
        <v>23</v>
      </c>
    </row>
    <row r="198" customFormat="false" ht="15" hidden="false" customHeight="true" outlineLevel="0" collapsed="false">
      <c r="A198" s="12" t="s">
        <v>361</v>
      </c>
      <c r="B198" s="14" t="s">
        <v>362</v>
      </c>
      <c r="C198" s="14" t="s">
        <v>56</v>
      </c>
      <c r="D198" s="13" t="n">
        <v>24</v>
      </c>
    </row>
    <row r="199" customFormat="false" ht="15" hidden="false" customHeight="true" outlineLevel="0" collapsed="false">
      <c r="A199" s="12" t="s">
        <v>363</v>
      </c>
      <c r="B199" s="14" t="s">
        <v>364</v>
      </c>
      <c r="C199" s="14" t="s">
        <v>56</v>
      </c>
      <c r="D199" s="13" t="n">
        <v>25</v>
      </c>
    </row>
    <row r="200" customFormat="false" ht="15" hidden="false" customHeight="true" outlineLevel="0" collapsed="false">
      <c r="A200" s="12" t="s">
        <v>365</v>
      </c>
      <c r="B200" s="14" t="s">
        <v>366</v>
      </c>
      <c r="C200" s="14" t="s">
        <v>56</v>
      </c>
      <c r="D200" s="13" t="n">
        <v>26</v>
      </c>
    </row>
    <row r="201" customFormat="false" ht="15" hidden="false" customHeight="true" outlineLevel="0" collapsed="false">
      <c r="A201" s="12" t="s">
        <v>367</v>
      </c>
      <c r="B201" s="14" t="s">
        <v>368</v>
      </c>
      <c r="C201" s="14" t="s">
        <v>56</v>
      </c>
      <c r="D201" s="13" t="n">
        <v>27</v>
      </c>
    </row>
    <row r="202" customFormat="false" ht="15" hidden="false" customHeight="true" outlineLevel="0" collapsed="false">
      <c r="A202" s="12" t="s">
        <v>369</v>
      </c>
      <c r="B202" s="14" t="s">
        <v>370</v>
      </c>
      <c r="C202" s="14" t="s">
        <v>56</v>
      </c>
      <c r="D202" s="13" t="n">
        <v>28</v>
      </c>
    </row>
    <row r="203" customFormat="false" ht="15" hidden="false" customHeight="true" outlineLevel="0" collapsed="false">
      <c r="A203" s="12" t="s">
        <v>371</v>
      </c>
      <c r="B203" s="14" t="s">
        <v>372</v>
      </c>
      <c r="C203" s="14" t="s">
        <v>56</v>
      </c>
      <c r="D203" s="13" t="n">
        <v>29</v>
      </c>
    </row>
    <row r="204" customFormat="false" ht="15" hidden="false" customHeight="true" outlineLevel="0" collapsed="false">
      <c r="A204" s="12" t="s">
        <v>373</v>
      </c>
      <c r="B204" s="14" t="s">
        <v>314</v>
      </c>
      <c r="C204" s="14" t="s">
        <v>56</v>
      </c>
      <c r="D204" s="13" t="n">
        <v>30</v>
      </c>
    </row>
    <row r="205" customFormat="false" ht="15" hidden="false" customHeight="true" outlineLevel="0" collapsed="false">
      <c r="A205" s="15" t="s">
        <v>85</v>
      </c>
    </row>
    <row r="206" customFormat="false" ht="19.5" hidden="false" customHeight="true" outlineLevel="0" collapsed="false">
      <c r="A206" s="5" t="s">
        <v>20</v>
      </c>
      <c r="B206" s="5"/>
      <c r="C206" s="5"/>
      <c r="D206" s="5"/>
    </row>
    <row r="207" customFormat="false" ht="25.5" hidden="false" customHeight="true" outlineLevel="0" collapsed="false">
      <c r="A207" s="11" t="s">
        <v>52</v>
      </c>
      <c r="B207" s="11" t="s">
        <v>96</v>
      </c>
      <c r="C207" s="11" t="s">
        <v>54</v>
      </c>
      <c r="D207" s="11" t="s">
        <v>87</v>
      </c>
    </row>
    <row r="208" customFormat="false" ht="15" hidden="false" customHeight="true" outlineLevel="0" collapsed="false">
      <c r="A208" s="12" t="s">
        <v>374</v>
      </c>
      <c r="B208" s="14" t="s">
        <v>375</v>
      </c>
      <c r="C208" s="14" t="s">
        <v>56</v>
      </c>
      <c r="D208" s="13" t="n">
        <v>1</v>
      </c>
    </row>
    <row r="209" customFormat="false" ht="15" hidden="false" customHeight="true" outlineLevel="0" collapsed="false">
      <c r="A209" s="12" t="s">
        <v>376</v>
      </c>
      <c r="B209" s="14" t="s">
        <v>377</v>
      </c>
      <c r="C209" s="14" t="s">
        <v>56</v>
      </c>
      <c r="D209" s="13" t="n">
        <v>2</v>
      </c>
    </row>
    <row r="210" customFormat="false" ht="15" hidden="false" customHeight="true" outlineLevel="0" collapsed="false">
      <c r="A210" s="12" t="s">
        <v>378</v>
      </c>
      <c r="B210" s="14" t="s">
        <v>379</v>
      </c>
      <c r="C210" s="14" t="s">
        <v>56</v>
      </c>
      <c r="D210" s="13" t="n">
        <v>3</v>
      </c>
    </row>
    <row r="211" customFormat="false" ht="15" hidden="false" customHeight="true" outlineLevel="0" collapsed="false">
      <c r="A211" s="12" t="s">
        <v>380</v>
      </c>
      <c r="B211" s="14" t="s">
        <v>381</v>
      </c>
      <c r="C211" s="14" t="s">
        <v>56</v>
      </c>
      <c r="D211" s="13" t="n">
        <v>4</v>
      </c>
    </row>
    <row r="212" customFormat="false" ht="15" hidden="false" customHeight="true" outlineLevel="0" collapsed="false">
      <c r="A212" s="12" t="s">
        <v>382</v>
      </c>
      <c r="B212" s="14" t="s">
        <v>383</v>
      </c>
      <c r="C212" s="14" t="s">
        <v>56</v>
      </c>
      <c r="D212" s="13" t="n">
        <v>5</v>
      </c>
    </row>
    <row r="213" customFormat="false" ht="15" hidden="false" customHeight="true" outlineLevel="0" collapsed="false">
      <c r="A213" s="12" t="s">
        <v>384</v>
      </c>
      <c r="B213" s="14" t="s">
        <v>385</v>
      </c>
      <c r="C213" s="14" t="s">
        <v>56</v>
      </c>
      <c r="D213" s="13" t="n">
        <v>6</v>
      </c>
    </row>
    <row r="214" customFormat="false" ht="15" hidden="false" customHeight="true" outlineLevel="0" collapsed="false">
      <c r="A214" s="12" t="s">
        <v>386</v>
      </c>
      <c r="B214" s="14" t="s">
        <v>387</v>
      </c>
      <c r="C214" s="14" t="s">
        <v>56</v>
      </c>
      <c r="D214" s="13" t="n">
        <v>7</v>
      </c>
    </row>
    <row r="215" customFormat="false" ht="15" hidden="false" customHeight="true" outlineLevel="0" collapsed="false">
      <c r="A215" s="12" t="s">
        <v>388</v>
      </c>
      <c r="B215" s="14" t="s">
        <v>389</v>
      </c>
      <c r="C215" s="14" t="s">
        <v>56</v>
      </c>
      <c r="D215" s="13" t="n">
        <v>8</v>
      </c>
    </row>
    <row r="216" customFormat="false" ht="15" hidden="false" customHeight="true" outlineLevel="0" collapsed="false">
      <c r="A216" s="12" t="s">
        <v>390</v>
      </c>
      <c r="B216" s="14" t="s">
        <v>391</v>
      </c>
      <c r="C216" s="14" t="s">
        <v>56</v>
      </c>
      <c r="D216" s="13" t="n">
        <v>9</v>
      </c>
    </row>
    <row r="217" customFormat="false" ht="15" hidden="false" customHeight="true" outlineLevel="0" collapsed="false">
      <c r="A217" s="12" t="s">
        <v>392</v>
      </c>
      <c r="B217" s="14" t="s">
        <v>393</v>
      </c>
      <c r="C217" s="14" t="s">
        <v>56</v>
      </c>
      <c r="D217" s="13" t="n">
        <v>10</v>
      </c>
    </row>
    <row r="218" customFormat="false" ht="15" hidden="false" customHeight="true" outlineLevel="0" collapsed="false">
      <c r="A218" s="12" t="s">
        <v>394</v>
      </c>
      <c r="B218" s="14" t="s">
        <v>395</v>
      </c>
      <c r="C218" s="14" t="s">
        <v>56</v>
      </c>
      <c r="D218" s="13" t="n">
        <v>11</v>
      </c>
    </row>
    <row r="219" customFormat="false" ht="15" hidden="false" customHeight="true" outlineLevel="0" collapsed="false">
      <c r="A219" s="12" t="s">
        <v>396</v>
      </c>
      <c r="B219" s="14" t="s">
        <v>397</v>
      </c>
      <c r="C219" s="14" t="s">
        <v>56</v>
      </c>
      <c r="D219" s="13" t="n">
        <v>12</v>
      </c>
    </row>
    <row r="220" customFormat="false" ht="15" hidden="false" customHeight="true" outlineLevel="0" collapsed="false">
      <c r="A220" s="12" t="s">
        <v>398</v>
      </c>
      <c r="B220" s="14" t="s">
        <v>399</v>
      </c>
      <c r="C220" s="14" t="s">
        <v>56</v>
      </c>
      <c r="D220" s="13" t="n">
        <v>13</v>
      </c>
    </row>
    <row r="221" customFormat="false" ht="15" hidden="false" customHeight="true" outlineLevel="0" collapsed="false">
      <c r="A221" s="12" t="s">
        <v>400</v>
      </c>
      <c r="B221" s="14" t="s">
        <v>401</v>
      </c>
      <c r="C221" s="14" t="s">
        <v>56</v>
      </c>
      <c r="D221" s="13" t="n">
        <v>14</v>
      </c>
    </row>
    <row r="222" customFormat="false" ht="15" hidden="false" customHeight="true" outlineLevel="0" collapsed="false">
      <c r="A222" s="12" t="s">
        <v>402</v>
      </c>
      <c r="B222" s="14" t="s">
        <v>403</v>
      </c>
      <c r="C222" s="14" t="s">
        <v>56</v>
      </c>
      <c r="D222" s="13" t="n">
        <v>15</v>
      </c>
    </row>
    <row r="223" customFormat="false" ht="15" hidden="false" customHeight="true" outlineLevel="0" collapsed="false">
      <c r="A223" s="12" t="s">
        <v>404</v>
      </c>
      <c r="B223" s="14" t="s">
        <v>405</v>
      </c>
      <c r="C223" s="14" t="s">
        <v>56</v>
      </c>
      <c r="D223" s="13" t="n">
        <v>16</v>
      </c>
    </row>
    <row r="224" customFormat="false" ht="15" hidden="false" customHeight="true" outlineLevel="0" collapsed="false">
      <c r="A224" s="12" t="s">
        <v>406</v>
      </c>
      <c r="B224" s="14" t="s">
        <v>407</v>
      </c>
      <c r="C224" s="14" t="s">
        <v>56</v>
      </c>
      <c r="D224" s="13" t="n">
        <v>17</v>
      </c>
    </row>
    <row r="225" customFormat="false" ht="15" hidden="false" customHeight="true" outlineLevel="0" collapsed="false">
      <c r="A225" s="12" t="s">
        <v>408</v>
      </c>
      <c r="B225" s="14" t="s">
        <v>409</v>
      </c>
      <c r="C225" s="14" t="s">
        <v>56</v>
      </c>
      <c r="D225" s="13" t="n">
        <v>18</v>
      </c>
    </row>
    <row r="226" customFormat="false" ht="15" hidden="false" customHeight="true" outlineLevel="0" collapsed="false">
      <c r="A226" s="12" t="s">
        <v>410</v>
      </c>
      <c r="B226" s="14" t="s">
        <v>411</v>
      </c>
      <c r="C226" s="14" t="s">
        <v>56</v>
      </c>
      <c r="D226" s="13" t="n">
        <v>19</v>
      </c>
    </row>
    <row r="227" customFormat="false" ht="15" hidden="false" customHeight="true" outlineLevel="0" collapsed="false">
      <c r="A227" s="12" t="s">
        <v>412</v>
      </c>
      <c r="B227" s="14" t="s">
        <v>413</v>
      </c>
      <c r="C227" s="14" t="s">
        <v>56</v>
      </c>
      <c r="D227" s="13" t="n">
        <v>20</v>
      </c>
    </row>
    <row r="228" customFormat="false" ht="15" hidden="false" customHeight="true" outlineLevel="0" collapsed="false">
      <c r="A228" s="12" t="s">
        <v>414</v>
      </c>
      <c r="B228" s="14" t="s">
        <v>415</v>
      </c>
      <c r="C228" s="14" t="s">
        <v>56</v>
      </c>
      <c r="D228" s="13" t="n">
        <v>21</v>
      </c>
    </row>
    <row r="229" customFormat="false" ht="15" hidden="false" customHeight="true" outlineLevel="0" collapsed="false">
      <c r="A229" s="12" t="s">
        <v>416</v>
      </c>
      <c r="B229" s="14" t="s">
        <v>417</v>
      </c>
      <c r="C229" s="14" t="s">
        <v>56</v>
      </c>
      <c r="D229" s="13" t="n">
        <v>22</v>
      </c>
    </row>
    <row r="230" customFormat="false" ht="15" hidden="false" customHeight="true" outlineLevel="0" collapsed="false">
      <c r="A230" s="12" t="s">
        <v>418</v>
      </c>
      <c r="B230" s="14" t="s">
        <v>419</v>
      </c>
      <c r="C230" s="14" t="s">
        <v>56</v>
      </c>
      <c r="D230" s="13" t="n">
        <v>23</v>
      </c>
    </row>
    <row r="231" customFormat="false" ht="15" hidden="false" customHeight="true" outlineLevel="0" collapsed="false">
      <c r="A231" s="12" t="s">
        <v>420</v>
      </c>
      <c r="B231" s="14" t="s">
        <v>421</v>
      </c>
      <c r="C231" s="14" t="s">
        <v>56</v>
      </c>
      <c r="D231" s="13" t="n">
        <v>24</v>
      </c>
    </row>
    <row r="232" customFormat="false" ht="15" hidden="false" customHeight="true" outlineLevel="0" collapsed="false">
      <c r="A232" s="12" t="s">
        <v>422</v>
      </c>
      <c r="B232" s="14" t="s">
        <v>423</v>
      </c>
      <c r="C232" s="14" t="s">
        <v>56</v>
      </c>
      <c r="D232" s="13" t="n">
        <v>25</v>
      </c>
    </row>
    <row r="233" customFormat="false" ht="15" hidden="false" customHeight="true" outlineLevel="0" collapsed="false">
      <c r="A233" s="12" t="s">
        <v>424</v>
      </c>
      <c r="B233" s="14" t="s">
        <v>425</v>
      </c>
      <c r="C233" s="14" t="s">
        <v>56</v>
      </c>
      <c r="D233" s="13" t="n">
        <v>26</v>
      </c>
    </row>
    <row r="234" customFormat="false" ht="15" hidden="false" customHeight="true" outlineLevel="0" collapsed="false">
      <c r="A234" s="12" t="s">
        <v>426</v>
      </c>
      <c r="B234" s="14" t="s">
        <v>427</v>
      </c>
      <c r="C234" s="14" t="s">
        <v>56</v>
      </c>
      <c r="D234" s="13" t="n">
        <v>27</v>
      </c>
    </row>
    <row r="235" customFormat="false" ht="15" hidden="false" customHeight="true" outlineLevel="0" collapsed="false">
      <c r="A235" s="12" t="s">
        <v>428</v>
      </c>
      <c r="B235" s="14" t="s">
        <v>429</v>
      </c>
      <c r="C235" s="14" t="s">
        <v>56</v>
      </c>
      <c r="D235" s="13" t="n">
        <v>28</v>
      </c>
    </row>
    <row r="236" customFormat="false" ht="15" hidden="false" customHeight="true" outlineLevel="0" collapsed="false">
      <c r="A236" s="12" t="s">
        <v>430</v>
      </c>
      <c r="B236" s="14" t="s">
        <v>314</v>
      </c>
      <c r="C236" s="14" t="s">
        <v>56</v>
      </c>
      <c r="D236" s="13" t="n">
        <v>29</v>
      </c>
    </row>
    <row r="237" customFormat="false" ht="15" hidden="false" customHeight="true" outlineLevel="0" collapsed="false">
      <c r="A237" s="15" t="s">
        <v>85</v>
      </c>
    </row>
    <row r="238" customFormat="false" ht="19.5" hidden="false" customHeight="true" outlineLevel="0" collapsed="false">
      <c r="A238" s="5" t="s">
        <v>22</v>
      </c>
      <c r="B238" s="5"/>
      <c r="C238" s="5"/>
      <c r="D238" s="5"/>
    </row>
    <row r="239" customFormat="false" ht="25.5" hidden="false" customHeight="true" outlineLevel="0" collapsed="false">
      <c r="A239" s="11" t="s">
        <v>52</v>
      </c>
      <c r="B239" s="11" t="s">
        <v>96</v>
      </c>
      <c r="C239" s="11" t="s">
        <v>54</v>
      </c>
      <c r="D239" s="11" t="s">
        <v>87</v>
      </c>
    </row>
    <row r="240" customFormat="false" ht="15" hidden="false" customHeight="true" outlineLevel="0" collapsed="false">
      <c r="A240" s="12" t="s">
        <v>431</v>
      </c>
      <c r="B240" s="14" t="s">
        <v>432</v>
      </c>
      <c r="C240" s="14" t="s">
        <v>56</v>
      </c>
      <c r="D240" s="13" t="n">
        <v>1</v>
      </c>
    </row>
    <row r="241" customFormat="false" ht="15" hidden="false" customHeight="true" outlineLevel="0" collapsed="false">
      <c r="A241" s="12" t="s">
        <v>433</v>
      </c>
      <c r="B241" s="14" t="s">
        <v>434</v>
      </c>
      <c r="C241" s="14" t="s">
        <v>56</v>
      </c>
      <c r="D241" s="13" t="n">
        <v>2</v>
      </c>
    </row>
    <row r="242" customFormat="false" ht="15" hidden="false" customHeight="true" outlineLevel="0" collapsed="false">
      <c r="A242" s="12" t="s">
        <v>435</v>
      </c>
      <c r="B242" s="14" t="s">
        <v>436</v>
      </c>
      <c r="C242" s="14" t="s">
        <v>56</v>
      </c>
      <c r="D242" s="13" t="n">
        <v>3</v>
      </c>
    </row>
    <row r="243" customFormat="false" ht="15" hidden="false" customHeight="true" outlineLevel="0" collapsed="false">
      <c r="A243" s="15" t="s">
        <v>85</v>
      </c>
    </row>
    <row r="244" customFormat="false" ht="19.5" hidden="false" customHeight="true" outlineLevel="0" collapsed="false">
      <c r="A244" s="5" t="s">
        <v>24</v>
      </c>
      <c r="B244" s="5"/>
      <c r="C244" s="5"/>
      <c r="D244" s="5"/>
    </row>
    <row r="245" customFormat="false" ht="25.5" hidden="false" customHeight="true" outlineLevel="0" collapsed="false">
      <c r="A245" s="11" t="s">
        <v>52</v>
      </c>
      <c r="B245" s="11" t="s">
        <v>96</v>
      </c>
      <c r="C245" s="11" t="s">
        <v>54</v>
      </c>
      <c r="D245" s="11" t="s">
        <v>87</v>
      </c>
    </row>
    <row r="246" customFormat="false" ht="15" hidden="false" customHeight="true" outlineLevel="0" collapsed="false">
      <c r="A246" s="12" t="s">
        <v>437</v>
      </c>
      <c r="B246" s="14" t="s">
        <v>438</v>
      </c>
      <c r="C246" s="14" t="s">
        <v>56</v>
      </c>
      <c r="D246" s="13" t="n">
        <v>1</v>
      </c>
    </row>
    <row r="247" customFormat="false" ht="15" hidden="false" customHeight="true" outlineLevel="0" collapsed="false">
      <c r="A247" s="12" t="s">
        <v>439</v>
      </c>
      <c r="B247" s="14" t="s">
        <v>440</v>
      </c>
      <c r="C247" s="14" t="s">
        <v>56</v>
      </c>
      <c r="D247" s="13" t="n">
        <v>2</v>
      </c>
    </row>
    <row r="248" customFormat="false" ht="15" hidden="false" customHeight="true" outlineLevel="0" collapsed="false">
      <c r="A248" s="12" t="s">
        <v>441</v>
      </c>
      <c r="B248" s="14" t="s">
        <v>442</v>
      </c>
      <c r="C248" s="14" t="s">
        <v>56</v>
      </c>
      <c r="D248" s="13" t="n">
        <v>3</v>
      </c>
    </row>
    <row r="249" customFormat="false" ht="15" hidden="false" customHeight="true" outlineLevel="0" collapsed="false">
      <c r="A249" s="12" t="s">
        <v>443</v>
      </c>
      <c r="B249" s="14" t="s">
        <v>444</v>
      </c>
      <c r="C249" s="14" t="s">
        <v>56</v>
      </c>
      <c r="D249" s="13" t="n">
        <v>4</v>
      </c>
    </row>
    <row r="250" customFormat="false" ht="15" hidden="false" customHeight="true" outlineLevel="0" collapsed="false">
      <c r="A250" s="12" t="s">
        <v>445</v>
      </c>
      <c r="B250" s="14" t="s">
        <v>446</v>
      </c>
      <c r="C250" s="14" t="s">
        <v>56</v>
      </c>
      <c r="D250" s="13" t="n">
        <v>5</v>
      </c>
    </row>
    <row r="251" customFormat="false" ht="15" hidden="false" customHeight="true" outlineLevel="0" collapsed="false">
      <c r="A251" s="12" t="s">
        <v>447</v>
      </c>
      <c r="B251" s="14" t="s">
        <v>448</v>
      </c>
      <c r="C251" s="14" t="s">
        <v>56</v>
      </c>
      <c r="D251" s="13" t="n">
        <v>6</v>
      </c>
    </row>
    <row r="252" customFormat="false" ht="15" hidden="false" customHeight="true" outlineLevel="0" collapsed="false">
      <c r="A252" s="12" t="s">
        <v>449</v>
      </c>
      <c r="B252" s="14" t="s">
        <v>450</v>
      </c>
      <c r="C252" s="14" t="s">
        <v>56</v>
      </c>
      <c r="D252" s="13" t="n">
        <v>7</v>
      </c>
    </row>
    <row r="253" customFormat="false" ht="15" hidden="false" customHeight="true" outlineLevel="0" collapsed="false">
      <c r="A253" s="12" t="s">
        <v>451</v>
      </c>
      <c r="B253" s="14" t="s">
        <v>452</v>
      </c>
      <c r="C253" s="14" t="s">
        <v>56</v>
      </c>
      <c r="D253" s="13" t="n">
        <v>8</v>
      </c>
    </row>
    <row r="254" customFormat="false" ht="15" hidden="false" customHeight="true" outlineLevel="0" collapsed="false">
      <c r="A254" s="12" t="s">
        <v>453</v>
      </c>
      <c r="B254" s="14" t="s">
        <v>454</v>
      </c>
      <c r="C254" s="14" t="s">
        <v>56</v>
      </c>
      <c r="D254" s="13" t="n">
        <v>9</v>
      </c>
    </row>
    <row r="255" customFormat="false" ht="15" hidden="false" customHeight="true" outlineLevel="0" collapsed="false">
      <c r="A255" s="12" t="s">
        <v>455</v>
      </c>
      <c r="B255" s="14" t="s">
        <v>456</v>
      </c>
      <c r="C255" s="14" t="s">
        <v>56</v>
      </c>
      <c r="D255" s="13" t="n">
        <v>10</v>
      </c>
    </row>
    <row r="256" customFormat="false" ht="15" hidden="false" customHeight="true" outlineLevel="0" collapsed="false">
      <c r="A256" s="12" t="s">
        <v>457</v>
      </c>
      <c r="B256" s="14" t="s">
        <v>436</v>
      </c>
      <c r="C256" s="14" t="s">
        <v>56</v>
      </c>
      <c r="D256" s="13" t="n">
        <v>11</v>
      </c>
    </row>
    <row r="257" customFormat="false" ht="15" hidden="false" customHeight="true" outlineLevel="0" collapsed="false">
      <c r="A257" s="15" t="s">
        <v>85</v>
      </c>
    </row>
    <row r="258" customFormat="false" ht="19.5" hidden="false" customHeight="true" outlineLevel="0" collapsed="false">
      <c r="A258" s="5" t="s">
        <v>25</v>
      </c>
      <c r="B258" s="5"/>
      <c r="C258" s="5"/>
      <c r="D258" s="5"/>
    </row>
    <row r="259" customFormat="false" ht="25.5" hidden="false" customHeight="true" outlineLevel="0" collapsed="false">
      <c r="A259" s="11" t="s">
        <v>52</v>
      </c>
      <c r="B259" s="11" t="s">
        <v>96</v>
      </c>
      <c r="C259" s="11" t="s">
        <v>54</v>
      </c>
      <c r="D259" s="11" t="s">
        <v>87</v>
      </c>
    </row>
    <row r="260" customFormat="false" ht="15" hidden="false" customHeight="true" outlineLevel="0" collapsed="false">
      <c r="A260" s="12" t="s">
        <v>458</v>
      </c>
      <c r="B260" s="14" t="s">
        <v>459</v>
      </c>
      <c r="C260" s="14" t="s">
        <v>56</v>
      </c>
      <c r="D260" s="13" t="n">
        <v>1</v>
      </c>
    </row>
    <row r="261" customFormat="false" ht="15" hidden="false" customHeight="true" outlineLevel="0" collapsed="false">
      <c r="A261" s="12" t="s">
        <v>460</v>
      </c>
      <c r="B261" s="14" t="s">
        <v>461</v>
      </c>
      <c r="C261" s="14" t="s">
        <v>56</v>
      </c>
      <c r="D261" s="13" t="n">
        <v>2</v>
      </c>
    </row>
    <row r="262" customFormat="false" ht="15" hidden="false" customHeight="true" outlineLevel="0" collapsed="false">
      <c r="A262" s="12" t="s">
        <v>462</v>
      </c>
      <c r="B262" s="14" t="s">
        <v>463</v>
      </c>
      <c r="C262" s="14" t="s">
        <v>56</v>
      </c>
      <c r="D262" s="13" t="n">
        <v>3</v>
      </c>
    </row>
    <row r="263" customFormat="false" ht="15" hidden="false" customHeight="true" outlineLevel="0" collapsed="false">
      <c r="A263" s="12" t="s">
        <v>464</v>
      </c>
      <c r="B263" s="14" t="s">
        <v>465</v>
      </c>
      <c r="C263" s="14" t="s">
        <v>56</v>
      </c>
      <c r="D263" s="13" t="n">
        <v>4</v>
      </c>
    </row>
    <row r="264" customFormat="false" ht="15" hidden="false" customHeight="true" outlineLevel="0" collapsed="false">
      <c r="A264" s="12" t="s">
        <v>466</v>
      </c>
      <c r="B264" s="14" t="s">
        <v>467</v>
      </c>
      <c r="C264" s="14" t="s">
        <v>56</v>
      </c>
      <c r="D264" s="13" t="n">
        <v>5</v>
      </c>
    </row>
    <row r="265" customFormat="false" ht="15" hidden="false" customHeight="true" outlineLevel="0" collapsed="false">
      <c r="A265" s="12" t="s">
        <v>468</v>
      </c>
      <c r="B265" s="14" t="s">
        <v>469</v>
      </c>
      <c r="C265" s="14" t="s">
        <v>56</v>
      </c>
      <c r="D265" s="13" t="n">
        <v>6</v>
      </c>
    </row>
    <row r="266" customFormat="false" ht="15" hidden="false" customHeight="true" outlineLevel="0" collapsed="false">
      <c r="A266" s="12" t="s">
        <v>470</v>
      </c>
      <c r="B266" s="14" t="s">
        <v>471</v>
      </c>
      <c r="C266" s="14" t="s">
        <v>56</v>
      </c>
      <c r="D266" s="13" t="n">
        <v>7</v>
      </c>
    </row>
    <row r="267" customFormat="false" ht="15" hidden="false" customHeight="true" outlineLevel="0" collapsed="false">
      <c r="A267" s="12" t="s">
        <v>472</v>
      </c>
      <c r="B267" s="14" t="s">
        <v>473</v>
      </c>
      <c r="C267" s="14" t="s">
        <v>56</v>
      </c>
      <c r="D267" s="13" t="n">
        <v>8</v>
      </c>
    </row>
    <row r="268" customFormat="false" ht="15" hidden="false" customHeight="true" outlineLevel="0" collapsed="false">
      <c r="A268" s="12" t="s">
        <v>474</v>
      </c>
      <c r="B268" s="14" t="s">
        <v>419</v>
      </c>
      <c r="C268" s="14" t="s">
        <v>56</v>
      </c>
      <c r="D268" s="13" t="n">
        <v>9</v>
      </c>
    </row>
    <row r="269" customFormat="false" ht="15" hidden="false" customHeight="true" outlineLevel="0" collapsed="false">
      <c r="A269" s="12" t="s">
        <v>475</v>
      </c>
      <c r="B269" s="14" t="s">
        <v>476</v>
      </c>
      <c r="C269" s="14" t="s">
        <v>56</v>
      </c>
      <c r="D269" s="13" t="n">
        <v>10</v>
      </c>
    </row>
    <row r="270" customFormat="false" ht="15" hidden="false" customHeight="true" outlineLevel="0" collapsed="false">
      <c r="A270" s="12" t="s">
        <v>477</v>
      </c>
      <c r="B270" s="14" t="s">
        <v>478</v>
      </c>
      <c r="C270" s="14" t="s">
        <v>56</v>
      </c>
      <c r="D270" s="13" t="n">
        <v>11</v>
      </c>
    </row>
    <row r="271" customFormat="false" ht="15" hidden="false" customHeight="true" outlineLevel="0" collapsed="false">
      <c r="A271" s="12" t="s">
        <v>479</v>
      </c>
      <c r="B271" s="14" t="s">
        <v>480</v>
      </c>
      <c r="C271" s="14" t="s">
        <v>56</v>
      </c>
      <c r="D271" s="13" t="n">
        <v>12</v>
      </c>
    </row>
    <row r="272" customFormat="false" ht="15" hidden="false" customHeight="true" outlineLevel="0" collapsed="false">
      <c r="A272" s="12" t="s">
        <v>481</v>
      </c>
      <c r="B272" s="14" t="s">
        <v>482</v>
      </c>
      <c r="C272" s="14" t="s">
        <v>56</v>
      </c>
      <c r="D272" s="13" t="n">
        <v>13</v>
      </c>
    </row>
    <row r="273" customFormat="false" ht="15" hidden="false" customHeight="true" outlineLevel="0" collapsed="false">
      <c r="A273" s="12" t="s">
        <v>483</v>
      </c>
      <c r="B273" s="14" t="s">
        <v>484</v>
      </c>
      <c r="C273" s="14" t="s">
        <v>56</v>
      </c>
      <c r="D273" s="13" t="n">
        <v>14</v>
      </c>
    </row>
    <row r="274" customFormat="false" ht="15" hidden="false" customHeight="true" outlineLevel="0" collapsed="false">
      <c r="A274" s="12" t="s">
        <v>485</v>
      </c>
      <c r="B274" s="14" t="s">
        <v>421</v>
      </c>
      <c r="C274" s="14" t="s">
        <v>56</v>
      </c>
      <c r="D274" s="13" t="n">
        <v>15</v>
      </c>
    </row>
    <row r="275" customFormat="false" ht="15" hidden="false" customHeight="true" outlineLevel="0" collapsed="false">
      <c r="A275" s="12" t="s">
        <v>486</v>
      </c>
      <c r="B275" s="14" t="s">
        <v>487</v>
      </c>
      <c r="C275" s="14" t="s">
        <v>56</v>
      </c>
      <c r="D275" s="13" t="n">
        <v>16</v>
      </c>
    </row>
    <row r="276" customFormat="false" ht="15" hidden="false" customHeight="true" outlineLevel="0" collapsed="false">
      <c r="A276" s="12" t="s">
        <v>488</v>
      </c>
      <c r="B276" s="14" t="s">
        <v>489</v>
      </c>
      <c r="C276" s="14" t="s">
        <v>56</v>
      </c>
      <c r="D276" s="13" t="n">
        <v>17</v>
      </c>
    </row>
    <row r="277" customFormat="false" ht="15" hidden="false" customHeight="true" outlineLevel="0" collapsed="false">
      <c r="A277" s="12" t="s">
        <v>490</v>
      </c>
      <c r="B277" s="14" t="s">
        <v>491</v>
      </c>
      <c r="C277" s="14" t="s">
        <v>56</v>
      </c>
      <c r="D277" s="13" t="n">
        <v>18</v>
      </c>
    </row>
    <row r="278" customFormat="false" ht="15" hidden="false" customHeight="true" outlineLevel="0" collapsed="false">
      <c r="A278" s="12" t="s">
        <v>492</v>
      </c>
      <c r="B278" s="14" t="s">
        <v>314</v>
      </c>
      <c r="C278" s="14" t="s">
        <v>56</v>
      </c>
      <c r="D278" s="13" t="n">
        <v>19</v>
      </c>
    </row>
    <row r="279" customFormat="false" ht="15" hidden="false" customHeight="true" outlineLevel="0" collapsed="false">
      <c r="A279" s="15" t="s">
        <v>85</v>
      </c>
    </row>
    <row r="280" customFormat="false" ht="19.5" hidden="false" customHeight="true" outlineLevel="0" collapsed="false">
      <c r="A280" s="5" t="s">
        <v>27</v>
      </c>
      <c r="B280" s="5"/>
      <c r="C280" s="5"/>
      <c r="D280" s="5"/>
    </row>
    <row r="281" customFormat="false" ht="25.5" hidden="false" customHeight="true" outlineLevel="0" collapsed="false">
      <c r="A281" s="11" t="s">
        <v>52</v>
      </c>
      <c r="B281" s="11" t="s">
        <v>96</v>
      </c>
      <c r="C281" s="11" t="s">
        <v>54</v>
      </c>
      <c r="D281" s="11" t="s">
        <v>87</v>
      </c>
    </row>
    <row r="282" customFormat="false" ht="15" hidden="false" customHeight="true" outlineLevel="0" collapsed="false">
      <c r="A282" s="12" t="s">
        <v>493</v>
      </c>
      <c r="B282" s="14" t="s">
        <v>494</v>
      </c>
      <c r="C282" s="14" t="s">
        <v>56</v>
      </c>
      <c r="D282" s="13" t="n">
        <v>1</v>
      </c>
    </row>
    <row r="283" customFormat="false" ht="15" hidden="false" customHeight="true" outlineLevel="0" collapsed="false">
      <c r="A283" s="12" t="s">
        <v>495</v>
      </c>
      <c r="B283" s="14" t="s">
        <v>496</v>
      </c>
      <c r="C283" s="14" t="s">
        <v>56</v>
      </c>
      <c r="D283" s="13" t="n">
        <v>2</v>
      </c>
    </row>
    <row r="284" customFormat="false" ht="15" hidden="false" customHeight="true" outlineLevel="0" collapsed="false">
      <c r="A284" s="12" t="s">
        <v>497</v>
      </c>
      <c r="B284" s="14" t="s">
        <v>498</v>
      </c>
      <c r="C284" s="14" t="s">
        <v>56</v>
      </c>
      <c r="D284" s="13" t="n">
        <v>3</v>
      </c>
    </row>
    <row r="285" customFormat="false" ht="15" hidden="false" customHeight="true" outlineLevel="0" collapsed="false">
      <c r="A285" s="12" t="s">
        <v>499</v>
      </c>
      <c r="B285" s="14" t="s">
        <v>500</v>
      </c>
      <c r="C285" s="14" t="s">
        <v>56</v>
      </c>
      <c r="D285" s="13" t="n">
        <v>4</v>
      </c>
    </row>
    <row r="286" customFormat="false" ht="15" hidden="false" customHeight="true" outlineLevel="0" collapsed="false">
      <c r="A286" s="12" t="s">
        <v>501</v>
      </c>
      <c r="B286" s="14" t="s">
        <v>469</v>
      </c>
      <c r="C286" s="14" t="s">
        <v>56</v>
      </c>
      <c r="D286" s="13" t="n">
        <v>5</v>
      </c>
    </row>
    <row r="287" customFormat="false" ht="15" hidden="false" customHeight="true" outlineLevel="0" collapsed="false">
      <c r="A287" s="12" t="s">
        <v>502</v>
      </c>
      <c r="B287" s="14" t="s">
        <v>478</v>
      </c>
      <c r="C287" s="14" t="s">
        <v>56</v>
      </c>
      <c r="D287" s="13" t="n">
        <v>6</v>
      </c>
    </row>
    <row r="288" customFormat="false" ht="15" hidden="false" customHeight="true" outlineLevel="0" collapsed="false">
      <c r="A288" s="12" t="s">
        <v>503</v>
      </c>
      <c r="B288" s="14" t="s">
        <v>504</v>
      </c>
      <c r="C288" s="14" t="s">
        <v>56</v>
      </c>
      <c r="D288" s="13" t="n">
        <v>7</v>
      </c>
    </row>
    <row r="289" customFormat="false" ht="15" hidden="false" customHeight="true" outlineLevel="0" collapsed="false">
      <c r="A289" s="12" t="s">
        <v>505</v>
      </c>
      <c r="B289" s="14" t="s">
        <v>506</v>
      </c>
      <c r="C289" s="14" t="s">
        <v>56</v>
      </c>
      <c r="D289" s="13" t="n">
        <v>8</v>
      </c>
    </row>
    <row r="290" customFormat="false" ht="15" hidden="false" customHeight="true" outlineLevel="0" collapsed="false">
      <c r="A290" s="12" t="s">
        <v>507</v>
      </c>
      <c r="B290" s="14" t="s">
        <v>491</v>
      </c>
      <c r="C290" s="14" t="s">
        <v>56</v>
      </c>
      <c r="D290" s="13" t="n">
        <v>9</v>
      </c>
    </row>
    <row r="291" customFormat="false" ht="15" hidden="false" customHeight="true" outlineLevel="0" collapsed="false">
      <c r="A291" s="12" t="s">
        <v>508</v>
      </c>
      <c r="B291" s="14" t="s">
        <v>509</v>
      </c>
      <c r="C291" s="14" t="s">
        <v>56</v>
      </c>
      <c r="D291" s="13" t="n">
        <v>10</v>
      </c>
    </row>
    <row r="292" customFormat="false" ht="15" hidden="false" customHeight="true" outlineLevel="0" collapsed="false">
      <c r="A292" s="12" t="s">
        <v>510</v>
      </c>
      <c r="B292" s="14" t="s">
        <v>511</v>
      </c>
      <c r="C292" s="14" t="s">
        <v>56</v>
      </c>
      <c r="D292" s="13" t="n">
        <v>11</v>
      </c>
    </row>
    <row r="293" customFormat="false" ht="15" hidden="false" customHeight="true" outlineLevel="0" collapsed="false">
      <c r="A293" s="12" t="s">
        <v>512</v>
      </c>
      <c r="B293" s="14" t="s">
        <v>513</v>
      </c>
      <c r="C293" s="14" t="s">
        <v>56</v>
      </c>
      <c r="D293" s="13" t="n">
        <v>12</v>
      </c>
    </row>
    <row r="294" customFormat="false" ht="15" hidden="false" customHeight="true" outlineLevel="0" collapsed="false">
      <c r="A294" s="12" t="s">
        <v>514</v>
      </c>
      <c r="B294" s="14" t="s">
        <v>314</v>
      </c>
      <c r="C294" s="14" t="s">
        <v>56</v>
      </c>
      <c r="D294" s="13" t="n">
        <v>13</v>
      </c>
    </row>
    <row r="295" customFormat="false" ht="15" hidden="false" customHeight="true" outlineLevel="0" collapsed="false">
      <c r="A295" s="15" t="s">
        <v>85</v>
      </c>
    </row>
    <row r="296" customFormat="false" ht="19.5" hidden="false" customHeight="true" outlineLevel="0" collapsed="false">
      <c r="A296" s="5" t="s">
        <v>29</v>
      </c>
      <c r="B296" s="5"/>
      <c r="C296" s="5"/>
      <c r="D296" s="5"/>
    </row>
    <row r="297" customFormat="false" ht="25.5" hidden="false" customHeight="true" outlineLevel="0" collapsed="false">
      <c r="A297" s="11" t="s">
        <v>52</v>
      </c>
      <c r="B297" s="11" t="s">
        <v>96</v>
      </c>
      <c r="C297" s="11" t="s">
        <v>54</v>
      </c>
      <c r="D297" s="11" t="s">
        <v>87</v>
      </c>
    </row>
    <row r="298" customFormat="false" ht="15" hidden="false" customHeight="true" outlineLevel="0" collapsed="false">
      <c r="A298" s="12" t="s">
        <v>515</v>
      </c>
      <c r="B298" s="14" t="s">
        <v>516</v>
      </c>
      <c r="C298" s="14" t="s">
        <v>56</v>
      </c>
      <c r="D298" s="13" t="n">
        <v>1</v>
      </c>
    </row>
    <row r="299" customFormat="false" ht="15" hidden="false" customHeight="true" outlineLevel="0" collapsed="false">
      <c r="A299" s="12" t="s">
        <v>517</v>
      </c>
      <c r="B299" s="14" t="s">
        <v>518</v>
      </c>
      <c r="C299" s="14" t="s">
        <v>56</v>
      </c>
      <c r="D299" s="13" t="n">
        <v>2</v>
      </c>
    </row>
    <row r="300" customFormat="false" ht="15" hidden="false" customHeight="true" outlineLevel="0" collapsed="false">
      <c r="A300" s="12" t="s">
        <v>519</v>
      </c>
      <c r="B300" s="14" t="s">
        <v>520</v>
      </c>
      <c r="C300" s="14" t="s">
        <v>56</v>
      </c>
      <c r="D300" s="13" t="n">
        <v>3</v>
      </c>
    </row>
    <row r="301" customFormat="false" ht="15" hidden="false" customHeight="true" outlineLevel="0" collapsed="false">
      <c r="A301" s="12" t="s">
        <v>521</v>
      </c>
      <c r="B301" s="14" t="s">
        <v>522</v>
      </c>
      <c r="C301" s="14" t="s">
        <v>56</v>
      </c>
      <c r="D301" s="13" t="n">
        <v>4</v>
      </c>
    </row>
    <row r="302" customFormat="false" ht="15" hidden="false" customHeight="true" outlineLevel="0" collapsed="false">
      <c r="A302" s="12" t="s">
        <v>523</v>
      </c>
      <c r="B302" s="14" t="s">
        <v>524</v>
      </c>
      <c r="C302" s="14" t="s">
        <v>56</v>
      </c>
      <c r="D302" s="13" t="n">
        <v>5</v>
      </c>
    </row>
    <row r="303" customFormat="false" ht="15" hidden="false" customHeight="true" outlineLevel="0" collapsed="false">
      <c r="A303" s="12" t="s">
        <v>525</v>
      </c>
      <c r="B303" s="14" t="s">
        <v>526</v>
      </c>
      <c r="C303" s="14" t="s">
        <v>56</v>
      </c>
      <c r="D303" s="13" t="n">
        <v>6</v>
      </c>
    </row>
    <row r="304" customFormat="false" ht="15" hidden="false" customHeight="true" outlineLevel="0" collapsed="false">
      <c r="A304" s="12" t="s">
        <v>527</v>
      </c>
      <c r="B304" s="14" t="s">
        <v>528</v>
      </c>
      <c r="C304" s="14" t="s">
        <v>56</v>
      </c>
      <c r="D304" s="13" t="n">
        <v>7</v>
      </c>
    </row>
    <row r="305" customFormat="false" ht="15" hidden="false" customHeight="true" outlineLevel="0" collapsed="false">
      <c r="A305" s="12" t="s">
        <v>529</v>
      </c>
      <c r="B305" s="14" t="s">
        <v>530</v>
      </c>
      <c r="C305" s="14" t="s">
        <v>56</v>
      </c>
      <c r="D305" s="13" t="n">
        <v>8</v>
      </c>
    </row>
    <row r="306" customFormat="false" ht="15" hidden="false" customHeight="true" outlineLevel="0" collapsed="false">
      <c r="A306" s="12" t="s">
        <v>531</v>
      </c>
      <c r="B306" s="14" t="s">
        <v>532</v>
      </c>
      <c r="C306" s="14" t="s">
        <v>56</v>
      </c>
      <c r="D306" s="13" t="n">
        <v>9</v>
      </c>
    </row>
    <row r="307" customFormat="false" ht="15" hidden="false" customHeight="true" outlineLevel="0" collapsed="false">
      <c r="A307" s="12" t="s">
        <v>533</v>
      </c>
      <c r="B307" s="14" t="s">
        <v>534</v>
      </c>
      <c r="C307" s="14" t="s">
        <v>56</v>
      </c>
      <c r="D307" s="13" t="n">
        <v>10</v>
      </c>
    </row>
    <row r="308" customFormat="false" ht="15" hidden="false" customHeight="true" outlineLevel="0" collapsed="false">
      <c r="A308" s="12" t="s">
        <v>535</v>
      </c>
      <c r="B308" s="14" t="s">
        <v>536</v>
      </c>
      <c r="C308" s="14" t="s">
        <v>56</v>
      </c>
      <c r="D308" s="13" t="n">
        <v>11</v>
      </c>
    </row>
    <row r="309" customFormat="false" ht="15" hidden="false" customHeight="true" outlineLevel="0" collapsed="false">
      <c r="A309" s="12" t="s">
        <v>537</v>
      </c>
      <c r="B309" s="14" t="s">
        <v>538</v>
      </c>
      <c r="C309" s="14" t="s">
        <v>56</v>
      </c>
      <c r="D309" s="13" t="n">
        <v>12</v>
      </c>
    </row>
    <row r="310" customFormat="false" ht="15" hidden="false" customHeight="true" outlineLevel="0" collapsed="false">
      <c r="A310" s="12" t="s">
        <v>539</v>
      </c>
      <c r="B310" s="14" t="s">
        <v>540</v>
      </c>
      <c r="C310" s="14" t="s">
        <v>56</v>
      </c>
      <c r="D310" s="13" t="n">
        <v>13</v>
      </c>
    </row>
    <row r="311" customFormat="false" ht="15" hidden="false" customHeight="true" outlineLevel="0" collapsed="false">
      <c r="A311" s="12" t="s">
        <v>541</v>
      </c>
      <c r="B311" s="14" t="s">
        <v>314</v>
      </c>
      <c r="C311" s="14" t="s">
        <v>56</v>
      </c>
      <c r="D311" s="13" t="n">
        <v>14</v>
      </c>
    </row>
    <row r="312" customFormat="false" ht="15" hidden="false" customHeight="true" outlineLevel="0" collapsed="false">
      <c r="A312" s="15" t="s">
        <v>85</v>
      </c>
    </row>
    <row r="313" customFormat="false" ht="19.5" hidden="false" customHeight="true" outlineLevel="0" collapsed="false">
      <c r="A313" s="5" t="s">
        <v>31</v>
      </c>
      <c r="B313" s="5"/>
      <c r="C313" s="5"/>
      <c r="D313" s="5"/>
    </row>
    <row r="314" customFormat="false" ht="25.5" hidden="false" customHeight="true" outlineLevel="0" collapsed="false">
      <c r="A314" s="11" t="s">
        <v>52</v>
      </c>
      <c r="B314" s="11" t="s">
        <v>96</v>
      </c>
      <c r="C314" s="11" t="s">
        <v>54</v>
      </c>
      <c r="D314" s="11" t="s">
        <v>87</v>
      </c>
    </row>
    <row r="315" customFormat="false" ht="15" hidden="false" customHeight="true" outlineLevel="0" collapsed="false">
      <c r="A315" s="12" t="s">
        <v>542</v>
      </c>
      <c r="B315" s="14" t="s">
        <v>516</v>
      </c>
      <c r="C315" s="14" t="s">
        <v>56</v>
      </c>
      <c r="D315" s="13" t="n">
        <v>1</v>
      </c>
    </row>
    <row r="316" customFormat="false" ht="15" hidden="false" customHeight="true" outlineLevel="0" collapsed="false">
      <c r="A316" s="12" t="s">
        <v>543</v>
      </c>
      <c r="B316" s="14" t="s">
        <v>518</v>
      </c>
      <c r="C316" s="14" t="s">
        <v>56</v>
      </c>
      <c r="D316" s="13" t="n">
        <v>2</v>
      </c>
    </row>
    <row r="317" customFormat="false" ht="15" hidden="false" customHeight="true" outlineLevel="0" collapsed="false">
      <c r="A317" s="12" t="s">
        <v>544</v>
      </c>
      <c r="B317" s="14" t="s">
        <v>545</v>
      </c>
      <c r="C317" s="14" t="s">
        <v>56</v>
      </c>
      <c r="D317" s="13" t="n">
        <v>3</v>
      </c>
    </row>
    <row r="318" customFormat="false" ht="15" hidden="false" customHeight="true" outlineLevel="0" collapsed="false">
      <c r="A318" s="12" t="s">
        <v>546</v>
      </c>
      <c r="B318" s="14" t="s">
        <v>547</v>
      </c>
      <c r="C318" s="14" t="s">
        <v>56</v>
      </c>
      <c r="D318" s="13" t="n">
        <v>4</v>
      </c>
    </row>
    <row r="319" customFormat="false" ht="15" hidden="false" customHeight="true" outlineLevel="0" collapsed="false">
      <c r="A319" s="12" t="s">
        <v>548</v>
      </c>
      <c r="B319" s="14" t="s">
        <v>549</v>
      </c>
      <c r="C319" s="14" t="s">
        <v>56</v>
      </c>
      <c r="D319" s="13" t="n">
        <v>5</v>
      </c>
    </row>
    <row r="320" customFormat="false" ht="15" hidden="false" customHeight="true" outlineLevel="0" collapsed="false">
      <c r="A320" s="12" t="s">
        <v>550</v>
      </c>
      <c r="B320" s="14" t="s">
        <v>551</v>
      </c>
      <c r="C320" s="14" t="s">
        <v>56</v>
      </c>
      <c r="D320" s="13" t="n">
        <v>6</v>
      </c>
    </row>
    <row r="321" customFormat="false" ht="15" hidden="false" customHeight="true" outlineLevel="0" collapsed="false">
      <c r="A321" s="12" t="s">
        <v>552</v>
      </c>
      <c r="B321" s="14" t="s">
        <v>553</v>
      </c>
      <c r="C321" s="14" t="s">
        <v>56</v>
      </c>
      <c r="D321" s="13" t="n">
        <v>7</v>
      </c>
    </row>
    <row r="322" customFormat="false" ht="15" hidden="false" customHeight="true" outlineLevel="0" collapsed="false">
      <c r="A322" s="12" t="s">
        <v>554</v>
      </c>
      <c r="B322" s="14" t="s">
        <v>555</v>
      </c>
      <c r="C322" s="14" t="s">
        <v>56</v>
      </c>
      <c r="D322" s="13" t="n">
        <v>8</v>
      </c>
    </row>
    <row r="323" customFormat="false" ht="15" hidden="false" customHeight="true" outlineLevel="0" collapsed="false">
      <c r="A323" s="12" t="s">
        <v>556</v>
      </c>
      <c r="B323" s="14" t="s">
        <v>314</v>
      </c>
      <c r="C323" s="14" t="s">
        <v>56</v>
      </c>
      <c r="D323" s="13" t="n">
        <v>9</v>
      </c>
    </row>
    <row r="324" customFormat="false" ht="15" hidden="false" customHeight="true" outlineLevel="0" collapsed="false">
      <c r="A324" s="15" t="s">
        <v>85</v>
      </c>
    </row>
    <row r="325" customFormat="false" ht="19.5" hidden="false" customHeight="true" outlineLevel="0" collapsed="false">
      <c r="A325" s="5" t="s">
        <v>32</v>
      </c>
      <c r="B325" s="5"/>
      <c r="C325" s="5"/>
      <c r="D325" s="5"/>
    </row>
    <row r="326" customFormat="false" ht="25.5" hidden="false" customHeight="true" outlineLevel="0" collapsed="false">
      <c r="A326" s="11" t="s">
        <v>52</v>
      </c>
      <c r="B326" s="11" t="s">
        <v>96</v>
      </c>
      <c r="C326" s="11" t="s">
        <v>54</v>
      </c>
      <c r="D326" s="11" t="s">
        <v>87</v>
      </c>
    </row>
    <row r="327" customFormat="false" ht="15" hidden="false" customHeight="true" outlineLevel="0" collapsed="false">
      <c r="A327" s="12" t="s">
        <v>557</v>
      </c>
      <c r="B327" s="14" t="s">
        <v>558</v>
      </c>
      <c r="C327" s="14" t="s">
        <v>56</v>
      </c>
      <c r="D327" s="13" t="n">
        <v>1</v>
      </c>
    </row>
    <row r="328" customFormat="false" ht="15" hidden="false" customHeight="true" outlineLevel="0" collapsed="false">
      <c r="A328" s="12" t="s">
        <v>559</v>
      </c>
      <c r="B328" s="14" t="s">
        <v>560</v>
      </c>
      <c r="C328" s="14" t="s">
        <v>56</v>
      </c>
      <c r="D328" s="13" t="n">
        <v>2</v>
      </c>
    </row>
    <row r="329" customFormat="false" ht="15" hidden="false" customHeight="true" outlineLevel="0" collapsed="false">
      <c r="A329" s="12" t="s">
        <v>561</v>
      </c>
      <c r="B329" s="14" t="s">
        <v>562</v>
      </c>
      <c r="C329" s="14" t="s">
        <v>56</v>
      </c>
      <c r="D329" s="13" t="n">
        <v>3</v>
      </c>
    </row>
    <row r="330" customFormat="false" ht="15" hidden="false" customHeight="true" outlineLevel="0" collapsed="false">
      <c r="A330" s="12" t="s">
        <v>563</v>
      </c>
      <c r="B330" s="14" t="s">
        <v>564</v>
      </c>
      <c r="C330" s="14" t="s">
        <v>56</v>
      </c>
      <c r="D330" s="13" t="n">
        <v>4</v>
      </c>
    </row>
    <row r="331" customFormat="false" ht="15" hidden="false" customHeight="true" outlineLevel="0" collapsed="false">
      <c r="A331" s="12" t="s">
        <v>565</v>
      </c>
      <c r="B331" s="14" t="s">
        <v>566</v>
      </c>
      <c r="C331" s="14" t="s">
        <v>56</v>
      </c>
      <c r="D331" s="13" t="n">
        <v>5</v>
      </c>
    </row>
    <row r="332" customFormat="false" ht="15" hidden="false" customHeight="true" outlineLevel="0" collapsed="false">
      <c r="A332" s="12" t="s">
        <v>567</v>
      </c>
      <c r="B332" s="14" t="s">
        <v>568</v>
      </c>
      <c r="C332" s="14" t="s">
        <v>56</v>
      </c>
      <c r="D332" s="13" t="n">
        <v>6</v>
      </c>
    </row>
    <row r="333" customFormat="false" ht="15" hidden="false" customHeight="true" outlineLevel="0" collapsed="false">
      <c r="A333" s="12" t="s">
        <v>569</v>
      </c>
      <c r="B333" s="14" t="s">
        <v>570</v>
      </c>
      <c r="C333" s="14" t="s">
        <v>56</v>
      </c>
      <c r="D333" s="13" t="n">
        <v>7</v>
      </c>
    </row>
    <row r="334" customFormat="false" ht="15" hidden="false" customHeight="true" outlineLevel="0" collapsed="false">
      <c r="A334" s="12" t="s">
        <v>571</v>
      </c>
      <c r="B334" s="14" t="s">
        <v>316</v>
      </c>
      <c r="C334" s="14" t="s">
        <v>56</v>
      </c>
      <c r="D334" s="13" t="n">
        <v>8</v>
      </c>
    </row>
    <row r="335" customFormat="false" ht="15" hidden="false" customHeight="true" outlineLevel="0" collapsed="false">
      <c r="A335" s="12" t="s">
        <v>572</v>
      </c>
      <c r="B335" s="14" t="s">
        <v>370</v>
      </c>
      <c r="C335" s="14" t="s">
        <v>56</v>
      </c>
      <c r="D335" s="13" t="n">
        <v>9</v>
      </c>
    </row>
    <row r="336" customFormat="false" ht="15" hidden="false" customHeight="true" outlineLevel="0" collapsed="false">
      <c r="A336" s="12" t="s">
        <v>573</v>
      </c>
      <c r="B336" s="14" t="s">
        <v>574</v>
      </c>
      <c r="C336" s="14" t="s">
        <v>56</v>
      </c>
      <c r="D336" s="13" t="n">
        <v>10</v>
      </c>
    </row>
    <row r="337" customFormat="false" ht="15" hidden="false" customHeight="true" outlineLevel="0" collapsed="false">
      <c r="A337" s="12" t="s">
        <v>575</v>
      </c>
      <c r="B337" s="14" t="s">
        <v>576</v>
      </c>
      <c r="C337" s="14" t="s">
        <v>56</v>
      </c>
      <c r="D337" s="13" t="n">
        <v>11</v>
      </c>
    </row>
    <row r="338" customFormat="false" ht="15" hidden="false" customHeight="true" outlineLevel="0" collapsed="false">
      <c r="A338" s="12" t="s">
        <v>577</v>
      </c>
      <c r="B338" s="14" t="s">
        <v>578</v>
      </c>
      <c r="C338" s="14" t="s">
        <v>56</v>
      </c>
      <c r="D338" s="13" t="n">
        <v>12</v>
      </c>
    </row>
    <row r="339" customFormat="false" ht="15" hidden="false" customHeight="true" outlineLevel="0" collapsed="false">
      <c r="A339" s="12" t="s">
        <v>579</v>
      </c>
      <c r="B339" s="14" t="s">
        <v>580</v>
      </c>
      <c r="C339" s="14" t="s">
        <v>56</v>
      </c>
      <c r="D339" s="13" t="n">
        <v>13</v>
      </c>
    </row>
    <row r="340" customFormat="false" ht="15" hidden="false" customHeight="true" outlineLevel="0" collapsed="false">
      <c r="A340" s="12" t="s">
        <v>581</v>
      </c>
      <c r="B340" s="14" t="s">
        <v>358</v>
      </c>
      <c r="C340" s="14" t="s">
        <v>56</v>
      </c>
      <c r="D340" s="13" t="n">
        <v>14</v>
      </c>
    </row>
    <row r="341" customFormat="false" ht="15" hidden="false" customHeight="true" outlineLevel="0" collapsed="false">
      <c r="A341" s="12" t="s">
        <v>582</v>
      </c>
      <c r="B341" s="14" t="s">
        <v>360</v>
      </c>
      <c r="C341" s="14" t="s">
        <v>56</v>
      </c>
      <c r="D341" s="13" t="n">
        <v>15</v>
      </c>
    </row>
    <row r="342" customFormat="false" ht="15" hidden="false" customHeight="true" outlineLevel="0" collapsed="false">
      <c r="A342" s="12" t="s">
        <v>583</v>
      </c>
      <c r="B342" s="14" t="s">
        <v>584</v>
      </c>
      <c r="C342" s="14" t="s">
        <v>56</v>
      </c>
      <c r="D342" s="13" t="n">
        <v>16</v>
      </c>
    </row>
    <row r="343" customFormat="false" ht="15" hidden="false" customHeight="true" outlineLevel="0" collapsed="false">
      <c r="A343" s="12" t="s">
        <v>585</v>
      </c>
      <c r="B343" s="14" t="s">
        <v>586</v>
      </c>
      <c r="C343" s="14" t="s">
        <v>56</v>
      </c>
      <c r="D343" s="13" t="n">
        <v>17</v>
      </c>
    </row>
    <row r="344" customFormat="false" ht="15" hidden="false" customHeight="true" outlineLevel="0" collapsed="false">
      <c r="A344" s="12" t="s">
        <v>587</v>
      </c>
      <c r="B344" s="14" t="s">
        <v>588</v>
      </c>
      <c r="C344" s="14" t="s">
        <v>56</v>
      </c>
      <c r="D344" s="13" t="n">
        <v>18</v>
      </c>
    </row>
    <row r="345" customFormat="false" ht="15" hidden="false" customHeight="true" outlineLevel="0" collapsed="false">
      <c r="A345" s="12" t="s">
        <v>589</v>
      </c>
      <c r="B345" s="14" t="s">
        <v>590</v>
      </c>
      <c r="C345" s="14" t="s">
        <v>56</v>
      </c>
      <c r="D345" s="13" t="n">
        <v>19</v>
      </c>
    </row>
    <row r="346" customFormat="false" ht="15" hidden="false" customHeight="true" outlineLevel="0" collapsed="false">
      <c r="A346" s="12" t="s">
        <v>591</v>
      </c>
      <c r="B346" s="14" t="s">
        <v>592</v>
      </c>
      <c r="C346" s="14" t="s">
        <v>56</v>
      </c>
      <c r="D346" s="13" t="n">
        <v>20</v>
      </c>
    </row>
    <row r="347" customFormat="false" ht="15" hidden="false" customHeight="true" outlineLevel="0" collapsed="false">
      <c r="A347" s="12" t="s">
        <v>593</v>
      </c>
      <c r="B347" s="14" t="s">
        <v>594</v>
      </c>
      <c r="C347" s="14" t="s">
        <v>56</v>
      </c>
      <c r="D347" s="13" t="n">
        <v>21</v>
      </c>
    </row>
    <row r="348" customFormat="false" ht="15" hidden="false" customHeight="true" outlineLevel="0" collapsed="false">
      <c r="A348" s="12" t="s">
        <v>595</v>
      </c>
      <c r="B348" s="14" t="s">
        <v>596</v>
      </c>
      <c r="C348" s="14" t="s">
        <v>56</v>
      </c>
      <c r="D348" s="13" t="n">
        <v>22</v>
      </c>
    </row>
    <row r="349" customFormat="false" ht="15" hidden="false" customHeight="true" outlineLevel="0" collapsed="false">
      <c r="A349" s="12" t="s">
        <v>597</v>
      </c>
      <c r="B349" s="14" t="s">
        <v>598</v>
      </c>
      <c r="C349" s="14" t="s">
        <v>56</v>
      </c>
      <c r="D349" s="13" t="n">
        <v>23</v>
      </c>
    </row>
    <row r="350" customFormat="false" ht="15" hidden="false" customHeight="true" outlineLevel="0" collapsed="false">
      <c r="A350" s="12" t="s">
        <v>599</v>
      </c>
      <c r="B350" s="14" t="s">
        <v>600</v>
      </c>
      <c r="C350" s="14" t="s">
        <v>56</v>
      </c>
      <c r="D350" s="13" t="n">
        <v>24</v>
      </c>
    </row>
    <row r="351" customFormat="false" ht="15" hidden="false" customHeight="true" outlineLevel="0" collapsed="false">
      <c r="A351" s="12" t="s">
        <v>601</v>
      </c>
      <c r="B351" s="14" t="s">
        <v>368</v>
      </c>
      <c r="C351" s="14" t="s">
        <v>56</v>
      </c>
      <c r="D351" s="13" t="n">
        <v>25</v>
      </c>
    </row>
    <row r="352" customFormat="false" ht="15" hidden="false" customHeight="true" outlineLevel="0" collapsed="false">
      <c r="A352" s="12" t="s">
        <v>602</v>
      </c>
      <c r="B352" s="14" t="s">
        <v>603</v>
      </c>
      <c r="C352" s="14" t="s">
        <v>56</v>
      </c>
      <c r="D352" s="13" t="n">
        <v>26</v>
      </c>
    </row>
    <row r="353" customFormat="false" ht="15" hidden="false" customHeight="true" outlineLevel="0" collapsed="false">
      <c r="A353" s="12" t="s">
        <v>604</v>
      </c>
      <c r="B353" s="14" t="s">
        <v>605</v>
      </c>
      <c r="C353" s="14" t="s">
        <v>56</v>
      </c>
      <c r="D353" s="13" t="n">
        <v>27</v>
      </c>
    </row>
    <row r="354" customFormat="false" ht="15" hidden="false" customHeight="true" outlineLevel="0" collapsed="false">
      <c r="A354" s="12" t="s">
        <v>606</v>
      </c>
      <c r="B354" s="14" t="s">
        <v>607</v>
      </c>
      <c r="C354" s="14" t="s">
        <v>56</v>
      </c>
      <c r="D354" s="13" t="n">
        <v>28</v>
      </c>
    </row>
    <row r="355" customFormat="false" ht="15" hidden="false" customHeight="true" outlineLevel="0" collapsed="false">
      <c r="A355" s="12" t="s">
        <v>608</v>
      </c>
      <c r="B355" s="14" t="s">
        <v>609</v>
      </c>
      <c r="C355" s="14" t="s">
        <v>56</v>
      </c>
      <c r="D355" s="13" t="n">
        <v>29</v>
      </c>
    </row>
    <row r="356" customFormat="false" ht="15" hidden="false" customHeight="true" outlineLevel="0" collapsed="false">
      <c r="A356" s="12" t="s">
        <v>610</v>
      </c>
      <c r="B356" s="14" t="s">
        <v>611</v>
      </c>
      <c r="C356" s="14" t="s">
        <v>56</v>
      </c>
      <c r="D356" s="13" t="n">
        <v>30</v>
      </c>
    </row>
    <row r="357" customFormat="false" ht="15" hidden="false" customHeight="true" outlineLevel="0" collapsed="false">
      <c r="A357" s="15" t="s">
        <v>85</v>
      </c>
    </row>
    <row r="358" customFormat="false" ht="19.5" hidden="false" customHeight="true" outlineLevel="0" collapsed="false">
      <c r="A358" s="5" t="s">
        <v>33</v>
      </c>
      <c r="B358" s="5"/>
      <c r="C358" s="5"/>
      <c r="D358" s="5"/>
    </row>
    <row r="359" customFormat="false" ht="25.5" hidden="false" customHeight="true" outlineLevel="0" collapsed="false">
      <c r="A359" s="11" t="s">
        <v>52</v>
      </c>
      <c r="B359" s="11" t="s">
        <v>96</v>
      </c>
      <c r="C359" s="11" t="s">
        <v>54</v>
      </c>
      <c r="D359" s="11" t="s">
        <v>87</v>
      </c>
    </row>
    <row r="360" customFormat="false" ht="15" hidden="false" customHeight="true" outlineLevel="0" collapsed="false">
      <c r="A360" s="12" t="s">
        <v>612</v>
      </c>
      <c r="B360" s="14" t="s">
        <v>613</v>
      </c>
      <c r="C360" s="14" t="s">
        <v>56</v>
      </c>
      <c r="D360" s="13" t="n">
        <v>1</v>
      </c>
    </row>
    <row r="361" customFormat="false" ht="15" hidden="false" customHeight="true" outlineLevel="0" collapsed="false">
      <c r="A361" s="12" t="s">
        <v>614</v>
      </c>
      <c r="B361" s="14" t="s">
        <v>615</v>
      </c>
      <c r="C361" s="14" t="s">
        <v>56</v>
      </c>
      <c r="D361" s="13" t="n">
        <v>2</v>
      </c>
    </row>
    <row r="362" customFormat="false" ht="15" hidden="false" customHeight="true" outlineLevel="0" collapsed="false">
      <c r="A362" s="12" t="s">
        <v>616</v>
      </c>
      <c r="B362" s="14" t="s">
        <v>617</v>
      </c>
      <c r="C362" s="14" t="s">
        <v>56</v>
      </c>
      <c r="D362" s="13" t="n">
        <v>3</v>
      </c>
    </row>
    <row r="363" customFormat="false" ht="15" hidden="false" customHeight="true" outlineLevel="0" collapsed="false">
      <c r="A363" s="12" t="s">
        <v>618</v>
      </c>
      <c r="B363" s="14" t="s">
        <v>619</v>
      </c>
      <c r="C363" s="14" t="s">
        <v>56</v>
      </c>
      <c r="D363" s="13" t="n">
        <v>4</v>
      </c>
    </row>
    <row r="364" customFormat="false" ht="15" hidden="false" customHeight="true" outlineLevel="0" collapsed="false">
      <c r="A364" s="12" t="s">
        <v>620</v>
      </c>
      <c r="B364" s="14" t="s">
        <v>621</v>
      </c>
      <c r="C364" s="14" t="s">
        <v>56</v>
      </c>
      <c r="D364" s="13" t="n">
        <v>5</v>
      </c>
    </row>
    <row r="365" customFormat="false" ht="15" hidden="false" customHeight="true" outlineLevel="0" collapsed="false">
      <c r="A365" s="12" t="s">
        <v>622</v>
      </c>
      <c r="B365" s="14" t="s">
        <v>623</v>
      </c>
      <c r="C365" s="14" t="s">
        <v>56</v>
      </c>
      <c r="D365" s="13" t="n">
        <v>6</v>
      </c>
    </row>
    <row r="366" customFormat="false" ht="15" hidden="false" customHeight="true" outlineLevel="0" collapsed="false">
      <c r="A366" s="12" t="s">
        <v>624</v>
      </c>
      <c r="B366" s="14" t="s">
        <v>314</v>
      </c>
      <c r="C366" s="14" t="s">
        <v>56</v>
      </c>
      <c r="D366" s="13" t="n">
        <v>7</v>
      </c>
    </row>
    <row r="367" customFormat="false" ht="15" hidden="false" customHeight="true" outlineLevel="0" collapsed="false">
      <c r="A367" s="15" t="s">
        <v>85</v>
      </c>
    </row>
    <row r="368" customFormat="false" ht="19.5" hidden="false" customHeight="true" outlineLevel="0" collapsed="false">
      <c r="A368" s="5" t="s">
        <v>35</v>
      </c>
      <c r="B368" s="5"/>
      <c r="C368" s="5"/>
      <c r="D368" s="5"/>
    </row>
    <row r="369" customFormat="false" ht="25.5" hidden="false" customHeight="true" outlineLevel="0" collapsed="false">
      <c r="A369" s="11" t="s">
        <v>52</v>
      </c>
      <c r="B369" s="11" t="s">
        <v>96</v>
      </c>
      <c r="C369" s="11" t="s">
        <v>54</v>
      </c>
      <c r="D369" s="11" t="s">
        <v>87</v>
      </c>
    </row>
    <row r="370" customFormat="false" ht="15" hidden="false" customHeight="true" outlineLevel="0" collapsed="false">
      <c r="A370" s="12" t="s">
        <v>625</v>
      </c>
      <c r="B370" s="14" t="s">
        <v>516</v>
      </c>
      <c r="C370" s="14" t="s">
        <v>56</v>
      </c>
      <c r="D370" s="13" t="n">
        <v>1</v>
      </c>
    </row>
    <row r="371" customFormat="false" ht="15" hidden="false" customHeight="true" outlineLevel="0" collapsed="false">
      <c r="A371" s="12" t="s">
        <v>626</v>
      </c>
      <c r="B371" s="14" t="s">
        <v>518</v>
      </c>
      <c r="C371" s="14" t="s">
        <v>56</v>
      </c>
      <c r="D371" s="13" t="n">
        <v>2</v>
      </c>
    </row>
    <row r="372" customFormat="false" ht="15" hidden="false" customHeight="true" outlineLevel="0" collapsed="false">
      <c r="A372" s="12" t="s">
        <v>627</v>
      </c>
      <c r="B372" s="14" t="s">
        <v>520</v>
      </c>
      <c r="C372" s="14" t="s">
        <v>56</v>
      </c>
      <c r="D372" s="13" t="n">
        <v>3</v>
      </c>
    </row>
    <row r="373" customFormat="false" ht="15" hidden="false" customHeight="true" outlineLevel="0" collapsed="false">
      <c r="A373" s="12" t="s">
        <v>628</v>
      </c>
      <c r="B373" s="14" t="s">
        <v>629</v>
      </c>
      <c r="C373" s="14" t="s">
        <v>56</v>
      </c>
      <c r="D373" s="13" t="n">
        <v>4</v>
      </c>
    </row>
    <row r="374" customFormat="false" ht="15" hidden="false" customHeight="true" outlineLevel="0" collapsed="false">
      <c r="A374" s="12" t="s">
        <v>630</v>
      </c>
      <c r="B374" s="14" t="s">
        <v>631</v>
      </c>
      <c r="C374" s="14" t="s">
        <v>56</v>
      </c>
      <c r="D374" s="13" t="n">
        <v>5</v>
      </c>
    </row>
    <row r="375" customFormat="false" ht="15" hidden="false" customHeight="true" outlineLevel="0" collapsed="false">
      <c r="A375" s="12" t="s">
        <v>632</v>
      </c>
      <c r="B375" s="14" t="s">
        <v>633</v>
      </c>
      <c r="C375" s="14" t="s">
        <v>56</v>
      </c>
      <c r="D375" s="13" t="n">
        <v>6</v>
      </c>
    </row>
    <row r="376" customFormat="false" ht="15" hidden="false" customHeight="true" outlineLevel="0" collapsed="false">
      <c r="A376" s="12" t="s">
        <v>634</v>
      </c>
      <c r="B376" s="14" t="s">
        <v>540</v>
      </c>
      <c r="C376" s="14" t="s">
        <v>56</v>
      </c>
      <c r="D376" s="13" t="n">
        <v>7</v>
      </c>
    </row>
    <row r="377" customFormat="false" ht="15" hidden="false" customHeight="true" outlineLevel="0" collapsed="false">
      <c r="A377" s="12" t="s">
        <v>635</v>
      </c>
      <c r="B377" s="14" t="s">
        <v>538</v>
      </c>
      <c r="C377" s="14" t="s">
        <v>56</v>
      </c>
      <c r="D377" s="13" t="n">
        <v>8</v>
      </c>
    </row>
    <row r="378" customFormat="false" ht="15" hidden="false" customHeight="true" outlineLevel="0" collapsed="false">
      <c r="A378" s="12" t="s">
        <v>636</v>
      </c>
      <c r="B378" s="14" t="s">
        <v>536</v>
      </c>
      <c r="C378" s="14" t="s">
        <v>56</v>
      </c>
      <c r="D378" s="13" t="n">
        <v>9</v>
      </c>
    </row>
    <row r="379" customFormat="false" ht="15" hidden="false" customHeight="true" outlineLevel="0" collapsed="false">
      <c r="A379" s="12" t="s">
        <v>637</v>
      </c>
      <c r="B379" s="14" t="s">
        <v>314</v>
      </c>
      <c r="C379" s="14" t="s">
        <v>56</v>
      </c>
      <c r="D379" s="13" t="n">
        <v>10</v>
      </c>
    </row>
    <row r="380" customFormat="false" ht="15" hidden="false" customHeight="true" outlineLevel="0" collapsed="false">
      <c r="A380" s="15" t="s">
        <v>85</v>
      </c>
    </row>
    <row r="381" customFormat="false" ht="19.5" hidden="false" customHeight="true" outlineLevel="0" collapsed="false">
      <c r="A381" s="5" t="s">
        <v>37</v>
      </c>
      <c r="B381" s="5"/>
      <c r="C381" s="5"/>
      <c r="D381" s="5"/>
    </row>
    <row r="382" customFormat="false" ht="25.5" hidden="false" customHeight="true" outlineLevel="0" collapsed="false">
      <c r="A382" s="11" t="s">
        <v>52</v>
      </c>
      <c r="B382" s="11" t="s">
        <v>96</v>
      </c>
      <c r="C382" s="11" t="s">
        <v>54</v>
      </c>
      <c r="D382" s="11" t="s">
        <v>87</v>
      </c>
    </row>
    <row r="383" customFormat="false" ht="15" hidden="false" customHeight="true" outlineLevel="0" collapsed="false">
      <c r="A383" s="12" t="s">
        <v>638</v>
      </c>
      <c r="B383" s="14" t="s">
        <v>639</v>
      </c>
      <c r="C383" s="14" t="s">
        <v>56</v>
      </c>
      <c r="D383" s="13" t="n">
        <v>1</v>
      </c>
    </row>
    <row r="384" customFormat="false" ht="15" hidden="false" customHeight="true" outlineLevel="0" collapsed="false">
      <c r="A384" s="12" t="s">
        <v>640</v>
      </c>
      <c r="B384" s="14" t="s">
        <v>641</v>
      </c>
      <c r="C384" s="14" t="s">
        <v>56</v>
      </c>
      <c r="D384" s="13" t="n">
        <v>2</v>
      </c>
    </row>
    <row r="385" customFormat="false" ht="15" hidden="false" customHeight="true" outlineLevel="0" collapsed="false">
      <c r="A385" s="12" t="s">
        <v>642</v>
      </c>
      <c r="B385" s="14" t="s">
        <v>643</v>
      </c>
      <c r="C385" s="14" t="s">
        <v>56</v>
      </c>
      <c r="D385" s="13" t="n">
        <v>3</v>
      </c>
    </row>
    <row r="386" customFormat="false" ht="15" hidden="false" customHeight="true" outlineLevel="0" collapsed="false">
      <c r="A386" s="12" t="s">
        <v>644</v>
      </c>
      <c r="B386" s="14" t="s">
        <v>645</v>
      </c>
      <c r="C386" s="14" t="s">
        <v>56</v>
      </c>
      <c r="D386" s="13" t="n">
        <v>4</v>
      </c>
    </row>
    <row r="387" customFormat="false" ht="15" hidden="false" customHeight="true" outlineLevel="0" collapsed="false">
      <c r="A387" s="12" t="s">
        <v>646</v>
      </c>
      <c r="B387" s="14" t="s">
        <v>647</v>
      </c>
      <c r="C387" s="14" t="s">
        <v>56</v>
      </c>
      <c r="D387" s="13" t="n">
        <v>5</v>
      </c>
    </row>
    <row r="388" customFormat="false" ht="15" hidden="false" customHeight="true" outlineLevel="0" collapsed="false">
      <c r="A388" s="12" t="s">
        <v>648</v>
      </c>
      <c r="B388" s="14" t="s">
        <v>649</v>
      </c>
      <c r="C388" s="14" t="s">
        <v>56</v>
      </c>
      <c r="D388" s="13" t="n">
        <v>6</v>
      </c>
    </row>
    <row r="389" customFormat="false" ht="15" hidden="false" customHeight="true" outlineLevel="0" collapsed="false">
      <c r="A389" s="12" t="s">
        <v>650</v>
      </c>
      <c r="B389" s="14" t="s">
        <v>651</v>
      </c>
      <c r="C389" s="14" t="s">
        <v>56</v>
      </c>
      <c r="D389" s="13" t="n">
        <v>7</v>
      </c>
    </row>
    <row r="390" customFormat="false" ht="15" hidden="false" customHeight="true" outlineLevel="0" collapsed="false">
      <c r="A390" s="12" t="s">
        <v>652</v>
      </c>
      <c r="B390" s="14" t="s">
        <v>653</v>
      </c>
      <c r="C390" s="14" t="s">
        <v>56</v>
      </c>
      <c r="D390" s="13" t="n">
        <v>8</v>
      </c>
    </row>
    <row r="391" customFormat="false" ht="15" hidden="false" customHeight="true" outlineLevel="0" collapsed="false">
      <c r="A391" s="12" t="s">
        <v>654</v>
      </c>
      <c r="B391" s="14" t="s">
        <v>655</v>
      </c>
      <c r="C391" s="14" t="s">
        <v>56</v>
      </c>
      <c r="D391" s="13" t="n">
        <v>9</v>
      </c>
    </row>
    <row r="392" customFormat="false" ht="15" hidden="false" customHeight="true" outlineLevel="0" collapsed="false">
      <c r="A392" s="12" t="s">
        <v>656</v>
      </c>
      <c r="B392" s="14" t="s">
        <v>314</v>
      </c>
      <c r="C392" s="14" t="s">
        <v>56</v>
      </c>
      <c r="D392" s="13" t="n">
        <v>10</v>
      </c>
    </row>
    <row r="393" customFormat="false" ht="15" hidden="false" customHeight="true" outlineLevel="0" collapsed="false">
      <c r="A393" s="15" t="s">
        <v>85</v>
      </c>
    </row>
    <row r="394" customFormat="false" ht="19.5" hidden="false" customHeight="true" outlineLevel="0" collapsed="false">
      <c r="A394" s="5" t="s">
        <v>38</v>
      </c>
      <c r="B394" s="5"/>
      <c r="C394" s="5"/>
      <c r="D394" s="5"/>
    </row>
    <row r="395" customFormat="false" ht="25.5" hidden="false" customHeight="true" outlineLevel="0" collapsed="false">
      <c r="A395" s="11" t="s">
        <v>52</v>
      </c>
      <c r="B395" s="11" t="s">
        <v>96</v>
      </c>
      <c r="C395" s="11" t="s">
        <v>54</v>
      </c>
      <c r="D395" s="11" t="s">
        <v>87</v>
      </c>
    </row>
    <row r="396" customFormat="false" ht="15" hidden="false" customHeight="true" outlineLevel="0" collapsed="false">
      <c r="A396" s="12" t="s">
        <v>657</v>
      </c>
      <c r="B396" s="14" t="s">
        <v>658</v>
      </c>
      <c r="C396" s="14" t="s">
        <v>56</v>
      </c>
      <c r="D396" s="13" t="n">
        <v>1</v>
      </c>
    </row>
    <row r="397" customFormat="false" ht="15" hidden="false" customHeight="true" outlineLevel="0" collapsed="false">
      <c r="A397" s="12" t="s">
        <v>659</v>
      </c>
      <c r="B397" s="14" t="s">
        <v>660</v>
      </c>
      <c r="C397" s="14" t="s">
        <v>56</v>
      </c>
      <c r="D397" s="13" t="n">
        <v>2</v>
      </c>
    </row>
    <row r="398" customFormat="false" ht="15" hidden="false" customHeight="true" outlineLevel="0" collapsed="false">
      <c r="A398" s="12" t="s">
        <v>661</v>
      </c>
      <c r="B398" s="14" t="s">
        <v>662</v>
      </c>
      <c r="C398" s="14" t="s">
        <v>56</v>
      </c>
      <c r="D398" s="13" t="n">
        <v>3</v>
      </c>
    </row>
    <row r="399" customFormat="false" ht="15" hidden="false" customHeight="true" outlineLevel="0" collapsed="false">
      <c r="A399" s="12" t="s">
        <v>663</v>
      </c>
      <c r="B399" s="14" t="s">
        <v>664</v>
      </c>
      <c r="C399" s="14" t="s">
        <v>56</v>
      </c>
      <c r="D399" s="13" t="n">
        <v>4</v>
      </c>
    </row>
    <row r="400" customFormat="false" ht="15" hidden="false" customHeight="true" outlineLevel="0" collapsed="false">
      <c r="A400" s="12" t="s">
        <v>665</v>
      </c>
      <c r="B400" s="14" t="s">
        <v>666</v>
      </c>
      <c r="C400" s="14" t="s">
        <v>56</v>
      </c>
      <c r="D400" s="13" t="n">
        <v>5</v>
      </c>
    </row>
    <row r="401" customFormat="false" ht="15" hidden="false" customHeight="true" outlineLevel="0" collapsed="false">
      <c r="A401" s="12" t="s">
        <v>667</v>
      </c>
      <c r="B401" s="14" t="s">
        <v>668</v>
      </c>
      <c r="C401" s="14" t="s">
        <v>56</v>
      </c>
      <c r="D401" s="13" t="n">
        <v>6</v>
      </c>
    </row>
    <row r="402" customFormat="false" ht="15" hidden="false" customHeight="true" outlineLevel="0" collapsed="false">
      <c r="A402" s="12" t="s">
        <v>669</v>
      </c>
      <c r="B402" s="14" t="s">
        <v>670</v>
      </c>
      <c r="C402" s="14" t="s">
        <v>56</v>
      </c>
      <c r="D402" s="13" t="n">
        <v>7</v>
      </c>
    </row>
    <row r="403" customFormat="false" ht="15" hidden="false" customHeight="true" outlineLevel="0" collapsed="false">
      <c r="A403" s="12" t="s">
        <v>671</v>
      </c>
      <c r="B403" s="14" t="s">
        <v>672</v>
      </c>
      <c r="C403" s="14" t="s">
        <v>56</v>
      </c>
      <c r="D403" s="13" t="n">
        <v>8</v>
      </c>
    </row>
    <row r="404" customFormat="false" ht="15" hidden="false" customHeight="true" outlineLevel="0" collapsed="false">
      <c r="A404" s="12" t="s">
        <v>673</v>
      </c>
      <c r="B404" s="14" t="s">
        <v>674</v>
      </c>
      <c r="C404" s="14" t="s">
        <v>56</v>
      </c>
      <c r="D404" s="13" t="n">
        <v>9</v>
      </c>
    </row>
    <row r="405" customFormat="false" ht="15" hidden="false" customHeight="true" outlineLevel="0" collapsed="false">
      <c r="A405" s="12" t="s">
        <v>675</v>
      </c>
      <c r="B405" s="14" t="s">
        <v>676</v>
      </c>
      <c r="C405" s="14" t="s">
        <v>56</v>
      </c>
      <c r="D405" s="13" t="n">
        <v>10</v>
      </c>
    </row>
    <row r="406" customFormat="false" ht="15" hidden="false" customHeight="true" outlineLevel="0" collapsed="false">
      <c r="A406" s="12" t="s">
        <v>677</v>
      </c>
      <c r="B406" s="14" t="s">
        <v>678</v>
      </c>
      <c r="C406" s="14" t="s">
        <v>56</v>
      </c>
      <c r="D406" s="13" t="n">
        <v>11</v>
      </c>
    </row>
    <row r="407" customFormat="false" ht="15" hidden="false" customHeight="true" outlineLevel="0" collapsed="false">
      <c r="A407" s="12" t="s">
        <v>679</v>
      </c>
      <c r="B407" s="14" t="s">
        <v>680</v>
      </c>
      <c r="C407" s="14" t="s">
        <v>56</v>
      </c>
      <c r="D407" s="13" t="n">
        <v>12</v>
      </c>
    </row>
    <row r="408" customFormat="false" ht="15" hidden="false" customHeight="true" outlineLevel="0" collapsed="false">
      <c r="A408" s="12" t="s">
        <v>681</v>
      </c>
      <c r="B408" s="14" t="s">
        <v>682</v>
      </c>
      <c r="C408" s="14" t="s">
        <v>56</v>
      </c>
      <c r="D408" s="13" t="n">
        <v>13</v>
      </c>
    </row>
    <row r="409" customFormat="false" ht="15" hidden="false" customHeight="true" outlineLevel="0" collapsed="false">
      <c r="A409" s="12" t="s">
        <v>683</v>
      </c>
      <c r="B409" s="14" t="s">
        <v>684</v>
      </c>
      <c r="C409" s="14" t="s">
        <v>56</v>
      </c>
      <c r="D409" s="13" t="n">
        <v>14</v>
      </c>
    </row>
    <row r="410" customFormat="false" ht="15" hidden="false" customHeight="true" outlineLevel="0" collapsed="false">
      <c r="A410" s="12" t="s">
        <v>685</v>
      </c>
      <c r="B410" s="14" t="s">
        <v>686</v>
      </c>
      <c r="C410" s="14" t="s">
        <v>56</v>
      </c>
      <c r="D410" s="13" t="n">
        <v>15</v>
      </c>
    </row>
    <row r="411" customFormat="false" ht="15" hidden="false" customHeight="true" outlineLevel="0" collapsed="false">
      <c r="A411" s="12" t="s">
        <v>687</v>
      </c>
      <c r="B411" s="14" t="s">
        <v>688</v>
      </c>
      <c r="C411" s="14" t="s">
        <v>56</v>
      </c>
      <c r="D411" s="13" t="n">
        <v>16</v>
      </c>
    </row>
    <row r="412" customFormat="false" ht="15" hidden="false" customHeight="true" outlineLevel="0" collapsed="false">
      <c r="A412" s="12" t="s">
        <v>689</v>
      </c>
      <c r="B412" s="14" t="s">
        <v>690</v>
      </c>
      <c r="C412" s="14" t="s">
        <v>56</v>
      </c>
      <c r="D412" s="13" t="n">
        <v>17</v>
      </c>
    </row>
    <row r="413" customFormat="false" ht="15" hidden="false" customHeight="true" outlineLevel="0" collapsed="false">
      <c r="A413" s="12" t="s">
        <v>691</v>
      </c>
      <c r="B413" s="14" t="s">
        <v>692</v>
      </c>
      <c r="C413" s="14" t="s">
        <v>56</v>
      </c>
      <c r="D413" s="13" t="n">
        <v>18</v>
      </c>
    </row>
    <row r="414" customFormat="false" ht="15" hidden="false" customHeight="true" outlineLevel="0" collapsed="false">
      <c r="A414" s="12" t="s">
        <v>693</v>
      </c>
      <c r="B414" s="14" t="s">
        <v>694</v>
      </c>
      <c r="C414" s="14" t="s">
        <v>56</v>
      </c>
      <c r="D414" s="13" t="n">
        <v>19</v>
      </c>
    </row>
    <row r="415" customFormat="false" ht="15" hidden="false" customHeight="true" outlineLevel="0" collapsed="false">
      <c r="A415" s="12" t="s">
        <v>695</v>
      </c>
      <c r="B415" s="14" t="s">
        <v>696</v>
      </c>
      <c r="C415" s="14" t="s">
        <v>56</v>
      </c>
      <c r="D415" s="13" t="n">
        <v>20</v>
      </c>
    </row>
    <row r="416" customFormat="false" ht="15" hidden="false" customHeight="true" outlineLevel="0" collapsed="false">
      <c r="A416" s="12" t="s">
        <v>697</v>
      </c>
      <c r="B416" s="14" t="s">
        <v>698</v>
      </c>
      <c r="C416" s="14" t="s">
        <v>56</v>
      </c>
      <c r="D416" s="13" t="n">
        <v>21</v>
      </c>
    </row>
    <row r="417" customFormat="false" ht="15" hidden="false" customHeight="true" outlineLevel="0" collapsed="false">
      <c r="A417" s="12" t="s">
        <v>699</v>
      </c>
      <c r="B417" s="14" t="s">
        <v>700</v>
      </c>
      <c r="C417" s="14" t="s">
        <v>56</v>
      </c>
      <c r="D417" s="13" t="n">
        <v>22</v>
      </c>
    </row>
    <row r="418" customFormat="false" ht="15" hidden="false" customHeight="true" outlineLevel="0" collapsed="false">
      <c r="A418" s="12" t="s">
        <v>701</v>
      </c>
      <c r="B418" s="14" t="s">
        <v>702</v>
      </c>
      <c r="C418" s="14" t="s">
        <v>56</v>
      </c>
      <c r="D418" s="13" t="n">
        <v>23</v>
      </c>
    </row>
    <row r="419" customFormat="false" ht="15" hidden="false" customHeight="true" outlineLevel="0" collapsed="false">
      <c r="A419" s="12" t="s">
        <v>703</v>
      </c>
      <c r="B419" s="14" t="s">
        <v>645</v>
      </c>
      <c r="C419" s="14" t="s">
        <v>56</v>
      </c>
      <c r="D419" s="13" t="n">
        <v>24</v>
      </c>
    </row>
    <row r="420" customFormat="false" ht="15" hidden="false" customHeight="true" outlineLevel="0" collapsed="false">
      <c r="A420" s="12" t="s">
        <v>704</v>
      </c>
      <c r="B420" s="14" t="s">
        <v>705</v>
      </c>
      <c r="C420" s="14" t="s">
        <v>56</v>
      </c>
      <c r="D420" s="13" t="n">
        <v>25</v>
      </c>
    </row>
    <row r="421" customFormat="false" ht="15" hidden="false" customHeight="true" outlineLevel="0" collapsed="false">
      <c r="A421" s="12" t="s">
        <v>706</v>
      </c>
      <c r="B421" s="14" t="s">
        <v>707</v>
      </c>
      <c r="C421" s="14" t="s">
        <v>56</v>
      </c>
      <c r="D421" s="13" t="n">
        <v>26</v>
      </c>
    </row>
    <row r="422" customFormat="false" ht="15" hidden="false" customHeight="true" outlineLevel="0" collapsed="false">
      <c r="A422" s="12" t="s">
        <v>708</v>
      </c>
      <c r="B422" s="14" t="s">
        <v>709</v>
      </c>
      <c r="C422" s="14" t="s">
        <v>56</v>
      </c>
      <c r="D422" s="13" t="n">
        <v>27</v>
      </c>
    </row>
    <row r="423" customFormat="false" ht="15" hidden="false" customHeight="true" outlineLevel="0" collapsed="false">
      <c r="A423" s="12" t="s">
        <v>710</v>
      </c>
      <c r="B423" s="14" t="s">
        <v>711</v>
      </c>
      <c r="C423" s="14" t="s">
        <v>56</v>
      </c>
      <c r="D423" s="13" t="n">
        <v>28</v>
      </c>
    </row>
    <row r="424" customFormat="false" ht="15" hidden="false" customHeight="true" outlineLevel="0" collapsed="false">
      <c r="A424" s="12" t="s">
        <v>712</v>
      </c>
      <c r="B424" s="14" t="s">
        <v>314</v>
      </c>
      <c r="C424" s="14" t="s">
        <v>56</v>
      </c>
      <c r="D424" s="13" t="n">
        <v>29</v>
      </c>
    </row>
    <row r="425" customFormat="false" ht="15" hidden="false" customHeight="true" outlineLevel="0" collapsed="false">
      <c r="A425" s="15" t="s">
        <v>85</v>
      </c>
    </row>
    <row r="426" customFormat="false" ht="19.5" hidden="false" customHeight="true" outlineLevel="0" collapsed="false">
      <c r="A426" s="5" t="s">
        <v>39</v>
      </c>
      <c r="B426" s="5"/>
      <c r="C426" s="5"/>
      <c r="D426" s="5"/>
    </row>
    <row r="427" customFormat="false" ht="25.5" hidden="false" customHeight="true" outlineLevel="0" collapsed="false">
      <c r="A427" s="11" t="s">
        <v>52</v>
      </c>
      <c r="B427" s="11" t="s">
        <v>96</v>
      </c>
      <c r="C427" s="11" t="s">
        <v>54</v>
      </c>
      <c r="D427" s="11" t="s">
        <v>87</v>
      </c>
    </row>
    <row r="428" customFormat="false" ht="15" hidden="false" customHeight="true" outlineLevel="0" collapsed="false">
      <c r="A428" s="12" t="s">
        <v>713</v>
      </c>
      <c r="B428" s="14" t="s">
        <v>714</v>
      </c>
      <c r="C428" s="14" t="s">
        <v>56</v>
      </c>
      <c r="D428" s="13" t="n">
        <v>1</v>
      </c>
    </row>
    <row r="429" customFormat="false" ht="15" hidden="false" customHeight="true" outlineLevel="0" collapsed="false">
      <c r="A429" s="12" t="s">
        <v>715</v>
      </c>
      <c r="B429" s="14" t="s">
        <v>716</v>
      </c>
      <c r="C429" s="14" t="s">
        <v>56</v>
      </c>
      <c r="D429" s="13" t="n">
        <v>2</v>
      </c>
    </row>
    <row r="430" customFormat="false" ht="15" hidden="false" customHeight="true" outlineLevel="0" collapsed="false">
      <c r="A430" s="12" t="s">
        <v>717</v>
      </c>
      <c r="B430" s="14" t="s">
        <v>718</v>
      </c>
      <c r="C430" s="14" t="s">
        <v>56</v>
      </c>
      <c r="D430" s="13" t="n">
        <v>3</v>
      </c>
    </row>
    <row r="431" customFormat="false" ht="15" hidden="false" customHeight="true" outlineLevel="0" collapsed="false">
      <c r="A431" s="12" t="s">
        <v>719</v>
      </c>
      <c r="B431" s="14" t="s">
        <v>720</v>
      </c>
      <c r="C431" s="14" t="s">
        <v>56</v>
      </c>
      <c r="D431" s="13" t="n">
        <v>4</v>
      </c>
    </row>
    <row r="432" customFormat="false" ht="15" hidden="false" customHeight="true" outlineLevel="0" collapsed="false">
      <c r="A432" s="15" t="s">
        <v>85</v>
      </c>
    </row>
    <row r="433" customFormat="false" ht="19.5" hidden="false" customHeight="true" outlineLevel="0" collapsed="false">
      <c r="A433" s="5" t="s">
        <v>40</v>
      </c>
      <c r="B433" s="5"/>
      <c r="C433" s="5"/>
      <c r="D433" s="5"/>
    </row>
    <row r="434" customFormat="false" ht="25.5" hidden="false" customHeight="true" outlineLevel="0" collapsed="false">
      <c r="A434" s="11" t="s">
        <v>52</v>
      </c>
      <c r="B434" s="11" t="s">
        <v>96</v>
      </c>
      <c r="C434" s="11" t="s">
        <v>54</v>
      </c>
      <c r="D434" s="11" t="s">
        <v>87</v>
      </c>
    </row>
    <row r="435" customFormat="false" ht="15" hidden="false" customHeight="true" outlineLevel="0" collapsed="false">
      <c r="A435" s="12" t="s">
        <v>721</v>
      </c>
      <c r="B435" s="14" t="s">
        <v>722</v>
      </c>
      <c r="C435" s="14" t="s">
        <v>56</v>
      </c>
      <c r="D435" s="13" t="n">
        <v>1</v>
      </c>
    </row>
    <row r="436" customFormat="false" ht="15" hidden="false" customHeight="true" outlineLevel="0" collapsed="false">
      <c r="A436" s="12" t="s">
        <v>723</v>
      </c>
      <c r="B436" s="14" t="s">
        <v>714</v>
      </c>
      <c r="C436" s="14" t="s">
        <v>56</v>
      </c>
      <c r="D436" s="13" t="n">
        <v>2</v>
      </c>
    </row>
    <row r="437" customFormat="false" ht="15" hidden="false" customHeight="true" outlineLevel="0" collapsed="false">
      <c r="A437" s="12" t="s">
        <v>724</v>
      </c>
      <c r="B437" s="14" t="s">
        <v>725</v>
      </c>
      <c r="C437" s="14" t="s">
        <v>56</v>
      </c>
      <c r="D437" s="13" t="n">
        <v>3</v>
      </c>
    </row>
    <row r="438" customFormat="false" ht="15" hidden="false" customHeight="true" outlineLevel="0" collapsed="false">
      <c r="A438" s="12" t="s">
        <v>726</v>
      </c>
      <c r="B438" s="14" t="s">
        <v>393</v>
      </c>
      <c r="C438" s="14" t="s">
        <v>56</v>
      </c>
      <c r="D438" s="13" t="n">
        <v>4</v>
      </c>
    </row>
    <row r="439" customFormat="false" ht="15" hidden="false" customHeight="true" outlineLevel="0" collapsed="false">
      <c r="A439" s="12" t="s">
        <v>727</v>
      </c>
      <c r="B439" s="14" t="s">
        <v>720</v>
      </c>
      <c r="C439" s="14" t="s">
        <v>56</v>
      </c>
      <c r="D439" s="13" t="n">
        <v>5</v>
      </c>
    </row>
    <row r="440" customFormat="false" ht="15" hidden="false" customHeight="true" outlineLevel="0" collapsed="false">
      <c r="A440" s="15" t="s">
        <v>85</v>
      </c>
    </row>
    <row r="441" customFormat="false" ht="19.5" hidden="false" customHeight="true" outlineLevel="0" collapsed="false">
      <c r="A441" s="5" t="s">
        <v>42</v>
      </c>
      <c r="B441" s="5"/>
      <c r="C441" s="5"/>
      <c r="D441" s="5"/>
    </row>
    <row r="442" customFormat="false" ht="25.5" hidden="false" customHeight="true" outlineLevel="0" collapsed="false">
      <c r="A442" s="11" t="s">
        <v>52</v>
      </c>
      <c r="B442" s="11" t="s">
        <v>96</v>
      </c>
      <c r="C442" s="11" t="s">
        <v>54</v>
      </c>
      <c r="D442" s="11" t="s">
        <v>87</v>
      </c>
    </row>
    <row r="443" customFormat="false" ht="15" hidden="false" customHeight="true" outlineLevel="0" collapsed="false">
      <c r="A443" s="12" t="s">
        <v>728</v>
      </c>
      <c r="B443" s="14" t="s">
        <v>729</v>
      </c>
      <c r="C443" s="14" t="s">
        <v>56</v>
      </c>
      <c r="D443" s="13" t="n">
        <v>1</v>
      </c>
    </row>
    <row r="444" customFormat="false" ht="15" hidden="false" customHeight="true" outlineLevel="0" collapsed="false">
      <c r="A444" s="12" t="s">
        <v>730</v>
      </c>
      <c r="B444" s="14" t="s">
        <v>731</v>
      </c>
      <c r="C444" s="14" t="s">
        <v>56</v>
      </c>
      <c r="D444" s="13" t="n">
        <v>2</v>
      </c>
    </row>
    <row r="445" customFormat="false" ht="15" hidden="false" customHeight="true" outlineLevel="0" collapsed="false">
      <c r="A445" s="12" t="s">
        <v>732</v>
      </c>
      <c r="B445" s="14" t="s">
        <v>733</v>
      </c>
      <c r="C445" s="14" t="s">
        <v>56</v>
      </c>
      <c r="D445" s="13" t="n">
        <v>3</v>
      </c>
    </row>
    <row r="446" customFormat="false" ht="15" hidden="false" customHeight="true" outlineLevel="0" collapsed="false">
      <c r="A446" s="12" t="s">
        <v>734</v>
      </c>
      <c r="B446" s="14" t="s">
        <v>735</v>
      </c>
      <c r="C446" s="14" t="s">
        <v>56</v>
      </c>
      <c r="D446" s="13" t="n">
        <v>4</v>
      </c>
    </row>
    <row r="447" customFormat="false" ht="15" hidden="false" customHeight="true" outlineLevel="0" collapsed="false">
      <c r="A447" s="12" t="s">
        <v>736</v>
      </c>
      <c r="B447" s="14" t="s">
        <v>737</v>
      </c>
      <c r="C447" s="14" t="s">
        <v>56</v>
      </c>
      <c r="D447" s="13" t="n">
        <v>5</v>
      </c>
    </row>
    <row r="448" customFormat="false" ht="15" hidden="false" customHeight="true" outlineLevel="0" collapsed="false">
      <c r="A448" s="12" t="s">
        <v>738</v>
      </c>
      <c r="B448" s="14" t="s">
        <v>739</v>
      </c>
      <c r="C448" s="14" t="s">
        <v>56</v>
      </c>
      <c r="D448" s="13" t="n">
        <v>6</v>
      </c>
    </row>
    <row r="449" customFormat="false" ht="15" hidden="false" customHeight="true" outlineLevel="0" collapsed="false">
      <c r="A449" s="12" t="s">
        <v>740</v>
      </c>
      <c r="B449" s="14" t="s">
        <v>122</v>
      </c>
      <c r="C449" s="14" t="s">
        <v>56</v>
      </c>
      <c r="D449" s="13" t="n">
        <v>7</v>
      </c>
    </row>
    <row r="450" customFormat="false" ht="15" hidden="false" customHeight="true" outlineLevel="0" collapsed="false">
      <c r="A450" s="15" t="s">
        <v>85</v>
      </c>
    </row>
    <row r="451" customFormat="false" ht="19.5" hidden="false" customHeight="true" outlineLevel="0" collapsed="false">
      <c r="A451" s="5" t="s">
        <v>43</v>
      </c>
      <c r="B451" s="5"/>
      <c r="C451" s="5"/>
      <c r="D451" s="5"/>
    </row>
    <row r="452" customFormat="false" ht="25.5" hidden="false" customHeight="true" outlineLevel="0" collapsed="false">
      <c r="A452" s="11" t="s">
        <v>52</v>
      </c>
      <c r="B452" s="11" t="s">
        <v>96</v>
      </c>
      <c r="C452" s="11" t="s">
        <v>54</v>
      </c>
      <c r="D452" s="11" t="s">
        <v>87</v>
      </c>
    </row>
    <row r="453" customFormat="false" ht="15" hidden="false" customHeight="true" outlineLevel="0" collapsed="false">
      <c r="A453" s="12" t="s">
        <v>741</v>
      </c>
      <c r="B453" s="14" t="s">
        <v>742</v>
      </c>
      <c r="C453" s="14" t="s">
        <v>56</v>
      </c>
      <c r="D453" s="13" t="n">
        <v>1</v>
      </c>
    </row>
    <row r="454" customFormat="false" ht="15" hidden="false" customHeight="true" outlineLevel="0" collapsed="false">
      <c r="A454" s="12" t="s">
        <v>743</v>
      </c>
      <c r="B454" s="14" t="s">
        <v>744</v>
      </c>
      <c r="C454" s="14" t="s">
        <v>56</v>
      </c>
      <c r="D454" s="13" t="n">
        <v>2</v>
      </c>
    </row>
    <row r="455" customFormat="false" ht="15" hidden="false" customHeight="true" outlineLevel="0" collapsed="false">
      <c r="A455" s="12" t="s">
        <v>745</v>
      </c>
      <c r="B455" s="14" t="s">
        <v>746</v>
      </c>
      <c r="C455" s="14" t="s">
        <v>56</v>
      </c>
      <c r="D455" s="13" t="n">
        <v>3</v>
      </c>
    </row>
    <row r="456" customFormat="false" ht="15" hidden="false" customHeight="true" outlineLevel="0" collapsed="false">
      <c r="A456" s="12" t="s">
        <v>747</v>
      </c>
      <c r="B456" s="14" t="s">
        <v>748</v>
      </c>
      <c r="C456" s="14" t="s">
        <v>56</v>
      </c>
      <c r="D456" s="13" t="n">
        <v>4</v>
      </c>
    </row>
    <row r="457" customFormat="false" ht="15" hidden="false" customHeight="true" outlineLevel="0" collapsed="false">
      <c r="A457" s="12" t="s">
        <v>749</v>
      </c>
      <c r="B457" s="14" t="s">
        <v>750</v>
      </c>
      <c r="C457" s="14" t="s">
        <v>56</v>
      </c>
      <c r="D457" s="13" t="n">
        <v>5</v>
      </c>
    </row>
    <row r="458" customFormat="false" ht="15" hidden="false" customHeight="true" outlineLevel="0" collapsed="false">
      <c r="A458" s="12" t="s">
        <v>751</v>
      </c>
      <c r="B458" s="14" t="s">
        <v>752</v>
      </c>
      <c r="C458" s="14" t="s">
        <v>56</v>
      </c>
      <c r="D458" s="13" t="n">
        <v>6</v>
      </c>
    </row>
    <row r="459" customFormat="false" ht="15" hidden="false" customHeight="true" outlineLevel="0" collapsed="false">
      <c r="A459" s="12" t="s">
        <v>753</v>
      </c>
      <c r="B459" s="14" t="s">
        <v>754</v>
      </c>
      <c r="C459" s="14" t="s">
        <v>56</v>
      </c>
      <c r="D459" s="13" t="n">
        <v>7</v>
      </c>
    </row>
    <row r="460" customFormat="false" ht="15" hidden="false" customHeight="true" outlineLevel="0" collapsed="false">
      <c r="A460" s="12" t="s">
        <v>755</v>
      </c>
      <c r="B460" s="14" t="s">
        <v>756</v>
      </c>
      <c r="C460" s="14" t="s">
        <v>56</v>
      </c>
      <c r="D460" s="13" t="n">
        <v>8</v>
      </c>
    </row>
    <row r="461" customFormat="false" ht="15" hidden="false" customHeight="true" outlineLevel="0" collapsed="false">
      <c r="A461" s="12" t="s">
        <v>757</v>
      </c>
      <c r="B461" s="14" t="s">
        <v>758</v>
      </c>
      <c r="C461" s="14" t="s">
        <v>56</v>
      </c>
      <c r="D461" s="13" t="n">
        <v>9</v>
      </c>
    </row>
    <row r="462" customFormat="false" ht="15" hidden="false" customHeight="true" outlineLevel="0" collapsed="false">
      <c r="A462" s="12" t="s">
        <v>759</v>
      </c>
      <c r="B462" s="14" t="s">
        <v>760</v>
      </c>
      <c r="C462" s="14" t="s">
        <v>56</v>
      </c>
      <c r="D462" s="13" t="n">
        <v>10</v>
      </c>
    </row>
    <row r="463" customFormat="false" ht="15" hidden="false" customHeight="true" outlineLevel="0" collapsed="false">
      <c r="A463" s="12" t="s">
        <v>761</v>
      </c>
      <c r="B463" s="14" t="s">
        <v>762</v>
      </c>
      <c r="C463" s="14" t="s">
        <v>56</v>
      </c>
      <c r="D463" s="13" t="n">
        <v>11</v>
      </c>
    </row>
    <row r="464" customFormat="false" ht="15" hidden="false" customHeight="true" outlineLevel="0" collapsed="false">
      <c r="A464" s="12" t="s">
        <v>763</v>
      </c>
      <c r="B464" s="14" t="s">
        <v>764</v>
      </c>
      <c r="C464" s="14" t="s">
        <v>56</v>
      </c>
      <c r="D464" s="13" t="n">
        <v>12</v>
      </c>
    </row>
    <row r="465" customFormat="false" ht="15" hidden="false" customHeight="true" outlineLevel="0" collapsed="false">
      <c r="A465" s="12" t="s">
        <v>765</v>
      </c>
      <c r="B465" s="14" t="s">
        <v>766</v>
      </c>
      <c r="C465" s="14" t="s">
        <v>56</v>
      </c>
      <c r="D465" s="13" t="n">
        <v>13</v>
      </c>
    </row>
    <row r="466" customFormat="false" ht="15" hidden="false" customHeight="true" outlineLevel="0" collapsed="false">
      <c r="A466" s="12" t="s">
        <v>767</v>
      </c>
      <c r="B466" s="14" t="s">
        <v>768</v>
      </c>
      <c r="C466" s="14" t="s">
        <v>56</v>
      </c>
      <c r="D466" s="13" t="n">
        <v>14</v>
      </c>
    </row>
    <row r="467" customFormat="false" ht="15" hidden="false" customHeight="true" outlineLevel="0" collapsed="false">
      <c r="A467" s="12" t="s">
        <v>769</v>
      </c>
      <c r="B467" s="14" t="s">
        <v>770</v>
      </c>
      <c r="C467" s="14" t="s">
        <v>56</v>
      </c>
      <c r="D467" s="13" t="n">
        <v>15</v>
      </c>
    </row>
    <row r="468" customFormat="false" ht="15" hidden="false" customHeight="true" outlineLevel="0" collapsed="false">
      <c r="A468" s="12" t="s">
        <v>771</v>
      </c>
      <c r="B468" s="14" t="s">
        <v>772</v>
      </c>
      <c r="C468" s="14" t="s">
        <v>56</v>
      </c>
      <c r="D468" s="13" t="n">
        <v>16</v>
      </c>
    </row>
    <row r="469" customFormat="false" ht="15" hidden="false" customHeight="true" outlineLevel="0" collapsed="false">
      <c r="A469" s="12" t="s">
        <v>773</v>
      </c>
      <c r="B469" s="14" t="s">
        <v>314</v>
      </c>
      <c r="C469" s="14" t="s">
        <v>56</v>
      </c>
      <c r="D469" s="13" t="n">
        <v>17</v>
      </c>
    </row>
    <row r="470" customFormat="false" ht="15" hidden="false" customHeight="true" outlineLevel="0" collapsed="false">
      <c r="A470" s="15" t="s">
        <v>85</v>
      </c>
    </row>
    <row r="471" customFormat="false" ht="19.5" hidden="false" customHeight="true" outlineLevel="0" collapsed="false">
      <c r="A471" s="5" t="s">
        <v>45</v>
      </c>
      <c r="B471" s="5"/>
      <c r="C471" s="5"/>
      <c r="D471" s="5"/>
    </row>
    <row r="472" customFormat="false" ht="25.5" hidden="false" customHeight="true" outlineLevel="0" collapsed="false">
      <c r="A472" s="11" t="s">
        <v>52</v>
      </c>
      <c r="B472" s="11" t="s">
        <v>96</v>
      </c>
      <c r="C472" s="11" t="s">
        <v>54</v>
      </c>
      <c r="D472" s="11" t="s">
        <v>87</v>
      </c>
    </row>
    <row r="473" customFormat="false" ht="15" hidden="false" customHeight="true" outlineLevel="0" collapsed="false">
      <c r="A473" s="12" t="s">
        <v>774</v>
      </c>
      <c r="B473" s="14" t="s">
        <v>775</v>
      </c>
      <c r="C473" s="14" t="s">
        <v>56</v>
      </c>
      <c r="D473" s="13" t="n">
        <v>1</v>
      </c>
    </row>
    <row r="474" customFormat="false" ht="15" hidden="false" customHeight="true" outlineLevel="0" collapsed="false">
      <c r="A474" s="12" t="s">
        <v>776</v>
      </c>
      <c r="B474" s="14" t="s">
        <v>777</v>
      </c>
      <c r="C474" s="14" t="s">
        <v>56</v>
      </c>
      <c r="D474" s="13" t="n">
        <v>2</v>
      </c>
    </row>
    <row r="475" customFormat="false" ht="15" hidden="false" customHeight="true" outlineLevel="0" collapsed="false">
      <c r="A475" s="12" t="s">
        <v>778</v>
      </c>
      <c r="B475" s="14" t="s">
        <v>779</v>
      </c>
      <c r="C475" s="14" t="s">
        <v>56</v>
      </c>
      <c r="D475" s="13" t="n">
        <v>3</v>
      </c>
    </row>
    <row r="476" customFormat="false" ht="15" hidden="false" customHeight="true" outlineLevel="0" collapsed="false">
      <c r="A476" s="12" t="s">
        <v>780</v>
      </c>
      <c r="B476" s="14" t="s">
        <v>781</v>
      </c>
      <c r="C476" s="14" t="s">
        <v>56</v>
      </c>
      <c r="D476" s="13" t="n">
        <v>4</v>
      </c>
    </row>
    <row r="477" customFormat="false" ht="15" hidden="false" customHeight="true" outlineLevel="0" collapsed="false">
      <c r="A477" s="12" t="s">
        <v>782</v>
      </c>
      <c r="B477" s="14" t="s">
        <v>783</v>
      </c>
      <c r="C477" s="14" t="s">
        <v>56</v>
      </c>
      <c r="D477" s="13" t="n">
        <v>5</v>
      </c>
    </row>
    <row r="478" customFormat="false" ht="15" hidden="false" customHeight="true" outlineLevel="0" collapsed="false">
      <c r="A478" s="12" t="s">
        <v>784</v>
      </c>
      <c r="B478" s="14" t="s">
        <v>785</v>
      </c>
      <c r="C478" s="14" t="s">
        <v>56</v>
      </c>
      <c r="D478" s="13" t="n">
        <v>6</v>
      </c>
    </row>
    <row r="479" customFormat="false" ht="15" hidden="false" customHeight="true" outlineLevel="0" collapsed="false">
      <c r="A479" s="12" t="s">
        <v>786</v>
      </c>
      <c r="B479" s="14" t="s">
        <v>787</v>
      </c>
      <c r="C479" s="14" t="s">
        <v>56</v>
      </c>
      <c r="D479" s="13" t="n">
        <v>7</v>
      </c>
    </row>
    <row r="480" customFormat="false" ht="15" hidden="false" customHeight="true" outlineLevel="0" collapsed="false">
      <c r="A480" s="12" t="s">
        <v>788</v>
      </c>
      <c r="B480" s="14" t="s">
        <v>789</v>
      </c>
      <c r="C480" s="14" t="s">
        <v>56</v>
      </c>
      <c r="D480" s="13" t="n">
        <v>8</v>
      </c>
    </row>
    <row r="481" customFormat="false" ht="15" hidden="false" customHeight="true" outlineLevel="0" collapsed="false">
      <c r="A481" s="12" t="s">
        <v>790</v>
      </c>
      <c r="B481" s="14" t="s">
        <v>791</v>
      </c>
      <c r="C481" s="14" t="s">
        <v>56</v>
      </c>
      <c r="D481" s="13" t="n">
        <v>9</v>
      </c>
    </row>
    <row r="482" customFormat="false" ht="15" hidden="false" customHeight="true" outlineLevel="0" collapsed="false">
      <c r="A482" s="12" t="s">
        <v>792</v>
      </c>
      <c r="B482" s="14" t="s">
        <v>793</v>
      </c>
      <c r="C482" s="14" t="s">
        <v>56</v>
      </c>
      <c r="D482" s="13" t="n">
        <v>10</v>
      </c>
    </row>
    <row r="483" customFormat="false" ht="15" hidden="false" customHeight="true" outlineLevel="0" collapsed="false">
      <c r="A483" s="12" t="s">
        <v>794</v>
      </c>
      <c r="B483" s="14" t="s">
        <v>795</v>
      </c>
      <c r="C483" s="14" t="s">
        <v>56</v>
      </c>
      <c r="D483" s="13" t="n">
        <v>11</v>
      </c>
    </row>
    <row r="484" customFormat="false" ht="15" hidden="false" customHeight="true" outlineLevel="0" collapsed="false">
      <c r="A484" s="12" t="s">
        <v>796</v>
      </c>
      <c r="B484" s="14" t="s">
        <v>67</v>
      </c>
      <c r="C484" s="14" t="s">
        <v>56</v>
      </c>
      <c r="D484" s="13" t="n">
        <v>12</v>
      </c>
    </row>
    <row r="485" customFormat="false" ht="15" hidden="false" customHeight="true" outlineLevel="0" collapsed="false">
      <c r="A485" s="12" t="s">
        <v>797</v>
      </c>
      <c r="B485" s="14" t="s">
        <v>798</v>
      </c>
      <c r="C485" s="14" t="s">
        <v>56</v>
      </c>
      <c r="D485" s="13" t="n">
        <v>13</v>
      </c>
    </row>
    <row r="486" customFormat="false" ht="15" hidden="false" customHeight="true" outlineLevel="0" collapsed="false">
      <c r="A486" s="12" t="s">
        <v>799</v>
      </c>
      <c r="B486" s="14" t="s">
        <v>389</v>
      </c>
      <c r="C486" s="14" t="s">
        <v>56</v>
      </c>
      <c r="D486" s="13" t="n">
        <v>14</v>
      </c>
    </row>
    <row r="487" customFormat="false" ht="15" hidden="false" customHeight="true" outlineLevel="0" collapsed="false">
      <c r="A487" s="12" t="s">
        <v>800</v>
      </c>
      <c r="B487" s="14" t="s">
        <v>801</v>
      </c>
      <c r="C487" s="14" t="s">
        <v>56</v>
      </c>
      <c r="D487" s="13" t="n">
        <v>15</v>
      </c>
    </row>
    <row r="488" customFormat="false" ht="15" hidden="false" customHeight="true" outlineLevel="0" collapsed="false">
      <c r="A488" s="12" t="s">
        <v>802</v>
      </c>
      <c r="B488" s="14" t="s">
        <v>316</v>
      </c>
      <c r="C488" s="14" t="s">
        <v>56</v>
      </c>
      <c r="D488" s="13" t="n">
        <v>16</v>
      </c>
    </row>
    <row r="489" customFormat="false" ht="15" hidden="false" customHeight="true" outlineLevel="0" collapsed="false">
      <c r="A489" s="12" t="s">
        <v>803</v>
      </c>
      <c r="B489" s="14" t="s">
        <v>318</v>
      </c>
      <c r="C489" s="14" t="s">
        <v>56</v>
      </c>
      <c r="D489" s="13" t="n">
        <v>17</v>
      </c>
    </row>
    <row r="490" customFormat="false" ht="15" hidden="false" customHeight="true" outlineLevel="0" collapsed="false">
      <c r="A490" s="12" t="s">
        <v>804</v>
      </c>
      <c r="B490" s="14" t="s">
        <v>805</v>
      </c>
      <c r="C490" s="14" t="s">
        <v>56</v>
      </c>
      <c r="D490" s="13" t="n">
        <v>18</v>
      </c>
    </row>
    <row r="491" customFormat="false" ht="15" hidden="false" customHeight="true" outlineLevel="0" collapsed="false">
      <c r="A491" s="12" t="s">
        <v>806</v>
      </c>
      <c r="B491" s="14" t="s">
        <v>314</v>
      </c>
      <c r="C491" s="14" t="s">
        <v>56</v>
      </c>
      <c r="D491" s="13" t="n">
        <v>19</v>
      </c>
    </row>
    <row r="492" customFormat="false" ht="15" hidden="false" customHeight="true" outlineLevel="0" collapsed="false">
      <c r="A492" s="15" t="s">
        <v>85</v>
      </c>
    </row>
    <row r="493" customFormat="false" ht="19.5" hidden="false" customHeight="true" outlineLevel="0" collapsed="false">
      <c r="A493" s="5" t="s">
        <v>46</v>
      </c>
      <c r="B493" s="5"/>
      <c r="C493" s="5"/>
      <c r="D493" s="5"/>
    </row>
    <row r="494" customFormat="false" ht="25.5" hidden="false" customHeight="true" outlineLevel="0" collapsed="false">
      <c r="A494" s="11" t="s">
        <v>52</v>
      </c>
      <c r="B494" s="11" t="s">
        <v>96</v>
      </c>
      <c r="C494" s="11" t="s">
        <v>54</v>
      </c>
      <c r="D494" s="11" t="s">
        <v>87</v>
      </c>
    </row>
    <row r="495" customFormat="false" ht="15" hidden="false" customHeight="true" outlineLevel="0" collapsed="false">
      <c r="A495" s="12" t="s">
        <v>807</v>
      </c>
      <c r="B495" s="14" t="s">
        <v>808</v>
      </c>
      <c r="C495" s="14" t="s">
        <v>56</v>
      </c>
      <c r="D495" s="13" t="n">
        <v>1</v>
      </c>
    </row>
    <row r="496" customFormat="false" ht="15" hidden="false" customHeight="true" outlineLevel="0" collapsed="false">
      <c r="A496" s="12" t="s">
        <v>809</v>
      </c>
      <c r="B496" s="14" t="s">
        <v>810</v>
      </c>
      <c r="C496" s="14" t="s">
        <v>56</v>
      </c>
      <c r="D496" s="13" t="n">
        <v>2</v>
      </c>
    </row>
    <row r="497" customFormat="false" ht="15" hidden="false" customHeight="true" outlineLevel="0" collapsed="false">
      <c r="A497" s="12" t="s">
        <v>811</v>
      </c>
      <c r="B497" s="14" t="s">
        <v>812</v>
      </c>
      <c r="C497" s="14" t="s">
        <v>56</v>
      </c>
      <c r="D497" s="13" t="n">
        <v>3</v>
      </c>
    </row>
    <row r="498" customFormat="false" ht="15" hidden="false" customHeight="true" outlineLevel="0" collapsed="false">
      <c r="A498" s="12" t="s">
        <v>813</v>
      </c>
      <c r="B498" s="14" t="s">
        <v>814</v>
      </c>
      <c r="C498" s="14" t="s">
        <v>56</v>
      </c>
      <c r="D498" s="13" t="n">
        <v>4</v>
      </c>
    </row>
    <row r="499" customFormat="false" ht="15" hidden="false" customHeight="true" outlineLevel="0" collapsed="false">
      <c r="A499" s="12" t="s">
        <v>815</v>
      </c>
      <c r="B499" s="14" t="s">
        <v>816</v>
      </c>
      <c r="C499" s="14" t="s">
        <v>56</v>
      </c>
      <c r="D499" s="13" t="n">
        <v>5</v>
      </c>
    </row>
    <row r="500" customFormat="false" ht="15" hidden="false" customHeight="true" outlineLevel="0" collapsed="false">
      <c r="A500" s="12" t="s">
        <v>817</v>
      </c>
      <c r="B500" s="14" t="s">
        <v>818</v>
      </c>
      <c r="C500" s="14" t="s">
        <v>56</v>
      </c>
      <c r="D500" s="13" t="n">
        <v>6</v>
      </c>
    </row>
    <row r="501" customFormat="false" ht="15" hidden="false" customHeight="true" outlineLevel="0" collapsed="false">
      <c r="A501" s="12" t="s">
        <v>819</v>
      </c>
      <c r="B501" s="14" t="s">
        <v>820</v>
      </c>
      <c r="C501" s="14" t="s">
        <v>56</v>
      </c>
      <c r="D501" s="13" t="n">
        <v>7</v>
      </c>
    </row>
    <row r="502" customFormat="false" ht="15" hidden="false" customHeight="true" outlineLevel="0" collapsed="false">
      <c r="A502" s="12" t="s">
        <v>821</v>
      </c>
      <c r="B502" s="14" t="s">
        <v>822</v>
      </c>
      <c r="C502" s="14" t="s">
        <v>56</v>
      </c>
      <c r="D502" s="13" t="n">
        <v>8</v>
      </c>
    </row>
    <row r="503" customFormat="false" ht="15" hidden="false" customHeight="true" outlineLevel="0" collapsed="false">
      <c r="A503" s="12" t="s">
        <v>823</v>
      </c>
      <c r="B503" s="14" t="s">
        <v>824</v>
      </c>
      <c r="C503" s="14" t="s">
        <v>56</v>
      </c>
      <c r="D503" s="13" t="n">
        <v>9</v>
      </c>
    </row>
    <row r="504" customFormat="false" ht="15" hidden="false" customHeight="true" outlineLevel="0" collapsed="false">
      <c r="A504" s="12" t="s">
        <v>825</v>
      </c>
      <c r="B504" s="14" t="s">
        <v>826</v>
      </c>
      <c r="C504" s="14" t="s">
        <v>56</v>
      </c>
      <c r="D504" s="13" t="n">
        <v>10</v>
      </c>
    </row>
    <row r="505" customFormat="false" ht="15" hidden="false" customHeight="true" outlineLevel="0" collapsed="false">
      <c r="A505" s="12" t="s">
        <v>827</v>
      </c>
      <c r="B505" s="14" t="s">
        <v>828</v>
      </c>
      <c r="C505" s="14" t="s">
        <v>56</v>
      </c>
      <c r="D505" s="13" t="n">
        <v>11</v>
      </c>
    </row>
    <row r="506" customFormat="false" ht="15" hidden="false" customHeight="true" outlineLevel="0" collapsed="false">
      <c r="A506" s="12" t="s">
        <v>829</v>
      </c>
      <c r="B506" s="14" t="s">
        <v>830</v>
      </c>
      <c r="C506" s="14" t="s">
        <v>56</v>
      </c>
      <c r="D506" s="13" t="n">
        <v>12</v>
      </c>
    </row>
    <row r="507" customFormat="false" ht="15" hidden="false" customHeight="true" outlineLevel="0" collapsed="false">
      <c r="A507" s="12" t="s">
        <v>831</v>
      </c>
      <c r="B507" s="14" t="s">
        <v>832</v>
      </c>
      <c r="C507" s="14" t="s">
        <v>56</v>
      </c>
      <c r="D507" s="13" t="n">
        <v>13</v>
      </c>
    </row>
    <row r="508" customFormat="false" ht="15" hidden="false" customHeight="true" outlineLevel="0" collapsed="false">
      <c r="A508" s="12" t="s">
        <v>833</v>
      </c>
      <c r="B508" s="14" t="s">
        <v>834</v>
      </c>
      <c r="C508" s="14" t="s">
        <v>56</v>
      </c>
      <c r="D508" s="13" t="n">
        <v>14</v>
      </c>
    </row>
    <row r="509" customFormat="false" ht="15" hidden="false" customHeight="true" outlineLevel="0" collapsed="false">
      <c r="A509" s="12" t="s">
        <v>835</v>
      </c>
      <c r="B509" s="14" t="s">
        <v>836</v>
      </c>
      <c r="C509" s="14" t="s">
        <v>56</v>
      </c>
      <c r="D509" s="13" t="n">
        <v>15</v>
      </c>
    </row>
    <row r="510" customFormat="false" ht="15" hidden="false" customHeight="true" outlineLevel="0" collapsed="false">
      <c r="A510" s="12" t="s">
        <v>837</v>
      </c>
      <c r="B510" s="14" t="s">
        <v>838</v>
      </c>
      <c r="C510" s="14" t="s">
        <v>56</v>
      </c>
      <c r="D510" s="13" t="n">
        <v>16</v>
      </c>
    </row>
    <row r="511" customFormat="false" ht="15" hidden="false" customHeight="true" outlineLevel="0" collapsed="false">
      <c r="A511" s="12" t="s">
        <v>839</v>
      </c>
      <c r="B511" s="14" t="s">
        <v>840</v>
      </c>
      <c r="C511" s="14" t="s">
        <v>56</v>
      </c>
      <c r="D511" s="13" t="n">
        <v>17</v>
      </c>
    </row>
    <row r="512" customFormat="false" ht="15" hidden="false" customHeight="true" outlineLevel="0" collapsed="false">
      <c r="A512" s="12" t="s">
        <v>841</v>
      </c>
      <c r="B512" s="14" t="s">
        <v>842</v>
      </c>
      <c r="C512" s="14" t="s">
        <v>56</v>
      </c>
      <c r="D512" s="13" t="n">
        <v>18</v>
      </c>
    </row>
    <row r="513" customFormat="false" ht="15" hidden="false" customHeight="true" outlineLevel="0" collapsed="false">
      <c r="A513" s="12" t="s">
        <v>843</v>
      </c>
      <c r="B513" s="14" t="s">
        <v>844</v>
      </c>
      <c r="C513" s="14" t="s">
        <v>56</v>
      </c>
      <c r="D513" s="13" t="n">
        <v>19</v>
      </c>
    </row>
    <row r="514" customFormat="false" ht="15" hidden="false" customHeight="true" outlineLevel="0" collapsed="false">
      <c r="A514" s="12" t="s">
        <v>845</v>
      </c>
      <c r="B514" s="14" t="s">
        <v>846</v>
      </c>
      <c r="C514" s="14" t="s">
        <v>56</v>
      </c>
      <c r="D514" s="13" t="n">
        <v>20</v>
      </c>
    </row>
    <row r="515" customFormat="false" ht="15" hidden="false" customHeight="true" outlineLevel="0" collapsed="false">
      <c r="A515" s="12" t="s">
        <v>847</v>
      </c>
      <c r="B515" s="14" t="s">
        <v>848</v>
      </c>
      <c r="C515" s="14" t="s">
        <v>56</v>
      </c>
      <c r="D515" s="13" t="n">
        <v>21</v>
      </c>
    </row>
    <row r="516" customFormat="false" ht="15" hidden="false" customHeight="true" outlineLevel="0" collapsed="false">
      <c r="A516" s="12" t="s">
        <v>849</v>
      </c>
      <c r="B516" s="14" t="s">
        <v>850</v>
      </c>
      <c r="C516" s="14" t="s">
        <v>56</v>
      </c>
      <c r="D516" s="13" t="n">
        <v>22</v>
      </c>
    </row>
    <row r="517" customFormat="false" ht="15" hidden="false" customHeight="true" outlineLevel="0" collapsed="false">
      <c r="A517" s="12" t="s">
        <v>851</v>
      </c>
      <c r="B517" s="14" t="s">
        <v>852</v>
      </c>
      <c r="C517" s="14" t="s">
        <v>56</v>
      </c>
      <c r="D517" s="13" t="n">
        <v>23</v>
      </c>
    </row>
    <row r="518" customFormat="false" ht="15" hidden="false" customHeight="true" outlineLevel="0" collapsed="false">
      <c r="A518" s="12" t="s">
        <v>853</v>
      </c>
      <c r="B518" s="14" t="s">
        <v>854</v>
      </c>
      <c r="C518" s="14" t="s">
        <v>56</v>
      </c>
      <c r="D518" s="13" t="n">
        <v>24</v>
      </c>
    </row>
    <row r="519" customFormat="false" ht="15" hidden="false" customHeight="true" outlineLevel="0" collapsed="false">
      <c r="A519" s="12" t="s">
        <v>855</v>
      </c>
      <c r="B519" s="14" t="s">
        <v>314</v>
      </c>
      <c r="C519" s="14" t="s">
        <v>56</v>
      </c>
      <c r="D519" s="13" t="n">
        <v>25</v>
      </c>
    </row>
    <row r="520" customFormat="false" ht="15" hidden="false" customHeight="true" outlineLevel="0" collapsed="false">
      <c r="A520" s="15" t="s">
        <v>85</v>
      </c>
    </row>
    <row r="521" customFormat="false" ht="19.5" hidden="false" customHeight="true" outlineLevel="0" collapsed="false">
      <c r="A521" s="5" t="s">
        <v>48</v>
      </c>
      <c r="B521" s="5"/>
      <c r="C521" s="5"/>
      <c r="D521" s="5"/>
    </row>
    <row r="522" customFormat="false" ht="25.5" hidden="false" customHeight="true" outlineLevel="0" collapsed="false">
      <c r="A522" s="11" t="s">
        <v>52</v>
      </c>
      <c r="B522" s="11" t="s">
        <v>96</v>
      </c>
      <c r="C522" s="11" t="s">
        <v>54</v>
      </c>
      <c r="D522" s="11" t="s">
        <v>87</v>
      </c>
    </row>
    <row r="523" customFormat="false" ht="15" hidden="false" customHeight="true" outlineLevel="0" collapsed="false">
      <c r="A523" s="12" t="s">
        <v>856</v>
      </c>
      <c r="B523" s="14" t="s">
        <v>857</v>
      </c>
      <c r="C523" s="14" t="s">
        <v>56</v>
      </c>
      <c r="D523" s="13" t="n">
        <v>1</v>
      </c>
    </row>
    <row r="524" customFormat="false" ht="15" hidden="false" customHeight="true" outlineLevel="0" collapsed="false">
      <c r="A524" s="12" t="s">
        <v>858</v>
      </c>
      <c r="B524" s="14" t="s">
        <v>100</v>
      </c>
      <c r="C524" s="14" t="s">
        <v>56</v>
      </c>
      <c r="D524" s="13" t="n">
        <v>2</v>
      </c>
    </row>
    <row r="525" customFormat="false" ht="15" hidden="false" customHeight="true" outlineLevel="0" collapsed="false">
      <c r="A525" s="12" t="s">
        <v>859</v>
      </c>
      <c r="B525" s="14" t="s">
        <v>104</v>
      </c>
      <c r="C525" s="14" t="s">
        <v>56</v>
      </c>
      <c r="D525" s="13" t="n">
        <v>3</v>
      </c>
    </row>
    <row r="526" customFormat="false" ht="15" hidden="false" customHeight="true" outlineLevel="0" collapsed="false">
      <c r="A526" s="12" t="s">
        <v>860</v>
      </c>
      <c r="B526" s="14" t="s">
        <v>861</v>
      </c>
      <c r="C526" s="14" t="s">
        <v>56</v>
      </c>
      <c r="D526" s="13" t="n">
        <v>4</v>
      </c>
    </row>
    <row r="527" customFormat="false" ht="15" hidden="false" customHeight="true" outlineLevel="0" collapsed="false">
      <c r="A527" s="12" t="s">
        <v>862</v>
      </c>
      <c r="B527" s="14" t="s">
        <v>863</v>
      </c>
      <c r="C527" s="14" t="s">
        <v>56</v>
      </c>
      <c r="D527" s="13" t="n">
        <v>5</v>
      </c>
    </row>
    <row r="528" customFormat="false" ht="15" hidden="false" customHeight="true" outlineLevel="0" collapsed="false">
      <c r="A528" s="12" t="s">
        <v>864</v>
      </c>
      <c r="B528" s="14" t="s">
        <v>865</v>
      </c>
      <c r="C528" s="14" t="s">
        <v>56</v>
      </c>
      <c r="D528" s="13" t="n">
        <v>6</v>
      </c>
    </row>
    <row r="529" customFormat="false" ht="15" hidden="false" customHeight="true" outlineLevel="0" collapsed="false">
      <c r="A529" s="12" t="s">
        <v>866</v>
      </c>
      <c r="B529" s="14" t="s">
        <v>867</v>
      </c>
      <c r="C529" s="14" t="s">
        <v>56</v>
      </c>
      <c r="D529" s="13" t="n">
        <v>7</v>
      </c>
    </row>
    <row r="530" customFormat="false" ht="15" hidden="false" customHeight="true" outlineLevel="0" collapsed="false">
      <c r="A530" s="12" t="s">
        <v>868</v>
      </c>
      <c r="B530" s="14" t="s">
        <v>869</v>
      </c>
      <c r="C530" s="14" t="s">
        <v>56</v>
      </c>
      <c r="D530" s="13" t="n">
        <v>8</v>
      </c>
    </row>
    <row r="531" customFormat="false" ht="15" hidden="false" customHeight="true" outlineLevel="0" collapsed="false">
      <c r="A531" s="12" t="s">
        <v>870</v>
      </c>
      <c r="B531" s="14" t="s">
        <v>871</v>
      </c>
      <c r="C531" s="14" t="s">
        <v>56</v>
      </c>
      <c r="D531" s="13" t="n">
        <v>9</v>
      </c>
    </row>
    <row r="532" customFormat="false" ht="15" hidden="false" customHeight="true" outlineLevel="0" collapsed="false">
      <c r="A532" s="12" t="s">
        <v>872</v>
      </c>
      <c r="B532" s="14" t="s">
        <v>124</v>
      </c>
      <c r="C532" s="14" t="s">
        <v>56</v>
      </c>
      <c r="D532" s="13" t="n">
        <v>10</v>
      </c>
    </row>
    <row r="533" customFormat="false" ht="15" hidden="false" customHeight="true" outlineLevel="0" collapsed="false">
      <c r="A533" s="15" t="s">
        <v>85</v>
      </c>
    </row>
    <row r="534" customFormat="false" ht="19.5" hidden="false" customHeight="true" outlineLevel="0" collapsed="false">
      <c r="A534" s="5" t="s">
        <v>49</v>
      </c>
      <c r="B534" s="5"/>
      <c r="C534" s="5"/>
      <c r="D534" s="5"/>
      <c r="E534" s="5"/>
      <c r="F534" s="5"/>
      <c r="G534" s="5"/>
      <c r="H534" s="5"/>
      <c r="I534" s="5"/>
      <c r="J534" s="5"/>
      <c r="K534" s="5"/>
      <c r="L534" s="5"/>
    </row>
    <row r="535" customFormat="false" ht="25.5" hidden="false" customHeight="true" outlineLevel="0" collapsed="false">
      <c r="A535" s="11" t="s">
        <v>873</v>
      </c>
      <c r="B535" s="11" t="s">
        <v>874</v>
      </c>
      <c r="C535" s="11" t="s">
        <v>875</v>
      </c>
      <c r="D535" s="11" t="s">
        <v>876</v>
      </c>
      <c r="E535" s="11" t="s">
        <v>877</v>
      </c>
      <c r="F535" s="11" t="s">
        <v>878</v>
      </c>
      <c r="G535" s="11" t="s">
        <v>879</v>
      </c>
      <c r="H535" s="11" t="s">
        <v>880</v>
      </c>
      <c r="I535" s="11" t="s">
        <v>881</v>
      </c>
      <c r="J535" s="11" t="s">
        <v>882</v>
      </c>
      <c r="K535" s="11" t="s">
        <v>883</v>
      </c>
      <c r="L535" s="11" t="s">
        <v>54</v>
      </c>
    </row>
    <row r="536" customFormat="false" ht="15" hidden="false" customHeight="true" outlineLevel="0" collapsed="false">
      <c r="A536" s="12" t="s">
        <v>884</v>
      </c>
      <c r="B536" s="14" t="s">
        <v>885</v>
      </c>
      <c r="C536" s="14" t="s">
        <v>886</v>
      </c>
      <c r="D536" s="14" t="s">
        <v>887</v>
      </c>
      <c r="E536" s="14" t="s">
        <v>888</v>
      </c>
      <c r="F536" s="14" t="s">
        <v>887</v>
      </c>
      <c r="G536" s="14" t="s">
        <v>889</v>
      </c>
      <c r="H536" s="14" t="s">
        <v>890</v>
      </c>
      <c r="I536" s="14" t="s">
        <v>891</v>
      </c>
      <c r="J536" s="14" t="s">
        <v>890</v>
      </c>
      <c r="K536" s="14" t="s">
        <v>880</v>
      </c>
      <c r="L536" s="14" t="s">
        <v>56</v>
      </c>
    </row>
    <row r="537" customFormat="false" ht="15" hidden="false" customHeight="true" outlineLevel="0" collapsed="false">
      <c r="A537" s="12" t="s">
        <v>884</v>
      </c>
      <c r="B537" s="14" t="s">
        <v>885</v>
      </c>
      <c r="C537" s="14" t="s">
        <v>886</v>
      </c>
      <c r="D537" s="14" t="s">
        <v>887</v>
      </c>
      <c r="E537" s="14" t="s">
        <v>888</v>
      </c>
      <c r="F537" s="14" t="s">
        <v>887</v>
      </c>
      <c r="G537" s="14" t="s">
        <v>892</v>
      </c>
      <c r="H537" s="14" t="s">
        <v>893</v>
      </c>
      <c r="I537" s="14" t="s">
        <v>894</v>
      </c>
      <c r="J537" s="14" t="s">
        <v>893</v>
      </c>
      <c r="K537" s="14" t="s">
        <v>880</v>
      </c>
      <c r="L537" s="14" t="s">
        <v>56</v>
      </c>
    </row>
    <row r="538" customFormat="false" ht="15" hidden="false" customHeight="true" outlineLevel="0" collapsed="false">
      <c r="A538" s="12" t="s">
        <v>884</v>
      </c>
      <c r="B538" s="14" t="s">
        <v>885</v>
      </c>
      <c r="C538" s="14" t="s">
        <v>886</v>
      </c>
      <c r="D538" s="14" t="s">
        <v>887</v>
      </c>
      <c r="E538" s="14" t="s">
        <v>888</v>
      </c>
      <c r="F538" s="14" t="s">
        <v>887</v>
      </c>
      <c r="G538" s="14" t="s">
        <v>895</v>
      </c>
      <c r="H538" s="14" t="s">
        <v>896</v>
      </c>
      <c r="I538" s="14" t="s">
        <v>897</v>
      </c>
      <c r="J538" s="14" t="s">
        <v>896</v>
      </c>
      <c r="K538" s="14" t="s">
        <v>880</v>
      </c>
      <c r="L538" s="14" t="s">
        <v>56</v>
      </c>
    </row>
    <row r="539" customFormat="false" ht="15" hidden="false" customHeight="true" outlineLevel="0" collapsed="false">
      <c r="A539" s="12" t="s">
        <v>884</v>
      </c>
      <c r="B539" s="14" t="s">
        <v>885</v>
      </c>
      <c r="C539" s="14" t="s">
        <v>886</v>
      </c>
      <c r="D539" s="14" t="s">
        <v>887</v>
      </c>
      <c r="E539" s="14" t="s">
        <v>888</v>
      </c>
      <c r="F539" s="14" t="s">
        <v>887</v>
      </c>
      <c r="G539" s="14" t="s">
        <v>898</v>
      </c>
      <c r="H539" s="14" t="s">
        <v>899</v>
      </c>
      <c r="I539" s="14" t="s">
        <v>900</v>
      </c>
      <c r="J539" s="14" t="s">
        <v>899</v>
      </c>
      <c r="K539" s="14" t="s">
        <v>880</v>
      </c>
      <c r="L539" s="14" t="s">
        <v>56</v>
      </c>
    </row>
    <row r="540" customFormat="false" ht="19.5" hidden="false" customHeight="true" outlineLevel="0" collapsed="false">
      <c r="A540" s="12" t="s">
        <v>884</v>
      </c>
      <c r="B540" s="12"/>
      <c r="C540" s="12"/>
      <c r="D540" s="12"/>
      <c r="E540" s="14" t="s">
        <v>888</v>
      </c>
      <c r="F540" s="14" t="s">
        <v>887</v>
      </c>
      <c r="G540" s="14" t="s">
        <v>901</v>
      </c>
      <c r="H540" s="14" t="s">
        <v>902</v>
      </c>
      <c r="I540" s="14" t="s">
        <v>903</v>
      </c>
      <c r="J540" s="14" t="s">
        <v>902</v>
      </c>
      <c r="K540" s="14" t="s">
        <v>880</v>
      </c>
      <c r="L540" s="14" t="s">
        <v>56</v>
      </c>
    </row>
    <row r="541" customFormat="false" ht="25.5" hidden="false" customHeight="true" outlineLevel="0" collapsed="false">
      <c r="A541" s="12" t="s">
        <v>884</v>
      </c>
      <c r="B541" s="14" t="s">
        <v>885</v>
      </c>
      <c r="C541" s="14" t="s">
        <v>886</v>
      </c>
      <c r="D541" s="14" t="s">
        <v>887</v>
      </c>
      <c r="E541" s="14" t="s">
        <v>888</v>
      </c>
      <c r="F541" s="14" t="s">
        <v>887</v>
      </c>
      <c r="G541" s="14" t="s">
        <v>904</v>
      </c>
      <c r="H541" s="14" t="s">
        <v>905</v>
      </c>
      <c r="I541" s="14" t="s">
        <v>906</v>
      </c>
      <c r="J541" s="14" t="s">
        <v>905</v>
      </c>
      <c r="K541" s="14" t="s">
        <v>880</v>
      </c>
      <c r="L541" s="14" t="s">
        <v>56</v>
      </c>
    </row>
    <row r="542" customFormat="false" ht="15" hidden="false" customHeight="true" outlineLevel="0" collapsed="false">
      <c r="A542" s="12" t="s">
        <v>884</v>
      </c>
      <c r="B542" s="14" t="s">
        <v>885</v>
      </c>
      <c r="C542" s="14" t="s">
        <v>886</v>
      </c>
      <c r="D542" s="14" t="s">
        <v>887</v>
      </c>
      <c r="E542" s="14" t="s">
        <v>888</v>
      </c>
      <c r="F542" s="14" t="s">
        <v>887</v>
      </c>
      <c r="G542" s="14" t="s">
        <v>907</v>
      </c>
      <c r="H542" s="14" t="s">
        <v>908</v>
      </c>
      <c r="I542" s="14" t="s">
        <v>909</v>
      </c>
      <c r="J542" s="14" t="s">
        <v>908</v>
      </c>
      <c r="K542" s="14" t="s">
        <v>880</v>
      </c>
      <c r="L542" s="14" t="s">
        <v>56</v>
      </c>
    </row>
    <row r="543" customFormat="false" ht="15" hidden="false" customHeight="true" outlineLevel="0" collapsed="false">
      <c r="A543" s="12" t="s">
        <v>884</v>
      </c>
      <c r="B543" s="14" t="s">
        <v>885</v>
      </c>
      <c r="C543" s="14" t="s">
        <v>886</v>
      </c>
      <c r="D543" s="14" t="s">
        <v>887</v>
      </c>
      <c r="E543" s="14" t="s">
        <v>888</v>
      </c>
      <c r="F543" s="14" t="s">
        <v>887</v>
      </c>
      <c r="G543" s="14" t="s">
        <v>910</v>
      </c>
      <c r="H543" s="14" t="s">
        <v>911</v>
      </c>
      <c r="I543" s="14" t="s">
        <v>912</v>
      </c>
      <c r="J543" s="14" t="s">
        <v>911</v>
      </c>
      <c r="K543" s="14" t="s">
        <v>880</v>
      </c>
      <c r="L543" s="14" t="s">
        <v>56</v>
      </c>
    </row>
    <row r="544" customFormat="false" ht="15" hidden="false" customHeight="true" outlineLevel="0" collapsed="false">
      <c r="A544" s="12" t="s">
        <v>884</v>
      </c>
      <c r="B544" s="14" t="s">
        <v>885</v>
      </c>
      <c r="C544" s="14" t="s">
        <v>886</v>
      </c>
      <c r="D544" s="14" t="s">
        <v>887</v>
      </c>
      <c r="E544" s="14" t="s">
        <v>888</v>
      </c>
      <c r="F544" s="14" t="s">
        <v>887</v>
      </c>
      <c r="G544" s="14" t="s">
        <v>913</v>
      </c>
      <c r="H544" s="14" t="s">
        <v>914</v>
      </c>
      <c r="I544" s="14" t="s">
        <v>915</v>
      </c>
      <c r="J544" s="14" t="s">
        <v>914</v>
      </c>
      <c r="K544" s="14" t="s">
        <v>880</v>
      </c>
      <c r="L544" s="14" t="s">
        <v>56</v>
      </c>
    </row>
    <row r="545" customFormat="false" ht="15" hidden="false" customHeight="true" outlineLevel="0" collapsed="false">
      <c r="A545" s="12" t="s">
        <v>884</v>
      </c>
      <c r="B545" s="14" t="s">
        <v>885</v>
      </c>
      <c r="C545" s="14" t="s">
        <v>916</v>
      </c>
      <c r="D545" s="14" t="s">
        <v>917</v>
      </c>
      <c r="E545" s="14" t="s">
        <v>918</v>
      </c>
      <c r="F545" s="14" t="s">
        <v>917</v>
      </c>
      <c r="G545" s="14" t="s">
        <v>919</v>
      </c>
      <c r="H545" s="14" t="s">
        <v>920</v>
      </c>
      <c r="I545" s="14" t="s">
        <v>921</v>
      </c>
      <c r="J545" s="14" t="s">
        <v>920</v>
      </c>
      <c r="K545" s="14" t="s">
        <v>880</v>
      </c>
      <c r="L545" s="14" t="s">
        <v>56</v>
      </c>
    </row>
    <row r="546" customFormat="false" ht="15" hidden="false" customHeight="true" outlineLevel="0" collapsed="false">
      <c r="A546" s="12" t="s">
        <v>884</v>
      </c>
      <c r="B546" s="14" t="s">
        <v>885</v>
      </c>
      <c r="C546" s="14" t="s">
        <v>916</v>
      </c>
      <c r="D546" s="14" t="s">
        <v>917</v>
      </c>
      <c r="E546" s="14" t="s">
        <v>918</v>
      </c>
      <c r="F546" s="14" t="s">
        <v>917</v>
      </c>
      <c r="G546" s="14" t="s">
        <v>922</v>
      </c>
      <c r="H546" s="14" t="s">
        <v>923</v>
      </c>
      <c r="I546" s="14" t="s">
        <v>924</v>
      </c>
      <c r="J546" s="14" t="s">
        <v>923</v>
      </c>
      <c r="K546" s="14" t="s">
        <v>880</v>
      </c>
      <c r="L546" s="14" t="s">
        <v>56</v>
      </c>
    </row>
    <row r="547" customFormat="false" ht="15" hidden="false" customHeight="true" outlineLevel="0" collapsed="false">
      <c r="A547" s="12" t="s">
        <v>884</v>
      </c>
      <c r="B547" s="14" t="s">
        <v>885</v>
      </c>
      <c r="C547" s="14" t="s">
        <v>916</v>
      </c>
      <c r="D547" s="14" t="s">
        <v>917</v>
      </c>
      <c r="E547" s="14" t="s">
        <v>918</v>
      </c>
      <c r="F547" s="14" t="s">
        <v>917</v>
      </c>
      <c r="G547" s="14" t="s">
        <v>925</v>
      </c>
      <c r="H547" s="14" t="s">
        <v>926</v>
      </c>
      <c r="I547" s="14" t="s">
        <v>927</v>
      </c>
      <c r="J547" s="14" t="s">
        <v>926</v>
      </c>
      <c r="K547" s="14" t="s">
        <v>880</v>
      </c>
      <c r="L547" s="14" t="s">
        <v>56</v>
      </c>
    </row>
    <row r="548" customFormat="false" ht="15" hidden="false" customHeight="true" outlineLevel="0" collapsed="false">
      <c r="A548" s="12" t="s">
        <v>884</v>
      </c>
      <c r="B548" s="14" t="s">
        <v>885</v>
      </c>
      <c r="C548" s="14" t="s">
        <v>916</v>
      </c>
      <c r="D548" s="14" t="s">
        <v>917</v>
      </c>
      <c r="E548" s="14" t="s">
        <v>918</v>
      </c>
      <c r="F548" s="14" t="s">
        <v>917</v>
      </c>
      <c r="G548" s="14" t="s">
        <v>928</v>
      </c>
      <c r="H548" s="14" t="s">
        <v>929</v>
      </c>
      <c r="I548" s="14" t="s">
        <v>930</v>
      </c>
      <c r="J548" s="14" t="s">
        <v>929</v>
      </c>
      <c r="K548" s="14" t="s">
        <v>880</v>
      </c>
      <c r="L548" s="14" t="s">
        <v>56</v>
      </c>
    </row>
    <row r="549" customFormat="false" ht="15" hidden="false" customHeight="true" outlineLevel="0" collapsed="false">
      <c r="A549" s="12" t="s">
        <v>884</v>
      </c>
      <c r="B549" s="14" t="s">
        <v>885</v>
      </c>
      <c r="C549" s="14" t="s">
        <v>916</v>
      </c>
      <c r="D549" s="14" t="s">
        <v>917</v>
      </c>
      <c r="E549" s="14" t="s">
        <v>918</v>
      </c>
      <c r="F549" s="14" t="s">
        <v>917</v>
      </c>
      <c r="G549" s="14" t="s">
        <v>931</v>
      </c>
      <c r="H549" s="14" t="s">
        <v>932</v>
      </c>
      <c r="I549" s="14" t="s">
        <v>933</v>
      </c>
      <c r="J549" s="14" t="s">
        <v>932</v>
      </c>
      <c r="K549" s="14" t="s">
        <v>880</v>
      </c>
      <c r="L549" s="14" t="s">
        <v>56</v>
      </c>
    </row>
    <row r="550" customFormat="false" ht="15" hidden="false" customHeight="true" outlineLevel="0" collapsed="false">
      <c r="A550" s="12" t="s">
        <v>884</v>
      </c>
      <c r="B550" s="14" t="s">
        <v>885</v>
      </c>
      <c r="C550" s="14" t="s">
        <v>916</v>
      </c>
      <c r="D550" s="14" t="s">
        <v>917</v>
      </c>
      <c r="E550" s="14" t="s">
        <v>918</v>
      </c>
      <c r="F550" s="14" t="s">
        <v>917</v>
      </c>
      <c r="G550" s="14" t="s">
        <v>934</v>
      </c>
      <c r="H550" s="14" t="s">
        <v>935</v>
      </c>
      <c r="I550" s="14" t="s">
        <v>936</v>
      </c>
      <c r="J550" s="14" t="s">
        <v>935</v>
      </c>
      <c r="K550" s="14" t="s">
        <v>880</v>
      </c>
      <c r="L550" s="14" t="s">
        <v>56</v>
      </c>
    </row>
    <row r="551" customFormat="false" ht="15" hidden="false" customHeight="true" outlineLevel="0" collapsed="false">
      <c r="A551" s="12" t="s">
        <v>884</v>
      </c>
      <c r="B551" s="14" t="s">
        <v>885</v>
      </c>
      <c r="C551" s="14" t="s">
        <v>937</v>
      </c>
      <c r="D551" s="14" t="s">
        <v>938</v>
      </c>
      <c r="E551" s="14" t="s">
        <v>939</v>
      </c>
      <c r="F551" s="14" t="s">
        <v>940</v>
      </c>
      <c r="G551" s="14"/>
      <c r="H551" s="14"/>
      <c r="I551" s="14" t="s">
        <v>941</v>
      </c>
      <c r="J551" s="14" t="s">
        <v>940</v>
      </c>
      <c r="K551" s="14" t="s">
        <v>942</v>
      </c>
      <c r="L551" s="14" t="s">
        <v>56</v>
      </c>
    </row>
    <row r="552" customFormat="false" ht="15" hidden="false" customHeight="true" outlineLevel="0" collapsed="false">
      <c r="A552" s="12" t="s">
        <v>884</v>
      </c>
      <c r="B552" s="14" t="s">
        <v>885</v>
      </c>
      <c r="C552" s="14" t="s">
        <v>937</v>
      </c>
      <c r="D552" s="14" t="s">
        <v>938</v>
      </c>
      <c r="E552" s="14" t="s">
        <v>939</v>
      </c>
      <c r="F552" s="14" t="s">
        <v>943</v>
      </c>
      <c r="G552" s="14"/>
      <c r="H552" s="14"/>
      <c r="I552" s="14" t="s">
        <v>944</v>
      </c>
      <c r="J552" s="14" t="s">
        <v>943</v>
      </c>
      <c r="K552" s="14" t="s">
        <v>942</v>
      </c>
      <c r="L552" s="14" t="s">
        <v>56</v>
      </c>
    </row>
    <row r="553" customFormat="false" ht="15" hidden="false" customHeight="true" outlineLevel="0" collapsed="false">
      <c r="A553" s="12" t="s">
        <v>884</v>
      </c>
      <c r="B553" s="14" t="s">
        <v>885</v>
      </c>
      <c r="C553" s="14" t="s">
        <v>937</v>
      </c>
      <c r="D553" s="14" t="s">
        <v>938</v>
      </c>
      <c r="E553" s="14" t="s">
        <v>939</v>
      </c>
      <c r="F553" s="14" t="s">
        <v>945</v>
      </c>
      <c r="G553" s="14"/>
      <c r="H553" s="14"/>
      <c r="I553" s="14" t="s">
        <v>946</v>
      </c>
      <c r="J553" s="14" t="s">
        <v>945</v>
      </c>
      <c r="K553" s="14" t="s">
        <v>942</v>
      </c>
      <c r="L553" s="14" t="s">
        <v>56</v>
      </c>
    </row>
    <row r="554" customFormat="false" ht="15" hidden="false" customHeight="true" outlineLevel="0" collapsed="false">
      <c r="A554" s="12" t="s">
        <v>884</v>
      </c>
      <c r="B554" s="14" t="s">
        <v>885</v>
      </c>
      <c r="C554" s="14" t="s">
        <v>937</v>
      </c>
      <c r="D554" s="14" t="s">
        <v>938</v>
      </c>
      <c r="E554" s="14" t="s">
        <v>939</v>
      </c>
      <c r="F554" s="14" t="s">
        <v>947</v>
      </c>
      <c r="G554" s="14"/>
      <c r="H554" s="14"/>
      <c r="I554" s="14" t="s">
        <v>948</v>
      </c>
      <c r="J554" s="14" t="s">
        <v>947</v>
      </c>
      <c r="K554" s="14" t="s">
        <v>942</v>
      </c>
      <c r="L554" s="14" t="s">
        <v>56</v>
      </c>
    </row>
    <row r="555" customFormat="false" ht="15" hidden="false" customHeight="true" outlineLevel="0" collapsed="false">
      <c r="A555" s="12" t="s">
        <v>884</v>
      </c>
      <c r="B555" s="14" t="s">
        <v>885</v>
      </c>
      <c r="C555" s="14" t="s">
        <v>949</v>
      </c>
      <c r="D555" s="14" t="s">
        <v>950</v>
      </c>
      <c r="E555" s="14" t="s">
        <v>951</v>
      </c>
      <c r="F555" s="14" t="s">
        <v>952</v>
      </c>
      <c r="G555" s="14"/>
      <c r="H555" s="14"/>
      <c r="I555" s="14" t="s">
        <v>953</v>
      </c>
      <c r="J555" s="14" t="s">
        <v>952</v>
      </c>
      <c r="K555" s="14" t="s">
        <v>942</v>
      </c>
      <c r="L555" s="14" t="s">
        <v>56</v>
      </c>
    </row>
    <row r="556" customFormat="false" ht="15" hidden="false" customHeight="true" outlineLevel="0" collapsed="false">
      <c r="A556" s="12" t="s">
        <v>884</v>
      </c>
      <c r="B556" s="14" t="s">
        <v>885</v>
      </c>
      <c r="C556" s="14" t="s">
        <v>949</v>
      </c>
      <c r="D556" s="14" t="s">
        <v>950</v>
      </c>
      <c r="E556" s="14" t="s">
        <v>951</v>
      </c>
      <c r="F556" s="14" t="s">
        <v>954</v>
      </c>
      <c r="G556" s="14"/>
      <c r="H556" s="14"/>
      <c r="I556" s="14" t="s">
        <v>955</v>
      </c>
      <c r="J556" s="14" t="s">
        <v>954</v>
      </c>
      <c r="K556" s="14" t="s">
        <v>942</v>
      </c>
      <c r="L556" s="14" t="s">
        <v>56</v>
      </c>
    </row>
    <row r="557" customFormat="false" ht="15" hidden="false" customHeight="true" outlineLevel="0" collapsed="false">
      <c r="A557" s="12" t="s">
        <v>884</v>
      </c>
      <c r="B557" s="14" t="s">
        <v>885</v>
      </c>
      <c r="C557" s="14" t="s">
        <v>949</v>
      </c>
      <c r="D557" s="14" t="s">
        <v>950</v>
      </c>
      <c r="E557" s="14" t="s">
        <v>951</v>
      </c>
      <c r="F557" s="14" t="s">
        <v>956</v>
      </c>
      <c r="G557" s="14"/>
      <c r="H557" s="14"/>
      <c r="I557" s="14" t="s">
        <v>957</v>
      </c>
      <c r="J557" s="14" t="s">
        <v>956</v>
      </c>
      <c r="K557" s="14" t="s">
        <v>942</v>
      </c>
      <c r="L557" s="14" t="s">
        <v>56</v>
      </c>
    </row>
    <row r="558" customFormat="false" ht="15" hidden="false" customHeight="true" outlineLevel="0" collapsed="false">
      <c r="A558" s="12" t="s">
        <v>884</v>
      </c>
      <c r="B558" s="14" t="s">
        <v>885</v>
      </c>
      <c r="C558" s="14" t="s">
        <v>949</v>
      </c>
      <c r="D558" s="14" t="s">
        <v>950</v>
      </c>
      <c r="E558" s="14" t="s">
        <v>951</v>
      </c>
      <c r="F558" s="14" t="s">
        <v>958</v>
      </c>
      <c r="G558" s="14"/>
      <c r="H558" s="14"/>
      <c r="I558" s="14" t="s">
        <v>959</v>
      </c>
      <c r="J558" s="14" t="s">
        <v>958</v>
      </c>
      <c r="K558" s="14" t="s">
        <v>942</v>
      </c>
      <c r="L558" s="14" t="s">
        <v>56</v>
      </c>
    </row>
    <row r="559" customFormat="false" ht="15" hidden="false" customHeight="true" outlineLevel="0" collapsed="false">
      <c r="A559" s="12" t="s">
        <v>884</v>
      </c>
      <c r="B559" s="14" t="s">
        <v>885</v>
      </c>
      <c r="C559" s="14" t="s">
        <v>960</v>
      </c>
      <c r="D559" s="14" t="s">
        <v>961</v>
      </c>
      <c r="E559" s="14" t="s">
        <v>962</v>
      </c>
      <c r="F559" s="14" t="s">
        <v>963</v>
      </c>
      <c r="G559" s="14"/>
      <c r="H559" s="14"/>
      <c r="I559" s="14" t="s">
        <v>964</v>
      </c>
      <c r="J559" s="14" t="s">
        <v>963</v>
      </c>
      <c r="K559" s="14" t="s">
        <v>942</v>
      </c>
      <c r="L559" s="14" t="s">
        <v>56</v>
      </c>
    </row>
    <row r="560" customFormat="false" ht="15" hidden="false" customHeight="true" outlineLevel="0" collapsed="false">
      <c r="A560" s="12" t="s">
        <v>884</v>
      </c>
      <c r="B560" s="14" t="s">
        <v>885</v>
      </c>
      <c r="C560" s="14" t="s">
        <v>960</v>
      </c>
      <c r="D560" s="14" t="s">
        <v>961</v>
      </c>
      <c r="E560" s="14" t="s">
        <v>962</v>
      </c>
      <c r="F560" s="14" t="s">
        <v>965</v>
      </c>
      <c r="G560" s="14"/>
      <c r="H560" s="14"/>
      <c r="I560" s="14" t="s">
        <v>966</v>
      </c>
      <c r="J560" s="14" t="s">
        <v>965</v>
      </c>
      <c r="K560" s="14" t="s">
        <v>942</v>
      </c>
      <c r="L560" s="14" t="s">
        <v>56</v>
      </c>
    </row>
    <row r="561" customFormat="false" ht="15" hidden="false" customHeight="true" outlineLevel="0" collapsed="false">
      <c r="A561" s="12" t="s">
        <v>884</v>
      </c>
      <c r="B561" s="14" t="s">
        <v>885</v>
      </c>
      <c r="C561" s="14" t="s">
        <v>960</v>
      </c>
      <c r="D561" s="14" t="s">
        <v>961</v>
      </c>
      <c r="E561" s="14" t="s">
        <v>962</v>
      </c>
      <c r="F561" s="14" t="s">
        <v>967</v>
      </c>
      <c r="G561" s="14"/>
      <c r="H561" s="14"/>
      <c r="I561" s="14" t="s">
        <v>968</v>
      </c>
      <c r="J561" s="14" t="s">
        <v>967</v>
      </c>
      <c r="K561" s="14" t="s">
        <v>942</v>
      </c>
      <c r="L561" s="14" t="s">
        <v>56</v>
      </c>
    </row>
    <row r="562" customFormat="false" ht="15" hidden="false" customHeight="true" outlineLevel="0" collapsed="false">
      <c r="A562" s="12" t="s">
        <v>884</v>
      </c>
      <c r="B562" s="14" t="s">
        <v>885</v>
      </c>
      <c r="C562" s="14" t="s">
        <v>969</v>
      </c>
      <c r="D562" s="14" t="s">
        <v>970</v>
      </c>
      <c r="E562" s="14" t="s">
        <v>971</v>
      </c>
      <c r="F562" s="14" t="s">
        <v>972</v>
      </c>
      <c r="G562" s="14"/>
      <c r="H562" s="14"/>
      <c r="I562" s="14" t="s">
        <v>973</v>
      </c>
      <c r="J562" s="14" t="s">
        <v>972</v>
      </c>
      <c r="K562" s="14" t="s">
        <v>942</v>
      </c>
      <c r="L562" s="14" t="s">
        <v>56</v>
      </c>
    </row>
    <row r="563" customFormat="false" ht="15" hidden="false" customHeight="true" outlineLevel="0" collapsed="false">
      <c r="A563" s="12" t="s">
        <v>884</v>
      </c>
      <c r="B563" s="14" t="s">
        <v>885</v>
      </c>
      <c r="C563" s="14" t="s">
        <v>969</v>
      </c>
      <c r="D563" s="14" t="s">
        <v>970</v>
      </c>
      <c r="E563" s="14" t="s">
        <v>971</v>
      </c>
      <c r="F563" s="14" t="s">
        <v>974</v>
      </c>
      <c r="G563" s="14"/>
      <c r="H563" s="14"/>
      <c r="I563" s="14" t="s">
        <v>975</v>
      </c>
      <c r="J563" s="14" t="s">
        <v>974</v>
      </c>
      <c r="K563" s="14" t="s">
        <v>942</v>
      </c>
      <c r="L563" s="14" t="s">
        <v>56</v>
      </c>
    </row>
    <row r="564" customFormat="false" ht="15" hidden="false" customHeight="true" outlineLevel="0" collapsed="false">
      <c r="A564" s="12" t="s">
        <v>884</v>
      </c>
      <c r="B564" s="14" t="s">
        <v>885</v>
      </c>
      <c r="C564" s="14" t="s">
        <v>969</v>
      </c>
      <c r="D564" s="14" t="s">
        <v>970</v>
      </c>
      <c r="E564" s="14" t="s">
        <v>971</v>
      </c>
      <c r="F564" s="14" t="s">
        <v>976</v>
      </c>
      <c r="G564" s="14"/>
      <c r="H564" s="14"/>
      <c r="I564" s="14" t="s">
        <v>977</v>
      </c>
      <c r="J564" s="14" t="s">
        <v>976</v>
      </c>
      <c r="K564" s="14" t="s">
        <v>942</v>
      </c>
      <c r="L564" s="14" t="s">
        <v>56</v>
      </c>
    </row>
    <row r="565" customFormat="false" ht="15" hidden="false" customHeight="true" outlineLevel="0" collapsed="false">
      <c r="A565" s="12" t="s">
        <v>884</v>
      </c>
      <c r="B565" s="14" t="s">
        <v>885</v>
      </c>
      <c r="C565" s="14" t="s">
        <v>969</v>
      </c>
      <c r="D565" s="14" t="s">
        <v>970</v>
      </c>
      <c r="E565" s="14" t="s">
        <v>971</v>
      </c>
      <c r="F565" s="14" t="s">
        <v>978</v>
      </c>
      <c r="G565" s="14"/>
      <c r="H565" s="14"/>
      <c r="I565" s="14" t="s">
        <v>979</v>
      </c>
      <c r="J565" s="14" t="s">
        <v>978</v>
      </c>
      <c r="K565" s="14" t="s">
        <v>942</v>
      </c>
      <c r="L565" s="14" t="s">
        <v>56</v>
      </c>
    </row>
    <row r="566" customFormat="false" ht="15" hidden="false" customHeight="true" outlineLevel="0" collapsed="false">
      <c r="A566" s="12" t="s">
        <v>884</v>
      </c>
      <c r="B566" s="14" t="s">
        <v>885</v>
      </c>
      <c r="C566" s="14" t="s">
        <v>980</v>
      </c>
      <c r="D566" s="14" t="s">
        <v>981</v>
      </c>
      <c r="E566" s="14" t="s">
        <v>982</v>
      </c>
      <c r="F566" s="14" t="s">
        <v>983</v>
      </c>
      <c r="G566" s="14"/>
      <c r="H566" s="14"/>
      <c r="I566" s="14" t="s">
        <v>984</v>
      </c>
      <c r="J566" s="14" t="s">
        <v>983</v>
      </c>
      <c r="K566" s="14" t="s">
        <v>942</v>
      </c>
      <c r="L566" s="14" t="s">
        <v>56</v>
      </c>
    </row>
    <row r="567" customFormat="false" ht="15" hidden="false" customHeight="true" outlineLevel="0" collapsed="false">
      <c r="A567" s="12" t="s">
        <v>884</v>
      </c>
      <c r="B567" s="14" t="s">
        <v>885</v>
      </c>
      <c r="C567" s="14" t="s">
        <v>980</v>
      </c>
      <c r="D567" s="14" t="s">
        <v>981</v>
      </c>
      <c r="E567" s="14" t="s">
        <v>982</v>
      </c>
      <c r="F567" s="14" t="s">
        <v>985</v>
      </c>
      <c r="G567" s="14"/>
      <c r="H567" s="14"/>
      <c r="I567" s="14" t="s">
        <v>986</v>
      </c>
      <c r="J567" s="14" t="s">
        <v>985</v>
      </c>
      <c r="K567" s="14" t="s">
        <v>942</v>
      </c>
      <c r="L567" s="14" t="s">
        <v>56</v>
      </c>
    </row>
    <row r="568" customFormat="false" ht="15" hidden="false" customHeight="true" outlineLevel="0" collapsed="false">
      <c r="A568" s="12" t="s">
        <v>884</v>
      </c>
      <c r="B568" s="14" t="s">
        <v>885</v>
      </c>
      <c r="C568" s="14" t="s">
        <v>980</v>
      </c>
      <c r="D568" s="14" t="s">
        <v>981</v>
      </c>
      <c r="E568" s="14" t="s">
        <v>982</v>
      </c>
      <c r="F568" s="14" t="s">
        <v>987</v>
      </c>
      <c r="G568" s="14"/>
      <c r="H568" s="14"/>
      <c r="I568" s="14" t="s">
        <v>988</v>
      </c>
      <c r="J568" s="14" t="s">
        <v>987</v>
      </c>
      <c r="K568" s="14" t="s">
        <v>942</v>
      </c>
      <c r="L568" s="14" t="s">
        <v>56</v>
      </c>
    </row>
    <row r="569" customFormat="false" ht="15" hidden="false" customHeight="true" outlineLevel="0" collapsed="false">
      <c r="A569" s="12" t="s">
        <v>884</v>
      </c>
      <c r="B569" s="14" t="s">
        <v>885</v>
      </c>
      <c r="C569" s="14" t="s">
        <v>989</v>
      </c>
      <c r="D569" s="14" t="s">
        <v>990</v>
      </c>
      <c r="E569" s="14" t="s">
        <v>991</v>
      </c>
      <c r="F569" s="14" t="s">
        <v>992</v>
      </c>
      <c r="G569" s="14"/>
      <c r="H569" s="14"/>
      <c r="I569" s="14" t="s">
        <v>993</v>
      </c>
      <c r="J569" s="14" t="s">
        <v>992</v>
      </c>
      <c r="K569" s="14" t="s">
        <v>942</v>
      </c>
      <c r="L569" s="14" t="s">
        <v>56</v>
      </c>
    </row>
    <row r="570" customFormat="false" ht="15" hidden="false" customHeight="true" outlineLevel="0" collapsed="false">
      <c r="A570" s="12" t="s">
        <v>884</v>
      </c>
      <c r="B570" s="14" t="s">
        <v>885</v>
      </c>
      <c r="C570" s="14" t="s">
        <v>989</v>
      </c>
      <c r="D570" s="14" t="s">
        <v>990</v>
      </c>
      <c r="E570" s="14" t="s">
        <v>991</v>
      </c>
      <c r="F570" s="14" t="s">
        <v>994</v>
      </c>
      <c r="G570" s="14"/>
      <c r="H570" s="14"/>
      <c r="I570" s="14" t="s">
        <v>995</v>
      </c>
      <c r="J570" s="14" t="s">
        <v>994</v>
      </c>
      <c r="K570" s="14" t="s">
        <v>942</v>
      </c>
      <c r="L570" s="14" t="s">
        <v>56</v>
      </c>
    </row>
    <row r="571" customFormat="false" ht="15" hidden="false" customHeight="true" outlineLevel="0" collapsed="false">
      <c r="A571" s="12" t="s">
        <v>884</v>
      </c>
      <c r="B571" s="14" t="s">
        <v>885</v>
      </c>
      <c r="C571" s="14" t="s">
        <v>989</v>
      </c>
      <c r="D571" s="14" t="s">
        <v>990</v>
      </c>
      <c r="E571" s="14" t="s">
        <v>991</v>
      </c>
      <c r="F571" s="14" t="s">
        <v>996</v>
      </c>
      <c r="G571" s="14"/>
      <c r="H571" s="14"/>
      <c r="I571" s="14" t="s">
        <v>997</v>
      </c>
      <c r="J571" s="14" t="s">
        <v>996</v>
      </c>
      <c r="K571" s="14" t="s">
        <v>942</v>
      </c>
      <c r="L571" s="14" t="s">
        <v>56</v>
      </c>
    </row>
    <row r="572" customFormat="false" ht="15" hidden="false" customHeight="true" outlineLevel="0" collapsed="false">
      <c r="A572" s="12" t="s">
        <v>884</v>
      </c>
      <c r="B572" s="14" t="s">
        <v>885</v>
      </c>
      <c r="C572" s="14" t="s">
        <v>989</v>
      </c>
      <c r="D572" s="14" t="s">
        <v>990</v>
      </c>
      <c r="E572" s="14" t="s">
        <v>991</v>
      </c>
      <c r="F572" s="14" t="s">
        <v>998</v>
      </c>
      <c r="G572" s="14"/>
      <c r="H572" s="14"/>
      <c r="I572" s="14" t="s">
        <v>999</v>
      </c>
      <c r="J572" s="14" t="s">
        <v>998</v>
      </c>
      <c r="K572" s="14" t="s">
        <v>942</v>
      </c>
      <c r="L572" s="14" t="s">
        <v>56</v>
      </c>
    </row>
    <row r="573" customFormat="false" ht="15" hidden="false" customHeight="true" outlineLevel="0" collapsed="false">
      <c r="A573" s="12" t="s">
        <v>884</v>
      </c>
      <c r="B573" s="14" t="s">
        <v>885</v>
      </c>
      <c r="C573" s="14" t="s">
        <v>1000</v>
      </c>
      <c r="D573" s="14" t="s">
        <v>1001</v>
      </c>
      <c r="E573" s="14" t="s">
        <v>1002</v>
      </c>
      <c r="F573" s="14" t="s">
        <v>1003</v>
      </c>
      <c r="G573" s="14"/>
      <c r="H573" s="14"/>
      <c r="I573" s="14" t="s">
        <v>1004</v>
      </c>
      <c r="J573" s="14" t="s">
        <v>1003</v>
      </c>
      <c r="K573" s="14" t="s">
        <v>942</v>
      </c>
      <c r="L573" s="14" t="s">
        <v>56</v>
      </c>
    </row>
    <row r="574" customFormat="false" ht="15" hidden="false" customHeight="true" outlineLevel="0" collapsed="false">
      <c r="A574" s="12" t="s">
        <v>884</v>
      </c>
      <c r="B574" s="14" t="s">
        <v>885</v>
      </c>
      <c r="C574" s="14" t="s">
        <v>1000</v>
      </c>
      <c r="D574" s="14" t="s">
        <v>1001</v>
      </c>
      <c r="E574" s="14" t="s">
        <v>1002</v>
      </c>
      <c r="F574" s="14" t="s">
        <v>1005</v>
      </c>
      <c r="G574" s="14"/>
      <c r="H574" s="14"/>
      <c r="I574" s="14" t="s">
        <v>1006</v>
      </c>
      <c r="J574" s="14" t="s">
        <v>1005</v>
      </c>
      <c r="K574" s="14" t="s">
        <v>942</v>
      </c>
      <c r="L574" s="14" t="s">
        <v>56</v>
      </c>
    </row>
    <row r="575" customFormat="false" ht="15" hidden="false" customHeight="true" outlineLevel="0" collapsed="false">
      <c r="A575" s="12" t="s">
        <v>884</v>
      </c>
      <c r="B575" s="14" t="s">
        <v>885</v>
      </c>
      <c r="C575" s="14" t="s">
        <v>1000</v>
      </c>
      <c r="D575" s="14" t="s">
        <v>1001</v>
      </c>
      <c r="E575" s="14" t="s">
        <v>1002</v>
      </c>
      <c r="F575" s="14" t="s">
        <v>1007</v>
      </c>
      <c r="G575" s="14"/>
      <c r="H575" s="14"/>
      <c r="I575" s="14" t="s">
        <v>1008</v>
      </c>
      <c r="J575" s="14" t="s">
        <v>1007</v>
      </c>
      <c r="K575" s="14" t="s">
        <v>942</v>
      </c>
      <c r="L575" s="14" t="s">
        <v>56</v>
      </c>
    </row>
    <row r="576" customFormat="false" ht="15" hidden="false" customHeight="true" outlineLevel="0" collapsed="false">
      <c r="A576" s="12" t="s">
        <v>884</v>
      </c>
      <c r="B576" s="14" t="s">
        <v>885</v>
      </c>
      <c r="C576" s="14" t="s">
        <v>1000</v>
      </c>
      <c r="D576" s="14" t="s">
        <v>1001</v>
      </c>
      <c r="E576" s="14" t="s">
        <v>1002</v>
      </c>
      <c r="F576" s="14" t="s">
        <v>1009</v>
      </c>
      <c r="G576" s="14"/>
      <c r="H576" s="14"/>
      <c r="I576" s="14" t="s">
        <v>1010</v>
      </c>
      <c r="J576" s="14" t="s">
        <v>1009</v>
      </c>
      <c r="K576" s="14" t="s">
        <v>942</v>
      </c>
      <c r="L576" s="14" t="s">
        <v>56</v>
      </c>
    </row>
    <row r="577" customFormat="false" ht="15" hidden="false" customHeight="true" outlineLevel="0" collapsed="false">
      <c r="A577" s="12" t="s">
        <v>884</v>
      </c>
      <c r="B577" s="14" t="s">
        <v>885</v>
      </c>
      <c r="C577" s="14" t="s">
        <v>1011</v>
      </c>
      <c r="D577" s="14" t="s">
        <v>1012</v>
      </c>
      <c r="E577" s="14" t="s">
        <v>1013</v>
      </c>
      <c r="F577" s="14" t="s">
        <v>1014</v>
      </c>
      <c r="G577" s="14"/>
      <c r="H577" s="14"/>
      <c r="I577" s="14" t="s">
        <v>1015</v>
      </c>
      <c r="J577" s="14" t="s">
        <v>1014</v>
      </c>
      <c r="K577" s="14" t="s">
        <v>942</v>
      </c>
      <c r="L577" s="14" t="s">
        <v>56</v>
      </c>
    </row>
    <row r="578" customFormat="false" ht="15" hidden="false" customHeight="true" outlineLevel="0" collapsed="false">
      <c r="A578" s="12" t="s">
        <v>884</v>
      </c>
      <c r="B578" s="14" t="s">
        <v>885</v>
      </c>
      <c r="C578" s="14" t="s">
        <v>1011</v>
      </c>
      <c r="D578" s="14" t="s">
        <v>1012</v>
      </c>
      <c r="E578" s="14" t="s">
        <v>1013</v>
      </c>
      <c r="F578" s="14" t="s">
        <v>1016</v>
      </c>
      <c r="G578" s="14"/>
      <c r="H578" s="14"/>
      <c r="I578" s="14" t="s">
        <v>1017</v>
      </c>
      <c r="J578" s="14" t="s">
        <v>1016</v>
      </c>
      <c r="K578" s="14" t="s">
        <v>942</v>
      </c>
      <c r="L578" s="14" t="s">
        <v>56</v>
      </c>
    </row>
    <row r="579" customFormat="false" ht="15" hidden="false" customHeight="true" outlineLevel="0" collapsed="false">
      <c r="A579" s="12" t="s">
        <v>884</v>
      </c>
      <c r="B579" s="14" t="s">
        <v>885</v>
      </c>
      <c r="C579" s="14" t="s">
        <v>1011</v>
      </c>
      <c r="D579" s="14" t="s">
        <v>1012</v>
      </c>
      <c r="E579" s="14" t="s">
        <v>1013</v>
      </c>
      <c r="F579" s="14" t="s">
        <v>1018</v>
      </c>
      <c r="G579" s="14"/>
      <c r="H579" s="14"/>
      <c r="I579" s="14" t="s">
        <v>1019</v>
      </c>
      <c r="J579" s="14" t="s">
        <v>1018</v>
      </c>
      <c r="K579" s="14" t="s">
        <v>942</v>
      </c>
      <c r="L579" s="14" t="s">
        <v>56</v>
      </c>
    </row>
    <row r="580" customFormat="false" ht="15" hidden="false" customHeight="true" outlineLevel="0" collapsed="false">
      <c r="A580" s="12" t="s">
        <v>884</v>
      </c>
      <c r="B580" s="14" t="s">
        <v>885</v>
      </c>
      <c r="C580" s="14" t="s">
        <v>1011</v>
      </c>
      <c r="D580" s="14" t="s">
        <v>1012</v>
      </c>
      <c r="E580" s="14" t="s">
        <v>1013</v>
      </c>
      <c r="F580" s="14" t="s">
        <v>1020</v>
      </c>
      <c r="G580" s="14"/>
      <c r="H580" s="14"/>
      <c r="I580" s="14" t="s">
        <v>1021</v>
      </c>
      <c r="J580" s="14" t="s">
        <v>1020</v>
      </c>
      <c r="K580" s="14" t="s">
        <v>942</v>
      </c>
      <c r="L580" s="14" t="s">
        <v>56</v>
      </c>
    </row>
    <row r="581" customFormat="false" ht="15" hidden="false" customHeight="true" outlineLevel="0" collapsed="false">
      <c r="A581" s="12" t="s">
        <v>884</v>
      </c>
      <c r="B581" s="14" t="s">
        <v>885</v>
      </c>
      <c r="C581" s="14" t="s">
        <v>1022</v>
      </c>
      <c r="D581" s="14" t="s">
        <v>1023</v>
      </c>
      <c r="E581" s="14" t="s">
        <v>1024</v>
      </c>
      <c r="F581" s="14" t="s">
        <v>1025</v>
      </c>
      <c r="G581" s="14"/>
      <c r="H581" s="14"/>
      <c r="I581" s="14" t="s">
        <v>1026</v>
      </c>
      <c r="J581" s="14" t="s">
        <v>1025</v>
      </c>
      <c r="K581" s="14" t="s">
        <v>942</v>
      </c>
      <c r="L581" s="14" t="s">
        <v>56</v>
      </c>
    </row>
    <row r="582" customFormat="false" ht="15" hidden="false" customHeight="true" outlineLevel="0" collapsed="false">
      <c r="A582" s="12" t="s">
        <v>884</v>
      </c>
      <c r="B582" s="14" t="s">
        <v>885</v>
      </c>
      <c r="C582" s="14" t="s">
        <v>1022</v>
      </c>
      <c r="D582" s="14" t="s">
        <v>1023</v>
      </c>
      <c r="E582" s="14" t="s">
        <v>1024</v>
      </c>
      <c r="F582" s="14" t="s">
        <v>1027</v>
      </c>
      <c r="G582" s="14"/>
      <c r="H582" s="14"/>
      <c r="I582" s="14" t="s">
        <v>1028</v>
      </c>
      <c r="J582" s="14" t="s">
        <v>1027</v>
      </c>
      <c r="K582" s="14" t="s">
        <v>942</v>
      </c>
      <c r="L582" s="14" t="s">
        <v>56</v>
      </c>
    </row>
    <row r="583" customFormat="false" ht="15" hidden="false" customHeight="true" outlineLevel="0" collapsed="false">
      <c r="A583" s="12" t="s">
        <v>884</v>
      </c>
      <c r="B583" s="14" t="s">
        <v>885</v>
      </c>
      <c r="C583" s="14" t="s">
        <v>1022</v>
      </c>
      <c r="D583" s="14" t="s">
        <v>1023</v>
      </c>
      <c r="E583" s="14" t="s">
        <v>1024</v>
      </c>
      <c r="F583" s="14" t="s">
        <v>1029</v>
      </c>
      <c r="G583" s="14"/>
      <c r="H583" s="14"/>
      <c r="I583" s="14" t="s">
        <v>1030</v>
      </c>
      <c r="J583" s="14" t="s">
        <v>1029</v>
      </c>
      <c r="K583" s="14" t="s">
        <v>942</v>
      </c>
      <c r="L583" s="14" t="s">
        <v>56</v>
      </c>
    </row>
    <row r="584" customFormat="false" ht="15" hidden="false" customHeight="true" outlineLevel="0" collapsed="false">
      <c r="A584" s="12" t="s">
        <v>884</v>
      </c>
      <c r="B584" s="14" t="s">
        <v>885</v>
      </c>
      <c r="C584" s="14" t="s">
        <v>1031</v>
      </c>
      <c r="D584" s="14" t="s">
        <v>1032</v>
      </c>
      <c r="E584" s="14" t="s">
        <v>1033</v>
      </c>
      <c r="F584" s="14" t="s">
        <v>1034</v>
      </c>
      <c r="G584" s="14"/>
      <c r="H584" s="14"/>
      <c r="I584" s="14" t="s">
        <v>1035</v>
      </c>
      <c r="J584" s="14" t="s">
        <v>1034</v>
      </c>
      <c r="K584" s="14" t="s">
        <v>942</v>
      </c>
      <c r="L584" s="14" t="s">
        <v>56</v>
      </c>
    </row>
    <row r="585" customFormat="false" ht="15" hidden="false" customHeight="true" outlineLevel="0" collapsed="false">
      <c r="A585" s="12" t="s">
        <v>884</v>
      </c>
      <c r="B585" s="14" t="s">
        <v>885</v>
      </c>
      <c r="C585" s="14" t="s">
        <v>1031</v>
      </c>
      <c r="D585" s="14" t="s">
        <v>1032</v>
      </c>
      <c r="E585" s="14" t="s">
        <v>1033</v>
      </c>
      <c r="F585" s="14" t="s">
        <v>1036</v>
      </c>
      <c r="G585" s="14"/>
      <c r="H585" s="14"/>
      <c r="I585" s="14" t="s">
        <v>1037</v>
      </c>
      <c r="J585" s="14" t="s">
        <v>1036</v>
      </c>
      <c r="K585" s="14" t="s">
        <v>942</v>
      </c>
      <c r="L585" s="14" t="s">
        <v>56</v>
      </c>
    </row>
    <row r="586" customFormat="false" ht="15" hidden="false" customHeight="true" outlineLevel="0" collapsed="false">
      <c r="A586" s="12" t="s">
        <v>884</v>
      </c>
      <c r="B586" s="14" t="s">
        <v>885</v>
      </c>
      <c r="C586" s="14" t="s">
        <v>1031</v>
      </c>
      <c r="D586" s="14" t="s">
        <v>1032</v>
      </c>
      <c r="E586" s="14" t="s">
        <v>1033</v>
      </c>
      <c r="F586" s="14" t="s">
        <v>1038</v>
      </c>
      <c r="G586" s="14"/>
      <c r="H586" s="14"/>
      <c r="I586" s="14" t="s">
        <v>1039</v>
      </c>
      <c r="J586" s="14" t="s">
        <v>1038</v>
      </c>
      <c r="K586" s="14" t="s">
        <v>942</v>
      </c>
      <c r="L586" s="14" t="s">
        <v>56</v>
      </c>
    </row>
    <row r="587" customFormat="false" ht="15" hidden="false" customHeight="true" outlineLevel="0" collapsed="false">
      <c r="A587" s="15" t="s">
        <v>85</v>
      </c>
    </row>
    <row r="588" customFormat="false" ht="15.75" hidden="false" customHeight="true" outlineLevel="0" collapsed="false">
      <c r="A588" s="17" t="s">
        <v>50</v>
      </c>
    </row>
    <row r="589" customFormat="false" ht="15" hidden="false" customHeight="true" outlineLevel="0" collapsed="false">
      <c r="A589" s="11" t="s">
        <v>52</v>
      </c>
      <c r="B589" s="11" t="s">
        <v>96</v>
      </c>
      <c r="C589" s="11" t="s">
        <v>54</v>
      </c>
      <c r="D589" s="11" t="s">
        <v>87</v>
      </c>
    </row>
    <row r="590" customFormat="false" ht="15" hidden="false" customHeight="true" outlineLevel="0" collapsed="false">
      <c r="A590" s="12" t="s">
        <v>1040</v>
      </c>
      <c r="B590" s="14" t="s">
        <v>56</v>
      </c>
      <c r="C590" s="14" t="s">
        <v>56</v>
      </c>
      <c r="D590" s="13" t="n">
        <v>1</v>
      </c>
    </row>
    <row r="591" customFormat="false" ht="15" hidden="false" customHeight="true" outlineLevel="0" collapsed="false">
      <c r="A591" s="12" t="s">
        <v>1041</v>
      </c>
      <c r="B591" s="14" t="s">
        <v>1042</v>
      </c>
      <c r="C591" s="14" t="s">
        <v>56</v>
      </c>
      <c r="D591" s="13" t="n">
        <v>2</v>
      </c>
    </row>
    <row r="592" customFormat="false" ht="15" hidden="false" customHeight="true" outlineLevel="0" collapsed="false">
      <c r="A592" s="12" t="s">
        <v>1043</v>
      </c>
      <c r="B592" s="14" t="s">
        <v>116</v>
      </c>
      <c r="C592" s="14" t="s">
        <v>56</v>
      </c>
      <c r="D592" s="13" t="n">
        <v>3</v>
      </c>
    </row>
    <row r="593" customFormat="false" ht="15" hidden="false" customHeight="true" outlineLevel="0" collapsed="false">
      <c r="A593" s="12" t="s">
        <v>1044</v>
      </c>
      <c r="B593" s="14" t="s">
        <v>869</v>
      </c>
      <c r="C593" s="14" t="s">
        <v>56</v>
      </c>
      <c r="D593" s="13" t="n">
        <v>4</v>
      </c>
    </row>
    <row r="594" customFormat="false" ht="15" hidden="false" customHeight="true" outlineLevel="0" collapsed="false">
      <c r="A594" s="15" t="s">
        <v>85</v>
      </c>
    </row>
    <row r="596" customFormat="false" ht="19.5" hidden="false" customHeight="true" outlineLevel="0" collapsed="false">
      <c r="A596" s="18" t="s">
        <v>1045</v>
      </c>
      <c r="B596" s="18"/>
      <c r="C596" s="18"/>
      <c r="D596" s="18"/>
    </row>
    <row r="597" customFormat="false" ht="15" hidden="false" customHeight="true" outlineLevel="0" collapsed="false">
      <c r="A597" s="19" t="s">
        <v>52</v>
      </c>
      <c r="B597" s="19" t="s">
        <v>96</v>
      </c>
      <c r="C597" s="19" t="s">
        <v>54</v>
      </c>
    </row>
    <row r="598" customFormat="false" ht="15" hidden="false" customHeight="true" outlineLevel="0" collapsed="false">
      <c r="A598" s="20" t="s">
        <v>1046</v>
      </c>
      <c r="B598" s="21" t="s">
        <v>1047</v>
      </c>
      <c r="C598" s="21" t="s">
        <v>56</v>
      </c>
    </row>
    <row r="599" customFormat="false" ht="15" hidden="false" customHeight="true" outlineLevel="0" collapsed="false">
      <c r="A599" s="20" t="s">
        <v>1048</v>
      </c>
      <c r="B599" s="21" t="s">
        <v>104</v>
      </c>
      <c r="C599" s="21" t="s">
        <v>56</v>
      </c>
    </row>
    <row r="600" customFormat="false" ht="15" hidden="false" customHeight="true" outlineLevel="0" collapsed="false">
      <c r="A600" s="20" t="s">
        <v>1049</v>
      </c>
      <c r="B600" s="21" t="s">
        <v>108</v>
      </c>
      <c r="C600" s="21" t="s">
        <v>56</v>
      </c>
    </row>
    <row r="601" customFormat="false" ht="15" hidden="false" customHeight="true" outlineLevel="0" collapsed="false">
      <c r="A601" s="20" t="s">
        <v>1050</v>
      </c>
      <c r="B601" s="21" t="s">
        <v>114</v>
      </c>
      <c r="C601" s="21" t="s">
        <v>56</v>
      </c>
    </row>
    <row r="602" customFormat="false" ht="15" hidden="false" customHeight="true" outlineLevel="0" collapsed="false">
      <c r="A602" s="20" t="s">
        <v>1051</v>
      </c>
      <c r="B602" s="21" t="s">
        <v>1052</v>
      </c>
      <c r="C602" s="21" t="s">
        <v>56</v>
      </c>
    </row>
    <row r="603" customFormat="false" ht="15" hidden="false" customHeight="true" outlineLevel="0" collapsed="false">
      <c r="A603" s="20" t="s">
        <v>1053</v>
      </c>
      <c r="B603" s="21" t="s">
        <v>122</v>
      </c>
      <c r="C603" s="21" t="s">
        <v>56</v>
      </c>
    </row>
    <row r="604" customFormat="false" ht="15" hidden="false" customHeight="true" outlineLevel="0" collapsed="false">
      <c r="A604" s="22" t="s">
        <v>85</v>
      </c>
    </row>
    <row r="606" customFormat="false" ht="19.5" hidden="false" customHeight="true" outlineLevel="0" collapsed="false">
      <c r="A606" s="18" t="s">
        <v>1054</v>
      </c>
      <c r="B606" s="18"/>
      <c r="C606" s="18"/>
      <c r="D606" s="18"/>
    </row>
    <row r="607" customFormat="false" ht="15" hidden="false" customHeight="true" outlineLevel="0" collapsed="false">
      <c r="A607" s="19" t="s">
        <v>52</v>
      </c>
      <c r="B607" s="19" t="s">
        <v>96</v>
      </c>
      <c r="C607" s="19" t="s">
        <v>54</v>
      </c>
    </row>
    <row r="608" customFormat="false" ht="15" hidden="false" customHeight="true" outlineLevel="0" collapsed="false">
      <c r="A608" s="20" t="s">
        <v>1055</v>
      </c>
      <c r="B608" s="21" t="s">
        <v>1056</v>
      </c>
      <c r="C608" s="21" t="s">
        <v>56</v>
      </c>
    </row>
    <row r="609" customFormat="false" ht="15" hidden="false" customHeight="true" outlineLevel="0" collapsed="false">
      <c r="A609" s="20" t="s">
        <v>1057</v>
      </c>
      <c r="B609" s="21" t="s">
        <v>1058</v>
      </c>
      <c r="C609" s="21" t="s">
        <v>56</v>
      </c>
    </row>
    <row r="610" customFormat="false" ht="15" hidden="false" customHeight="true" outlineLevel="0" collapsed="false">
      <c r="A610" s="20" t="s">
        <v>1059</v>
      </c>
      <c r="B610" s="21" t="s">
        <v>1060</v>
      </c>
      <c r="C610" s="21" t="s">
        <v>56</v>
      </c>
    </row>
    <row r="611" customFormat="false" ht="15" hidden="false" customHeight="true" outlineLevel="0" collapsed="false">
      <c r="A611" s="20" t="s">
        <v>1061</v>
      </c>
      <c r="B611" s="21" t="s">
        <v>1062</v>
      </c>
      <c r="C611" s="21" t="s">
        <v>56</v>
      </c>
    </row>
    <row r="612" customFormat="false" ht="15" hidden="false" customHeight="true" outlineLevel="0" collapsed="false">
      <c r="A612" s="20" t="s">
        <v>1063</v>
      </c>
      <c r="B612" s="21" t="s">
        <v>1064</v>
      </c>
      <c r="C612" s="21" t="s">
        <v>56</v>
      </c>
    </row>
    <row r="613" customFormat="false" ht="15" hidden="false" customHeight="true" outlineLevel="0" collapsed="false">
      <c r="A613" s="20" t="s">
        <v>1065</v>
      </c>
      <c r="B613" s="21" t="s">
        <v>1066</v>
      </c>
      <c r="C613" s="21" t="s">
        <v>56</v>
      </c>
    </row>
    <row r="614" customFormat="false" ht="15" hidden="false" customHeight="true" outlineLevel="0" collapsed="false">
      <c r="A614" s="20" t="s">
        <v>1067</v>
      </c>
      <c r="B614" s="21" t="s">
        <v>1068</v>
      </c>
      <c r="C614" s="21" t="s">
        <v>56</v>
      </c>
    </row>
    <row r="615" customFormat="false" ht="15" hidden="false" customHeight="true" outlineLevel="0" collapsed="false">
      <c r="A615" s="20" t="s">
        <v>1069</v>
      </c>
      <c r="B615" s="21" t="s">
        <v>1070</v>
      </c>
      <c r="C615" s="21" t="s">
        <v>56</v>
      </c>
    </row>
    <row r="616" customFormat="false" ht="15" hidden="false" customHeight="true" outlineLevel="0" collapsed="false">
      <c r="A616" s="20" t="s">
        <v>1071</v>
      </c>
      <c r="B616" s="21" t="s">
        <v>314</v>
      </c>
      <c r="C616" s="21" t="s">
        <v>56</v>
      </c>
    </row>
    <row r="617" customFormat="false" ht="15" hidden="false" customHeight="true" outlineLevel="0" collapsed="false">
      <c r="A617" s="22" t="s">
        <v>85</v>
      </c>
    </row>
    <row r="619" customFormat="false" ht="19.5" hidden="false" customHeight="true" outlineLevel="0" collapsed="false">
      <c r="A619" s="18" t="s">
        <v>1072</v>
      </c>
      <c r="B619" s="18"/>
      <c r="C619" s="18"/>
      <c r="D619" s="18"/>
    </row>
    <row r="620" customFormat="false" ht="15" hidden="false" customHeight="true" outlineLevel="0" collapsed="false">
      <c r="A620" s="19" t="s">
        <v>52</v>
      </c>
      <c r="B620" s="19" t="s">
        <v>96</v>
      </c>
      <c r="C620" s="19" t="s">
        <v>1073</v>
      </c>
    </row>
    <row r="621" customFormat="false" ht="15" hidden="false" customHeight="true" outlineLevel="0" collapsed="false">
      <c r="A621" s="20" t="s">
        <v>1074</v>
      </c>
      <c r="B621" s="21" t="s">
        <v>1075</v>
      </c>
      <c r="C621" s="23" t="n">
        <v>0.8</v>
      </c>
    </row>
    <row r="622" customFormat="false" ht="15" hidden="false" customHeight="true" outlineLevel="0" collapsed="false">
      <c r="A622" s="20" t="s">
        <v>1076</v>
      </c>
      <c r="B622" s="21" t="s">
        <v>1077</v>
      </c>
      <c r="C622" s="23" t="n">
        <v>1</v>
      </c>
    </row>
    <row r="623" customFormat="false" ht="15" hidden="false" customHeight="true" outlineLevel="0" collapsed="false">
      <c r="A623" s="22" t="s">
        <v>85</v>
      </c>
    </row>
    <row r="625" customFormat="false" ht="19.5" hidden="false" customHeight="true" outlineLevel="0" collapsed="false">
      <c r="A625" s="18" t="s">
        <v>1078</v>
      </c>
      <c r="B625" s="18"/>
      <c r="C625" s="18"/>
      <c r="D625" s="18"/>
    </row>
    <row r="626" customFormat="false" ht="15" hidden="false" customHeight="true" outlineLevel="0" collapsed="false">
      <c r="A626" s="19" t="s">
        <v>52</v>
      </c>
      <c r="B626" s="19" t="s">
        <v>96</v>
      </c>
      <c r="C626" s="19" t="s">
        <v>54</v>
      </c>
    </row>
    <row r="627" customFormat="false" ht="15" hidden="false" customHeight="true" outlineLevel="0" collapsed="false">
      <c r="A627" s="20" t="s">
        <v>1079</v>
      </c>
      <c r="B627" s="21" t="s">
        <v>1080</v>
      </c>
      <c r="C627" s="21" t="s">
        <v>56</v>
      </c>
    </row>
    <row r="628" customFormat="false" ht="15" hidden="false" customHeight="true" outlineLevel="0" collapsed="false">
      <c r="A628" s="20" t="s">
        <v>1081</v>
      </c>
      <c r="B628" s="21" t="s">
        <v>1082</v>
      </c>
      <c r="C628" s="21" t="s">
        <v>56</v>
      </c>
    </row>
    <row r="629" customFormat="false" ht="15" hidden="false" customHeight="true" outlineLevel="0" collapsed="false">
      <c r="A629" s="20" t="s">
        <v>1083</v>
      </c>
      <c r="B629" s="21" t="s">
        <v>1084</v>
      </c>
      <c r="C629" s="21" t="s">
        <v>56</v>
      </c>
    </row>
    <row r="630" customFormat="false" ht="15" hidden="false" customHeight="true" outlineLevel="0" collapsed="false">
      <c r="A630" s="20" t="s">
        <v>1085</v>
      </c>
      <c r="B630" s="21" t="s">
        <v>1086</v>
      </c>
      <c r="C630" s="21" t="s">
        <v>56</v>
      </c>
    </row>
    <row r="631" customFormat="false" ht="15" hidden="false" customHeight="true" outlineLevel="0" collapsed="false">
      <c r="A631" s="20" t="s">
        <v>1087</v>
      </c>
      <c r="B631" s="21" t="s">
        <v>1088</v>
      </c>
      <c r="C631" s="21" t="s">
        <v>56</v>
      </c>
    </row>
    <row r="632" customFormat="false" ht="15" hidden="false" customHeight="true" outlineLevel="0" collapsed="false">
      <c r="A632" s="20" t="s">
        <v>1089</v>
      </c>
      <c r="B632" s="21" t="s">
        <v>1090</v>
      </c>
      <c r="C632" s="21" t="s">
        <v>56</v>
      </c>
    </row>
    <row r="633" customFormat="false" ht="15" hidden="false" customHeight="true" outlineLevel="0" collapsed="false">
      <c r="A633" s="20" t="s">
        <v>1091</v>
      </c>
      <c r="B633" s="21" t="s">
        <v>1092</v>
      </c>
      <c r="C633" s="21" t="s">
        <v>56</v>
      </c>
    </row>
    <row r="634" customFormat="false" ht="15" hidden="false" customHeight="true" outlineLevel="0" collapsed="false">
      <c r="A634" s="20" t="s">
        <v>1093</v>
      </c>
      <c r="B634" s="21" t="s">
        <v>142</v>
      </c>
      <c r="C634" s="21" t="s">
        <v>56</v>
      </c>
    </row>
    <row r="635" customFormat="false" ht="15" hidden="false" customHeight="true" outlineLevel="0" collapsed="false">
      <c r="A635" s="20" t="s">
        <v>1094</v>
      </c>
      <c r="B635" s="21" t="s">
        <v>1095</v>
      </c>
      <c r="C635" s="21" t="s">
        <v>56</v>
      </c>
    </row>
    <row r="636" customFormat="false" ht="15" hidden="false" customHeight="true" outlineLevel="0" collapsed="false">
      <c r="A636" s="22" t="s">
        <v>85</v>
      </c>
    </row>
    <row r="638" customFormat="false" ht="15.75" hidden="false" customHeight="true" outlineLevel="0" collapsed="false">
      <c r="A638" s="24" t="s">
        <v>1096</v>
      </c>
      <c r="B638" s="24"/>
      <c r="C638" s="24"/>
      <c r="D638" s="24"/>
    </row>
    <row r="639" customFormat="false" ht="15" hidden="false" customHeight="true" outlineLevel="0" collapsed="false">
      <c r="A639" s="25" t="s">
        <v>52</v>
      </c>
      <c r="B639" s="25" t="s">
        <v>96</v>
      </c>
      <c r="C639" s="25" t="s">
        <v>54</v>
      </c>
      <c r="D639" s="25" t="s">
        <v>87</v>
      </c>
    </row>
    <row r="640" customFormat="false" ht="15" hidden="false" customHeight="true" outlineLevel="0" collapsed="false">
      <c r="A640" s="26" t="s">
        <v>1097</v>
      </c>
      <c r="B640" s="27" t="s">
        <v>56</v>
      </c>
      <c r="C640" s="28" t="s">
        <v>56</v>
      </c>
      <c r="D640" s="28" t="n">
        <v>1</v>
      </c>
    </row>
    <row r="641" customFormat="false" ht="15" hidden="false" customHeight="true" outlineLevel="0" collapsed="false">
      <c r="A641" s="26" t="s">
        <v>1098</v>
      </c>
      <c r="B641" s="27" t="s">
        <v>1099</v>
      </c>
      <c r="C641" s="28" t="s">
        <v>56</v>
      </c>
      <c r="D641" s="28" t="n">
        <v>2</v>
      </c>
    </row>
    <row r="642" customFormat="false" ht="15" hidden="false" customHeight="true" outlineLevel="0" collapsed="false">
      <c r="A642" s="26" t="s">
        <v>1100</v>
      </c>
      <c r="B642" s="27" t="s">
        <v>116</v>
      </c>
      <c r="C642" s="28" t="s">
        <v>56</v>
      </c>
      <c r="D642" s="28" t="n">
        <v>3</v>
      </c>
    </row>
    <row r="643" customFormat="false" ht="15" hidden="false" customHeight="true" outlineLevel="0" collapsed="false">
      <c r="A643" s="26" t="s">
        <v>1101</v>
      </c>
      <c r="B643" s="27" t="s">
        <v>1102</v>
      </c>
      <c r="C643" s="28" t="s">
        <v>56</v>
      </c>
      <c r="D643" s="28" t="n">
        <v>4</v>
      </c>
    </row>
    <row r="644" customFormat="false" ht="15" hidden="false" customHeight="true" outlineLevel="0" collapsed="false">
      <c r="A644" s="26" t="s">
        <v>1103</v>
      </c>
      <c r="B644" s="27" t="s">
        <v>1104</v>
      </c>
      <c r="C644" s="28" t="s">
        <v>56</v>
      </c>
      <c r="D644" s="28" t="n">
        <v>5</v>
      </c>
    </row>
    <row r="645" customFormat="false" ht="15" hidden="false" customHeight="true" outlineLevel="0" collapsed="false">
      <c r="A645" s="26" t="s">
        <v>1105</v>
      </c>
      <c r="B645" s="27" t="s">
        <v>1106</v>
      </c>
      <c r="C645" s="28" t="s">
        <v>56</v>
      </c>
      <c r="D645" s="28" t="n">
        <v>6</v>
      </c>
    </row>
    <row r="646" customFormat="false" ht="15" hidden="false" customHeight="true" outlineLevel="0" collapsed="false">
      <c r="A646" s="26" t="s">
        <v>1107</v>
      </c>
      <c r="B646" s="27" t="s">
        <v>1042</v>
      </c>
      <c r="C646" s="28" t="s">
        <v>56</v>
      </c>
      <c r="D646" s="28" t="n">
        <v>7</v>
      </c>
    </row>
    <row r="647" customFormat="false" ht="15" hidden="false" customHeight="true" outlineLevel="0" collapsed="false">
      <c r="A647" s="29" t="s">
        <v>85</v>
      </c>
    </row>
    <row r="649" customFormat="false" ht="15.75" hidden="false" customHeight="true" outlineLevel="0" collapsed="false">
      <c r="A649" s="24" t="s">
        <v>1108</v>
      </c>
      <c r="B649" s="24"/>
      <c r="C649" s="24"/>
      <c r="D649" s="24"/>
    </row>
    <row r="650" customFormat="false" ht="15" hidden="false" customHeight="true" outlineLevel="0" collapsed="false">
      <c r="A650" s="25" t="s">
        <v>52</v>
      </c>
      <c r="B650" s="25" t="s">
        <v>96</v>
      </c>
      <c r="C650" s="25" t="s">
        <v>54</v>
      </c>
      <c r="D650" s="25" t="s">
        <v>87</v>
      </c>
    </row>
    <row r="651" customFormat="false" ht="15" hidden="false" customHeight="true" outlineLevel="0" collapsed="false">
      <c r="A651" s="26" t="s">
        <v>1109</v>
      </c>
      <c r="B651" s="27" t="s">
        <v>1110</v>
      </c>
      <c r="C651" s="28" t="s">
        <v>56</v>
      </c>
      <c r="D651" s="28" t="n">
        <v>1</v>
      </c>
    </row>
    <row r="652" customFormat="false" ht="15" hidden="false" customHeight="true" outlineLevel="0" collapsed="false">
      <c r="A652" s="26" t="s">
        <v>1111</v>
      </c>
      <c r="B652" s="27" t="s">
        <v>1112</v>
      </c>
      <c r="C652" s="28" t="s">
        <v>56</v>
      </c>
      <c r="D652" s="28" t="n">
        <v>2</v>
      </c>
    </row>
    <row r="653" customFormat="false" ht="15" hidden="false" customHeight="true" outlineLevel="0" collapsed="false">
      <c r="A653" s="26" t="s">
        <v>1113</v>
      </c>
      <c r="B653" s="27" t="s">
        <v>1114</v>
      </c>
      <c r="C653" s="28" t="s">
        <v>56</v>
      </c>
      <c r="D653" s="28" t="n">
        <v>3</v>
      </c>
    </row>
    <row r="654" customFormat="false" ht="15" hidden="false" customHeight="true" outlineLevel="0" collapsed="false">
      <c r="A654" s="26" t="s">
        <v>1115</v>
      </c>
      <c r="B654" s="27" t="s">
        <v>600</v>
      </c>
      <c r="C654" s="28" t="s">
        <v>56</v>
      </c>
      <c r="D654" s="28" t="n">
        <v>4</v>
      </c>
    </row>
    <row r="655" customFormat="false" ht="15" hidden="false" customHeight="true" outlineLevel="0" collapsed="false">
      <c r="A655" s="26" t="s">
        <v>1116</v>
      </c>
      <c r="B655" s="27" t="s">
        <v>1117</v>
      </c>
      <c r="C655" s="28" t="s">
        <v>56</v>
      </c>
      <c r="D655" s="28" t="n">
        <v>5</v>
      </c>
    </row>
    <row r="656" customFormat="false" ht="15" hidden="false" customHeight="true" outlineLevel="0" collapsed="false">
      <c r="A656" s="26" t="s">
        <v>1118</v>
      </c>
      <c r="B656" s="27" t="s">
        <v>370</v>
      </c>
      <c r="C656" s="28" t="s">
        <v>56</v>
      </c>
      <c r="D656" s="28" t="n">
        <v>6</v>
      </c>
    </row>
    <row r="657" customFormat="false" ht="15" hidden="false" customHeight="true" outlineLevel="0" collapsed="false">
      <c r="A657" s="26" t="s">
        <v>1119</v>
      </c>
      <c r="B657" s="27" t="s">
        <v>598</v>
      </c>
      <c r="C657" s="28" t="s">
        <v>56</v>
      </c>
      <c r="D657" s="28" t="n">
        <v>7</v>
      </c>
    </row>
    <row r="658" customFormat="false" ht="15" hidden="false" customHeight="true" outlineLevel="0" collapsed="false">
      <c r="A658" s="26" t="s">
        <v>1120</v>
      </c>
      <c r="B658" s="27" t="s">
        <v>1121</v>
      </c>
      <c r="C658" s="28" t="s">
        <v>56</v>
      </c>
      <c r="D658" s="28" t="n">
        <v>8</v>
      </c>
    </row>
    <row r="659" customFormat="false" ht="15" hidden="false" customHeight="true" outlineLevel="0" collapsed="false">
      <c r="A659" s="26" t="s">
        <v>1122</v>
      </c>
      <c r="B659" s="27" t="s">
        <v>1123</v>
      </c>
      <c r="C659" s="28" t="s">
        <v>56</v>
      </c>
      <c r="D659" s="28" t="n">
        <v>9</v>
      </c>
    </row>
    <row r="660" customFormat="false" ht="15" hidden="false" customHeight="true" outlineLevel="0" collapsed="false">
      <c r="A660" s="26" t="s">
        <v>1124</v>
      </c>
      <c r="B660" s="27" t="s">
        <v>1125</v>
      </c>
      <c r="C660" s="28" t="s">
        <v>56</v>
      </c>
      <c r="D660" s="28" t="n">
        <v>10</v>
      </c>
    </row>
    <row r="661" customFormat="false" ht="15" hidden="false" customHeight="true" outlineLevel="0" collapsed="false">
      <c r="A661" s="26" t="s">
        <v>1126</v>
      </c>
      <c r="B661" s="27" t="s">
        <v>314</v>
      </c>
      <c r="C661" s="28" t="s">
        <v>56</v>
      </c>
      <c r="D661" s="28" t="n">
        <v>11</v>
      </c>
    </row>
    <row r="662" customFormat="false" ht="15" hidden="false" customHeight="true" outlineLevel="0" collapsed="false">
      <c r="A662" s="29" t="s">
        <v>85</v>
      </c>
    </row>
    <row r="664" customFormat="false" ht="15.75" hidden="false" customHeight="true" outlineLevel="0" collapsed="false">
      <c r="A664" s="24" t="s">
        <v>1127</v>
      </c>
      <c r="B664" s="24"/>
      <c r="C664" s="24"/>
      <c r="D664" s="24"/>
    </row>
    <row r="665" customFormat="false" ht="15" hidden="false" customHeight="true" outlineLevel="0" collapsed="false">
      <c r="A665" s="25" t="s">
        <v>52</v>
      </c>
      <c r="B665" s="25" t="s">
        <v>96</v>
      </c>
      <c r="C665" s="25" t="s">
        <v>54</v>
      </c>
      <c r="D665" s="25" t="s">
        <v>87</v>
      </c>
    </row>
    <row r="666" customFormat="false" ht="15" hidden="false" customHeight="true" outlineLevel="0" collapsed="false">
      <c r="A666" s="26" t="s">
        <v>1128</v>
      </c>
      <c r="B666" s="27" t="s">
        <v>1129</v>
      </c>
      <c r="C666" s="28" t="s">
        <v>56</v>
      </c>
      <c r="D666" s="28" t="n">
        <v>1</v>
      </c>
    </row>
    <row r="667" customFormat="false" ht="15" hidden="false" customHeight="true" outlineLevel="0" collapsed="false">
      <c r="A667" s="26" t="s">
        <v>1130</v>
      </c>
      <c r="B667" s="27" t="s">
        <v>1131</v>
      </c>
      <c r="C667" s="28" t="s">
        <v>56</v>
      </c>
      <c r="D667" s="28" t="n">
        <v>2</v>
      </c>
    </row>
    <row r="668" customFormat="false" ht="15" hidden="false" customHeight="true" outlineLevel="0" collapsed="false">
      <c r="A668" s="26" t="s">
        <v>1132</v>
      </c>
      <c r="B668" s="27" t="s">
        <v>1133</v>
      </c>
      <c r="C668" s="28" t="s">
        <v>56</v>
      </c>
      <c r="D668" s="28" t="n">
        <v>3</v>
      </c>
    </row>
    <row r="669" customFormat="false" ht="15" hidden="false" customHeight="true" outlineLevel="0" collapsed="false">
      <c r="A669" s="26" t="s">
        <v>1134</v>
      </c>
      <c r="B669" s="27" t="s">
        <v>1135</v>
      </c>
      <c r="C669" s="28" t="s">
        <v>56</v>
      </c>
      <c r="D669" s="28" t="n">
        <v>4</v>
      </c>
    </row>
    <row r="670" customFormat="false" ht="15" hidden="false" customHeight="true" outlineLevel="0" collapsed="false">
      <c r="A670" s="26" t="s">
        <v>1136</v>
      </c>
      <c r="B670" s="27" t="s">
        <v>1137</v>
      </c>
      <c r="C670" s="28" t="s">
        <v>56</v>
      </c>
      <c r="D670" s="28" t="n">
        <v>5</v>
      </c>
    </row>
    <row r="671" customFormat="false" ht="15" hidden="false" customHeight="true" outlineLevel="0" collapsed="false">
      <c r="A671" s="26" t="s">
        <v>1138</v>
      </c>
      <c r="B671" s="27" t="s">
        <v>314</v>
      </c>
      <c r="C671" s="28" t="s">
        <v>56</v>
      </c>
      <c r="D671" s="28" t="n">
        <v>6</v>
      </c>
    </row>
    <row r="672" customFormat="false" ht="15" hidden="false" customHeight="true" outlineLevel="0" collapsed="false">
      <c r="A672" s="29" t="s">
        <v>85</v>
      </c>
    </row>
    <row r="674" customFormat="false" ht="15.75" hidden="false" customHeight="true" outlineLevel="0" collapsed="false">
      <c r="A674" s="24" t="s">
        <v>1139</v>
      </c>
      <c r="B674" s="24"/>
      <c r="C674" s="24"/>
      <c r="D674" s="24"/>
    </row>
    <row r="675" customFormat="false" ht="15" hidden="false" customHeight="true" outlineLevel="0" collapsed="false">
      <c r="A675" s="25" t="s">
        <v>52</v>
      </c>
      <c r="B675" s="25" t="s">
        <v>96</v>
      </c>
      <c r="C675" s="25" t="s">
        <v>54</v>
      </c>
      <c r="D675" s="25" t="s">
        <v>87</v>
      </c>
    </row>
    <row r="676" customFormat="false" ht="15" hidden="false" customHeight="true" outlineLevel="0" collapsed="false">
      <c r="A676" s="26" t="s">
        <v>1140</v>
      </c>
      <c r="B676" s="27" t="s">
        <v>1141</v>
      </c>
      <c r="C676" s="28" t="s">
        <v>56</v>
      </c>
      <c r="D676" s="28" t="n">
        <v>1</v>
      </c>
    </row>
    <row r="677" customFormat="false" ht="15" hidden="false" customHeight="true" outlineLevel="0" collapsed="false">
      <c r="A677" s="26" t="s">
        <v>1142</v>
      </c>
      <c r="B677" s="27" t="s">
        <v>1143</v>
      </c>
      <c r="C677" s="28" t="s">
        <v>56</v>
      </c>
      <c r="D677" s="28" t="n">
        <v>2</v>
      </c>
    </row>
    <row r="678" customFormat="false" ht="15" hidden="false" customHeight="true" outlineLevel="0" collapsed="false">
      <c r="A678" s="26" t="s">
        <v>1144</v>
      </c>
      <c r="B678" s="27" t="s">
        <v>1145</v>
      </c>
      <c r="C678" s="28" t="s">
        <v>56</v>
      </c>
      <c r="D678" s="28" t="n">
        <v>3</v>
      </c>
    </row>
    <row r="679" customFormat="false" ht="15" hidden="false" customHeight="true" outlineLevel="0" collapsed="false">
      <c r="A679" s="26" t="s">
        <v>1146</v>
      </c>
      <c r="B679" s="27" t="s">
        <v>1147</v>
      </c>
      <c r="C679" s="28" t="s">
        <v>56</v>
      </c>
      <c r="D679" s="28" t="n">
        <v>4</v>
      </c>
    </row>
    <row r="680" customFormat="false" ht="15" hidden="false" customHeight="true" outlineLevel="0" collapsed="false">
      <c r="A680" s="26" t="s">
        <v>1148</v>
      </c>
      <c r="B680" s="27" t="s">
        <v>1149</v>
      </c>
      <c r="C680" s="28" t="s">
        <v>56</v>
      </c>
      <c r="D680" s="28" t="n">
        <v>5</v>
      </c>
    </row>
    <row r="681" customFormat="false" ht="15" hidden="false" customHeight="true" outlineLevel="0" collapsed="false">
      <c r="A681" s="26" t="s">
        <v>1150</v>
      </c>
      <c r="B681" s="27" t="s">
        <v>314</v>
      </c>
      <c r="C681" s="28" t="s">
        <v>56</v>
      </c>
      <c r="D681" s="28" t="n">
        <v>6</v>
      </c>
    </row>
    <row r="682" customFormat="false" ht="15" hidden="false" customHeight="true" outlineLevel="0" collapsed="false">
      <c r="A682" s="29" t="s">
        <v>85</v>
      </c>
    </row>
    <row r="684" customFormat="false" ht="15.75" hidden="false" customHeight="true" outlineLevel="0" collapsed="false">
      <c r="A684" s="24" t="s">
        <v>1151</v>
      </c>
      <c r="B684" s="24"/>
      <c r="C684" s="24"/>
      <c r="D684" s="24"/>
    </row>
    <row r="685" customFormat="false" ht="15" hidden="false" customHeight="true" outlineLevel="0" collapsed="false">
      <c r="A685" s="25" t="s">
        <v>52</v>
      </c>
      <c r="B685" s="25" t="s">
        <v>96</v>
      </c>
      <c r="C685" s="25" t="s">
        <v>54</v>
      </c>
      <c r="D685" s="25" t="s">
        <v>87</v>
      </c>
    </row>
    <row r="686" customFormat="false" ht="15" hidden="false" customHeight="true" outlineLevel="0" collapsed="false">
      <c r="A686" s="26" t="s">
        <v>1152</v>
      </c>
      <c r="B686" s="27" t="s">
        <v>1153</v>
      </c>
      <c r="C686" s="28" t="s">
        <v>56</v>
      </c>
      <c r="D686" s="28" t="n">
        <v>1</v>
      </c>
    </row>
    <row r="687" customFormat="false" ht="15" hidden="false" customHeight="true" outlineLevel="0" collapsed="false">
      <c r="A687" s="26" t="s">
        <v>1154</v>
      </c>
      <c r="B687" s="27" t="s">
        <v>108</v>
      </c>
      <c r="C687" s="28" t="s">
        <v>56</v>
      </c>
      <c r="D687" s="28" t="n">
        <v>2</v>
      </c>
    </row>
    <row r="688" customFormat="false" ht="15" hidden="false" customHeight="true" outlineLevel="0" collapsed="false">
      <c r="A688" s="26" t="s">
        <v>1155</v>
      </c>
      <c r="B688" s="27" t="s">
        <v>1156</v>
      </c>
      <c r="C688" s="28" t="s">
        <v>56</v>
      </c>
      <c r="D688" s="28" t="n">
        <v>3</v>
      </c>
    </row>
    <row r="689" customFormat="false" ht="15" hidden="false" customHeight="true" outlineLevel="0" collapsed="false">
      <c r="A689" s="26" t="s">
        <v>1157</v>
      </c>
      <c r="B689" s="27" t="s">
        <v>114</v>
      </c>
      <c r="C689" s="28" t="s">
        <v>56</v>
      </c>
      <c r="D689" s="28" t="n">
        <v>4</v>
      </c>
    </row>
    <row r="690" customFormat="false" ht="15" hidden="false" customHeight="true" outlineLevel="0" collapsed="false">
      <c r="A690" s="26" t="s">
        <v>1158</v>
      </c>
      <c r="B690" s="27" t="s">
        <v>120</v>
      </c>
      <c r="C690" s="28" t="s">
        <v>56</v>
      </c>
      <c r="D690" s="28" t="n">
        <v>5</v>
      </c>
    </row>
    <row r="691" customFormat="false" ht="15" hidden="false" customHeight="true" outlineLevel="0" collapsed="false">
      <c r="A691" s="29" t="s">
        <v>85</v>
      </c>
    </row>
    <row r="693" customFormat="false" ht="15.75" hidden="false" customHeight="true" outlineLevel="0" collapsed="false">
      <c r="A693" s="24" t="s">
        <v>1159</v>
      </c>
      <c r="B693" s="24"/>
      <c r="C693" s="24"/>
      <c r="D693" s="24"/>
    </row>
    <row r="694" customFormat="false" ht="15" hidden="false" customHeight="true" outlineLevel="0" collapsed="false">
      <c r="A694" s="25" t="s">
        <v>52</v>
      </c>
      <c r="B694" s="25" t="s">
        <v>96</v>
      </c>
      <c r="C694" s="25" t="s">
        <v>54</v>
      </c>
      <c r="D694" s="25" t="s">
        <v>87</v>
      </c>
    </row>
    <row r="695" customFormat="false" ht="15" hidden="false" customHeight="true" outlineLevel="0" collapsed="false">
      <c r="A695" s="26" t="s">
        <v>1160</v>
      </c>
      <c r="B695" s="27" t="s">
        <v>1161</v>
      </c>
      <c r="C695" s="28" t="s">
        <v>56</v>
      </c>
      <c r="D695" s="28" t="n">
        <v>1</v>
      </c>
    </row>
    <row r="696" customFormat="false" ht="15" hidden="false" customHeight="true" outlineLevel="0" collapsed="false">
      <c r="A696" s="26" t="s">
        <v>1162</v>
      </c>
      <c r="B696" s="27" t="s">
        <v>1163</v>
      </c>
      <c r="C696" s="28" t="s">
        <v>56</v>
      </c>
      <c r="D696" s="28" t="n">
        <v>2</v>
      </c>
    </row>
    <row r="697" customFormat="false" ht="15" hidden="false" customHeight="true" outlineLevel="0" collapsed="false">
      <c r="A697" s="26" t="s">
        <v>1164</v>
      </c>
      <c r="B697" s="27" t="s">
        <v>553</v>
      </c>
      <c r="C697" s="28" t="s">
        <v>56</v>
      </c>
      <c r="D697" s="28" t="n">
        <v>3</v>
      </c>
    </row>
    <row r="698" customFormat="false" ht="15" hidden="false" customHeight="true" outlineLevel="0" collapsed="false">
      <c r="A698" s="26" t="s">
        <v>1165</v>
      </c>
      <c r="B698" s="27" t="s">
        <v>1166</v>
      </c>
      <c r="C698" s="28" t="s">
        <v>56</v>
      </c>
      <c r="D698" s="28" t="n">
        <v>4</v>
      </c>
    </row>
    <row r="699" customFormat="false" ht="15" hidden="false" customHeight="true" outlineLevel="0" collapsed="false">
      <c r="A699" s="29" t="s">
        <v>85</v>
      </c>
    </row>
    <row r="701" customFormat="false" ht="15.75" hidden="false" customHeight="true" outlineLevel="0" collapsed="false">
      <c r="A701" s="24" t="s">
        <v>1167</v>
      </c>
      <c r="B701" s="24"/>
      <c r="C701" s="24"/>
      <c r="D701" s="24"/>
    </row>
    <row r="702" customFormat="false" ht="15" hidden="false" customHeight="true" outlineLevel="0" collapsed="false">
      <c r="A702" s="25" t="s">
        <v>52</v>
      </c>
      <c r="B702" s="25" t="s">
        <v>96</v>
      </c>
      <c r="C702" s="25" t="s">
        <v>54</v>
      </c>
      <c r="D702" s="25" t="s">
        <v>87</v>
      </c>
    </row>
    <row r="703" customFormat="false" ht="15" hidden="false" customHeight="true" outlineLevel="0" collapsed="false">
      <c r="A703" s="26" t="s">
        <v>1168</v>
      </c>
      <c r="B703" s="27" t="s">
        <v>1169</v>
      </c>
      <c r="C703" s="28" t="s">
        <v>56</v>
      </c>
      <c r="D703" s="28" t="n">
        <v>1</v>
      </c>
    </row>
    <row r="704" customFormat="false" ht="15" hidden="false" customHeight="true" outlineLevel="0" collapsed="false">
      <c r="A704" s="26" t="s">
        <v>1170</v>
      </c>
      <c r="B704" s="27" t="s">
        <v>1171</v>
      </c>
      <c r="C704" s="28" t="s">
        <v>56</v>
      </c>
      <c r="D704" s="28" t="n">
        <v>2</v>
      </c>
    </row>
    <row r="705" customFormat="false" ht="15" hidden="false" customHeight="true" outlineLevel="0" collapsed="false">
      <c r="A705" s="26" t="s">
        <v>1172</v>
      </c>
      <c r="B705" s="27" t="s">
        <v>1173</v>
      </c>
      <c r="C705" s="28" t="s">
        <v>56</v>
      </c>
      <c r="D705" s="28" t="n">
        <v>3</v>
      </c>
    </row>
    <row r="706" customFormat="false" ht="15" hidden="false" customHeight="true" outlineLevel="0" collapsed="false">
      <c r="A706" s="26" t="s">
        <v>1174</v>
      </c>
      <c r="B706" s="27" t="s">
        <v>1175</v>
      </c>
      <c r="C706" s="28" t="s">
        <v>56</v>
      </c>
      <c r="D706" s="28" t="n">
        <v>4</v>
      </c>
    </row>
    <row r="707" customFormat="false" ht="15" hidden="false" customHeight="true" outlineLevel="0" collapsed="false">
      <c r="A707" s="26" t="s">
        <v>1176</v>
      </c>
      <c r="B707" s="27" t="s">
        <v>1177</v>
      </c>
      <c r="C707" s="28" t="s">
        <v>56</v>
      </c>
      <c r="D707" s="28" t="n">
        <v>5</v>
      </c>
    </row>
    <row r="708" customFormat="false" ht="15" hidden="false" customHeight="true" outlineLevel="0" collapsed="false">
      <c r="A708" s="26" t="s">
        <v>1178</v>
      </c>
      <c r="B708" s="27" t="s">
        <v>1179</v>
      </c>
      <c r="C708" s="28" t="s">
        <v>56</v>
      </c>
      <c r="D708" s="28" t="n">
        <v>6</v>
      </c>
    </row>
    <row r="709" customFormat="false" ht="15" hidden="false" customHeight="true" outlineLevel="0" collapsed="false">
      <c r="A709" s="26" t="s">
        <v>1180</v>
      </c>
      <c r="B709" s="27" t="s">
        <v>314</v>
      </c>
      <c r="C709" s="28" t="s">
        <v>56</v>
      </c>
      <c r="D709" s="28" t="n">
        <v>7</v>
      </c>
    </row>
    <row r="710" customFormat="false" ht="15" hidden="false" customHeight="true" outlineLevel="0" collapsed="false">
      <c r="A710" s="29" t="s">
        <v>85</v>
      </c>
    </row>
    <row r="712" customFormat="false" ht="15.75" hidden="false" customHeight="true" outlineLevel="0" collapsed="false">
      <c r="A712" s="24" t="s">
        <v>1181</v>
      </c>
      <c r="B712" s="24"/>
      <c r="C712" s="24"/>
      <c r="D712" s="24"/>
    </row>
    <row r="713" customFormat="false" ht="15" hidden="false" customHeight="true" outlineLevel="0" collapsed="false">
      <c r="A713" s="25" t="s">
        <v>52</v>
      </c>
      <c r="B713" s="25" t="s">
        <v>96</v>
      </c>
      <c r="C713" s="25" t="s">
        <v>54</v>
      </c>
      <c r="D713" s="25" t="s">
        <v>87</v>
      </c>
    </row>
    <row r="714" customFormat="false" ht="15" hidden="false" customHeight="true" outlineLevel="0" collapsed="false">
      <c r="A714" s="26" t="s">
        <v>1182</v>
      </c>
      <c r="B714" s="27" t="s">
        <v>1183</v>
      </c>
      <c r="C714" s="28" t="s">
        <v>56</v>
      </c>
      <c r="D714" s="28" t="n">
        <v>1</v>
      </c>
    </row>
    <row r="715" customFormat="false" ht="15" hidden="false" customHeight="true" outlineLevel="0" collapsed="false">
      <c r="A715" s="26" t="s">
        <v>1184</v>
      </c>
      <c r="B715" s="27" t="s">
        <v>1185</v>
      </c>
      <c r="C715" s="28" t="s">
        <v>56</v>
      </c>
      <c r="D715" s="28" t="n">
        <v>2</v>
      </c>
    </row>
    <row r="716" customFormat="false" ht="15" hidden="false" customHeight="true" outlineLevel="0" collapsed="false">
      <c r="A716" s="26" t="s">
        <v>1186</v>
      </c>
      <c r="B716" s="27" t="s">
        <v>1187</v>
      </c>
      <c r="C716" s="28" t="s">
        <v>56</v>
      </c>
      <c r="D716" s="28" t="n">
        <v>3</v>
      </c>
    </row>
    <row r="717" customFormat="false" ht="15" hidden="false" customHeight="true" outlineLevel="0" collapsed="false">
      <c r="A717" s="26" t="s">
        <v>1188</v>
      </c>
      <c r="B717" s="27" t="s">
        <v>1189</v>
      </c>
      <c r="C717" s="28" t="s">
        <v>56</v>
      </c>
      <c r="D717" s="28" t="n">
        <v>4</v>
      </c>
    </row>
    <row r="718" customFormat="false" ht="15" hidden="false" customHeight="true" outlineLevel="0" collapsed="false">
      <c r="A718" s="26" t="s">
        <v>1190</v>
      </c>
      <c r="B718" s="27" t="s">
        <v>1191</v>
      </c>
      <c r="C718" s="28" t="s">
        <v>56</v>
      </c>
      <c r="D718" s="28" t="n">
        <v>5</v>
      </c>
    </row>
    <row r="719" customFormat="false" ht="15" hidden="false" customHeight="true" outlineLevel="0" collapsed="false">
      <c r="A719" s="29" t="s">
        <v>85</v>
      </c>
    </row>
    <row r="721" customFormat="false" ht="15.75" hidden="false" customHeight="true" outlineLevel="0" collapsed="false">
      <c r="A721" s="24" t="s">
        <v>1192</v>
      </c>
      <c r="B721" s="24"/>
      <c r="C721" s="24"/>
      <c r="D721" s="24"/>
    </row>
    <row r="722" customFormat="false" ht="15" hidden="false" customHeight="true" outlineLevel="0" collapsed="false">
      <c r="A722" s="25" t="s">
        <v>52</v>
      </c>
      <c r="B722" s="25" t="s">
        <v>96</v>
      </c>
      <c r="C722" s="25" t="s">
        <v>54</v>
      </c>
      <c r="D722" s="25" t="s">
        <v>87</v>
      </c>
    </row>
    <row r="723" customFormat="false" ht="15" hidden="false" customHeight="true" outlineLevel="0" collapsed="false">
      <c r="A723" s="26" t="s">
        <v>1193</v>
      </c>
      <c r="B723" s="27" t="s">
        <v>1194</v>
      </c>
      <c r="C723" s="28" t="s">
        <v>56</v>
      </c>
      <c r="D723" s="28" t="n">
        <v>1</v>
      </c>
    </row>
    <row r="724" customFormat="false" ht="15" hidden="false" customHeight="true" outlineLevel="0" collapsed="false">
      <c r="A724" s="26" t="s">
        <v>1195</v>
      </c>
      <c r="B724" s="27" t="s">
        <v>1196</v>
      </c>
      <c r="C724" s="28" t="s">
        <v>56</v>
      </c>
      <c r="D724" s="28" t="n">
        <v>2</v>
      </c>
    </row>
    <row r="725" customFormat="false" ht="15" hidden="false" customHeight="true" outlineLevel="0" collapsed="false">
      <c r="A725" s="26" t="s">
        <v>1197</v>
      </c>
      <c r="B725" s="27" t="s">
        <v>1198</v>
      </c>
      <c r="C725" s="28" t="s">
        <v>56</v>
      </c>
      <c r="D725" s="28" t="n">
        <v>3</v>
      </c>
    </row>
    <row r="726" customFormat="false" ht="15" hidden="false" customHeight="true" outlineLevel="0" collapsed="false">
      <c r="A726" s="26" t="s">
        <v>1199</v>
      </c>
      <c r="B726" s="27" t="s">
        <v>1200</v>
      </c>
      <c r="C726" s="28" t="s">
        <v>56</v>
      </c>
      <c r="D726" s="28" t="n">
        <v>4</v>
      </c>
    </row>
    <row r="727" customFormat="false" ht="15" hidden="false" customHeight="true" outlineLevel="0" collapsed="false">
      <c r="A727" s="26" t="s">
        <v>1201</v>
      </c>
      <c r="B727" s="27" t="s">
        <v>1202</v>
      </c>
      <c r="C727" s="28" t="s">
        <v>56</v>
      </c>
      <c r="D727" s="28" t="n">
        <v>5</v>
      </c>
    </row>
    <row r="728" customFormat="false" ht="15" hidden="false" customHeight="true" outlineLevel="0" collapsed="false">
      <c r="A728" s="26" t="s">
        <v>1203</v>
      </c>
      <c r="B728" s="27" t="s">
        <v>1204</v>
      </c>
      <c r="C728" s="28" t="s">
        <v>56</v>
      </c>
      <c r="D728" s="28" t="n">
        <v>6</v>
      </c>
    </row>
    <row r="729" customFormat="false" ht="15" hidden="false" customHeight="true" outlineLevel="0" collapsed="false">
      <c r="A729" s="26" t="s">
        <v>1205</v>
      </c>
      <c r="B729" s="27" t="s">
        <v>1206</v>
      </c>
      <c r="C729" s="28" t="s">
        <v>56</v>
      </c>
      <c r="D729" s="28" t="n">
        <v>7</v>
      </c>
    </row>
    <row r="730" customFormat="false" ht="15" hidden="false" customHeight="true" outlineLevel="0" collapsed="false">
      <c r="A730" s="26" t="s">
        <v>1207</v>
      </c>
      <c r="B730" s="27" t="s">
        <v>1208</v>
      </c>
      <c r="C730" s="28" t="s">
        <v>56</v>
      </c>
      <c r="D730" s="28" t="n">
        <v>8</v>
      </c>
    </row>
    <row r="731" customFormat="false" ht="15" hidden="false" customHeight="true" outlineLevel="0" collapsed="false">
      <c r="A731" s="26" t="s">
        <v>1209</v>
      </c>
      <c r="B731" s="27" t="s">
        <v>366</v>
      </c>
      <c r="C731" s="28" t="s">
        <v>56</v>
      </c>
      <c r="D731" s="28" t="n">
        <v>9</v>
      </c>
    </row>
    <row r="732" customFormat="false" ht="15" hidden="false" customHeight="true" outlineLevel="0" collapsed="false">
      <c r="A732" s="26" t="s">
        <v>1210</v>
      </c>
      <c r="B732" s="27" t="s">
        <v>1211</v>
      </c>
      <c r="C732" s="28" t="s">
        <v>56</v>
      </c>
      <c r="D732" s="28" t="n">
        <v>10</v>
      </c>
    </row>
    <row r="733" customFormat="false" ht="15" hidden="false" customHeight="true" outlineLevel="0" collapsed="false">
      <c r="A733" s="26" t="s">
        <v>1212</v>
      </c>
      <c r="B733" s="27" t="s">
        <v>314</v>
      </c>
      <c r="C733" s="28" t="s">
        <v>56</v>
      </c>
      <c r="D733" s="28" t="n">
        <v>11</v>
      </c>
    </row>
    <row r="734" customFormat="false" ht="15" hidden="false" customHeight="true" outlineLevel="0" collapsed="false">
      <c r="A734" s="29" t="s">
        <v>85</v>
      </c>
    </row>
    <row r="736" customFormat="false" ht="15.75" hidden="false" customHeight="true" outlineLevel="0" collapsed="false">
      <c r="A736" s="24" t="s">
        <v>1213</v>
      </c>
      <c r="B736" s="24"/>
      <c r="C736" s="24"/>
      <c r="D736" s="24"/>
    </row>
    <row r="737" customFormat="false" ht="15" hidden="false" customHeight="true" outlineLevel="0" collapsed="false">
      <c r="A737" s="25" t="s">
        <v>52</v>
      </c>
      <c r="B737" s="25" t="s">
        <v>1214</v>
      </c>
    </row>
    <row r="738" customFormat="false" ht="15" hidden="false" customHeight="true" outlineLevel="0" collapsed="false">
      <c r="A738" s="26" t="s">
        <v>1215</v>
      </c>
      <c r="B738" s="27" t="s">
        <v>1216</v>
      </c>
    </row>
    <row r="739" customFormat="false" ht="15" hidden="false" customHeight="true" outlineLevel="0" collapsed="false">
      <c r="A739" s="26" t="s">
        <v>1217</v>
      </c>
      <c r="B739" s="28" t="n">
        <f aca="false">IF(PARAMETRES!$B$39="","",PARAMETRES!$B$39)</f>
        <v>2024</v>
      </c>
    </row>
    <row r="740" customFormat="false" ht="15" hidden="false" customHeight="true" outlineLevel="0" collapsed="false">
      <c r="A740" s="26" t="s">
        <v>1218</v>
      </c>
      <c r="B740" s="28" t="n">
        <f aca="false">IF(PARAMETRES!$B$40="","",PARAMETRES!$B$40)</f>
        <v>2025</v>
      </c>
    </row>
    <row r="741" customFormat="false" ht="15" hidden="false" customHeight="true" outlineLevel="0" collapsed="false">
      <c r="A741" s="26" t="s">
        <v>1219</v>
      </c>
      <c r="B741" s="28" t="n">
        <f aca="false">IF(PARAMETRES!$B$41="","",PARAMETRES!$B$41)</f>
        <v>2026</v>
      </c>
    </row>
    <row r="742" customFormat="false" ht="15" hidden="false" customHeight="true" outlineLevel="0" collapsed="false">
      <c r="A742" s="26" t="s">
        <v>1220</v>
      </c>
      <c r="B742" s="28" t="n">
        <f aca="false">IF(PARAMETRES!$B$42="","",PARAMETRES!$B$42)</f>
        <v>2027</v>
      </c>
    </row>
    <row r="743" customFormat="false" ht="15" hidden="false" customHeight="true" outlineLevel="0" collapsed="false">
      <c r="A743" s="26" t="s">
        <v>1221</v>
      </c>
      <c r="B743" s="28" t="n">
        <f aca="false">IF(PARAMETRES!$B$43="","",PARAMETRES!$B$43)</f>
        <v>2028</v>
      </c>
    </row>
    <row r="744" customFormat="false" ht="15" hidden="false" customHeight="true" outlineLevel="0" collapsed="false">
      <c r="A744" s="26" t="s">
        <v>1222</v>
      </c>
      <c r="B744" s="28" t="n">
        <f aca="false">IF(PARAMETRES!$B$44="","",PARAMETRES!$B$44)</f>
        <v>2029</v>
      </c>
    </row>
    <row r="745" customFormat="false" ht="15" hidden="false" customHeight="true" outlineLevel="0" collapsed="false">
      <c r="A745" s="26" t="s">
        <v>1223</v>
      </c>
      <c r="B745" s="28" t="n">
        <f aca="false">IF(PARAMETRES!$B$45="","",PARAMETRES!$B$45)</f>
        <v>2030</v>
      </c>
    </row>
    <row r="746" customFormat="false" ht="15" hidden="false" customHeight="true" outlineLevel="0" collapsed="false">
      <c r="A746" s="26" t="s">
        <v>1224</v>
      </c>
      <c r="B746" s="28" t="n">
        <f aca="false">IF(PARAMETRES!$B$46="","",PARAMETRES!$B$46)</f>
        <v>2031</v>
      </c>
    </row>
    <row r="747" customFormat="false" ht="15" hidden="false" customHeight="true" outlineLevel="0" collapsed="false">
      <c r="A747" s="26" t="s">
        <v>1225</v>
      </c>
      <c r="B747" s="28" t="n">
        <f aca="false">IF(PARAMETRES!$B$47="","",PARAMETRES!$B$47)</f>
        <v>2032</v>
      </c>
    </row>
    <row r="748" customFormat="false" ht="15" hidden="false" customHeight="true" outlineLevel="0" collapsed="false">
      <c r="A748" s="26" t="s">
        <v>1226</v>
      </c>
      <c r="B748" s="28" t="n">
        <f aca="false">IF(PARAMETRES!$B$48="","",PARAMETRES!$B$48)</f>
        <v>2033</v>
      </c>
    </row>
    <row r="749" customFormat="false" ht="15" hidden="false" customHeight="true" outlineLevel="0" collapsed="false">
      <c r="A749" s="29" t="s">
        <v>85</v>
      </c>
    </row>
  </sheetData>
  <mergeCells count="105">
    <mergeCell ref="A1:L1"/>
    <mergeCell ref="A2:L2"/>
    <mergeCell ref="A4:L4"/>
    <mergeCell ref="A6:L6"/>
    <mergeCell ref="A7:H7"/>
    <mergeCell ref="I7:L7"/>
    <mergeCell ref="A8:H8"/>
    <mergeCell ref="I8:L8"/>
    <mergeCell ref="A9:H9"/>
    <mergeCell ref="I9:L9"/>
    <mergeCell ref="A10:H10"/>
    <mergeCell ref="I10:L10"/>
    <mergeCell ref="A11:H11"/>
    <mergeCell ref="I11:L11"/>
    <mergeCell ref="A12:H12"/>
    <mergeCell ref="I12:L12"/>
    <mergeCell ref="A13:H13"/>
    <mergeCell ref="I13:L13"/>
    <mergeCell ref="A14:H14"/>
    <mergeCell ref="I14:L14"/>
    <mergeCell ref="A15:H15"/>
    <mergeCell ref="I15:L15"/>
    <mergeCell ref="A16:H16"/>
    <mergeCell ref="I16:L16"/>
    <mergeCell ref="A17:H17"/>
    <mergeCell ref="I17:L17"/>
    <mergeCell ref="A18:H18"/>
    <mergeCell ref="I18:L18"/>
    <mergeCell ref="A19:H19"/>
    <mergeCell ref="I19:L19"/>
    <mergeCell ref="A20:H20"/>
    <mergeCell ref="I20:L20"/>
    <mergeCell ref="A21:H21"/>
    <mergeCell ref="I21:L21"/>
    <mergeCell ref="A22:H22"/>
    <mergeCell ref="I22:L22"/>
    <mergeCell ref="A23:H23"/>
    <mergeCell ref="I23:L23"/>
    <mergeCell ref="A24:H24"/>
    <mergeCell ref="I24:L24"/>
    <mergeCell ref="A25:H25"/>
    <mergeCell ref="I25:L25"/>
    <mergeCell ref="A26:H26"/>
    <mergeCell ref="I26:L26"/>
    <mergeCell ref="A27:H27"/>
    <mergeCell ref="I27:L27"/>
    <mergeCell ref="A28:H28"/>
    <mergeCell ref="I28:L28"/>
    <mergeCell ref="A29:H29"/>
    <mergeCell ref="I29:L29"/>
    <mergeCell ref="A30:H30"/>
    <mergeCell ref="I30:L30"/>
    <mergeCell ref="A31:H31"/>
    <mergeCell ref="I31:L31"/>
    <mergeCell ref="A32:H32"/>
    <mergeCell ref="I32:L32"/>
    <mergeCell ref="A33:H33"/>
    <mergeCell ref="I33:L33"/>
    <mergeCell ref="A34:H34"/>
    <mergeCell ref="I34:L34"/>
    <mergeCell ref="A35:H35"/>
    <mergeCell ref="I35:L35"/>
    <mergeCell ref="A37:C37"/>
    <mergeCell ref="A51:C51"/>
    <mergeCell ref="A66:D66"/>
    <mergeCell ref="A73:D73"/>
    <mergeCell ref="A91:D91"/>
    <mergeCell ref="A103:F103"/>
    <mergeCell ref="A146:D146"/>
    <mergeCell ref="A173:D173"/>
    <mergeCell ref="A206:D206"/>
    <mergeCell ref="A238:D238"/>
    <mergeCell ref="A244:D244"/>
    <mergeCell ref="A258:D258"/>
    <mergeCell ref="A280:D280"/>
    <mergeCell ref="A296:D296"/>
    <mergeCell ref="A313:D313"/>
    <mergeCell ref="A325:D325"/>
    <mergeCell ref="A358:D358"/>
    <mergeCell ref="A368:D368"/>
    <mergeCell ref="A381:D381"/>
    <mergeCell ref="A394:D394"/>
    <mergeCell ref="A426:D426"/>
    <mergeCell ref="A433:D433"/>
    <mergeCell ref="A441:D441"/>
    <mergeCell ref="A451:D451"/>
    <mergeCell ref="A471:D471"/>
    <mergeCell ref="A493:D493"/>
    <mergeCell ref="A521:D521"/>
    <mergeCell ref="A534:L534"/>
    <mergeCell ref="A540:D540"/>
    <mergeCell ref="A596:D596"/>
    <mergeCell ref="A606:D606"/>
    <mergeCell ref="A619:D619"/>
    <mergeCell ref="A625:D625"/>
    <mergeCell ref="A638:D638"/>
    <mergeCell ref="A649:D649"/>
    <mergeCell ref="A664:D664"/>
    <mergeCell ref="A674:D674"/>
    <mergeCell ref="A684:D684"/>
    <mergeCell ref="A693:D693"/>
    <mergeCell ref="A701:D701"/>
    <mergeCell ref="A712:D712"/>
    <mergeCell ref="A721:D721"/>
    <mergeCell ref="A736:D736"/>
  </mergeCells>
  <conditionalFormatting sqref="D105:D145">
    <cfRule type="cellIs" priority="2" operator="equal" aboveAverage="0" equalAverage="0" bottom="0" percent="0" rank="0" text="" dxfId="9">
      <formula>"Oui"</formula>
    </cfRule>
  </conditionalFormatting>
  <dataValidations count="28">
    <dataValidation allowBlank="true" errorStyle="stop" operator="between" showDropDown="false" showErrorMessage="false" showInputMessage="false" sqref="C39:C50" type="list">
      <formula1>"Actif,Inactif,Suspendu,Archive"</formula1>
      <formula2>0</formula2>
    </dataValidation>
    <dataValidation allowBlank="true" errorStyle="stop" operator="between" showDropDown="false" showErrorMessage="false" showInputMessage="false" sqref="C75:C90" type="list">
      <formula1>"Actif,Inactif,Suspendu,Archive"</formula1>
      <formula2>0</formula2>
    </dataValidation>
    <dataValidation allowBlank="true" errorStyle="stop" operator="between" showDropDown="false" showErrorMessage="false" showInputMessage="false" sqref="C93:C102" type="list">
      <formula1>"Actif,Inactif,Suspendu,Archive"</formula1>
      <formula2>0</formula2>
    </dataValidation>
    <dataValidation allowBlank="true" errorStyle="stop" operator="between" showDropDown="false" showErrorMessage="false" showInputMessage="false" sqref="E105:E145" type="list">
      <formula1>"Actif,Inactif,Suspendu,Archive"</formula1>
      <formula2>0</formula2>
    </dataValidation>
    <dataValidation allowBlank="true" errorStyle="stop" operator="between" showDropDown="false" showErrorMessage="false" showInputMessage="false" sqref="D105:D145" type="list">
      <formula1>"Oui,Non"</formula1>
      <formula2>0</formula2>
    </dataValidation>
    <dataValidation allowBlank="true" errorStyle="stop" operator="between" showDropDown="false" showErrorMessage="false" showInputMessage="false" sqref="C148:C172" type="list">
      <formula1>"Actif,Inactif,Suspendu,Archive"</formula1>
      <formula2>0</formula2>
    </dataValidation>
    <dataValidation allowBlank="true" errorStyle="stop" operator="between" showDropDown="false" showErrorMessage="false" showInputMessage="false" sqref="C175:C205" type="list">
      <formula1>"Actif,Inactif,Suspendu,Archive"</formula1>
      <formula2>0</formula2>
    </dataValidation>
    <dataValidation allowBlank="true" errorStyle="stop" operator="between" showDropDown="false" showErrorMessage="false" showInputMessage="false" sqref="C208:C237" type="list">
      <formula1>"Actif,Inactif,Suspendu,Archive"</formula1>
      <formula2>0</formula2>
    </dataValidation>
    <dataValidation allowBlank="true" errorStyle="stop" operator="between" showDropDown="false" showErrorMessage="false" showInputMessage="false" sqref="C240:C243" type="list">
      <formula1>"Actif,Inactif,Suspendu,Archive"</formula1>
      <formula2>0</formula2>
    </dataValidation>
    <dataValidation allowBlank="true" errorStyle="stop" operator="between" showDropDown="false" showErrorMessage="false" showInputMessage="false" sqref="C246:C257" type="list">
      <formula1>"Actif,Inactif,Suspendu,Archive"</formula1>
      <formula2>0</formula2>
    </dataValidation>
    <dataValidation allowBlank="true" errorStyle="stop" operator="between" showDropDown="false" showErrorMessage="false" showInputMessage="false" sqref="C260:C279" type="list">
      <formula1>"Actif,Inactif,Suspendu,Archive"</formula1>
      <formula2>0</formula2>
    </dataValidation>
    <dataValidation allowBlank="true" errorStyle="stop" operator="between" showDropDown="false" showErrorMessage="false" showInputMessage="false" sqref="C282:C295" type="list">
      <formula1>"Actif,Inactif,Suspendu,Archive"</formula1>
      <formula2>0</formula2>
    </dataValidation>
    <dataValidation allowBlank="true" errorStyle="stop" operator="between" showDropDown="false" showErrorMessage="false" showInputMessage="false" sqref="C298:C312" type="list">
      <formula1>"Actif,Inactif,Suspendu,Archive"</formula1>
      <formula2>0</formula2>
    </dataValidation>
    <dataValidation allowBlank="true" errorStyle="stop" operator="between" showDropDown="false" showErrorMessage="false" showInputMessage="false" sqref="C315:C324" type="list">
      <formula1>"Actif,Inactif,Suspendu,Archive"</formula1>
      <formula2>0</formula2>
    </dataValidation>
    <dataValidation allowBlank="true" errorStyle="stop" operator="between" showDropDown="false" showErrorMessage="false" showInputMessage="false" sqref="C327:C357" type="list">
      <formula1>"Actif,Inactif,Suspendu,Archive"</formula1>
      <formula2>0</formula2>
    </dataValidation>
    <dataValidation allowBlank="true" errorStyle="stop" operator="between" showDropDown="false" showErrorMessage="false" showInputMessage="false" sqref="C360:C367" type="list">
      <formula1>"Actif,Inactif,Suspendu,Archive"</formula1>
      <formula2>0</formula2>
    </dataValidation>
    <dataValidation allowBlank="true" errorStyle="stop" operator="between" showDropDown="false" showErrorMessage="false" showInputMessage="false" sqref="C370:C380" type="list">
      <formula1>"Actif,Inactif,Suspendu,Archive"</formula1>
      <formula2>0</formula2>
    </dataValidation>
    <dataValidation allowBlank="true" errorStyle="stop" operator="between" showDropDown="false" showErrorMessage="false" showInputMessage="false" sqref="C383:C393" type="list">
      <formula1>"Actif,Inactif,Suspendu,Archive"</formula1>
      <formula2>0</formula2>
    </dataValidation>
    <dataValidation allowBlank="true" errorStyle="stop" operator="between" showDropDown="false" showErrorMessage="false" showInputMessage="false" sqref="C396:C425" type="list">
      <formula1>"Actif,Inactif,Suspendu,Archive"</formula1>
      <formula2>0</formula2>
    </dataValidation>
    <dataValidation allowBlank="true" errorStyle="stop" operator="between" showDropDown="false" showErrorMessage="false" showInputMessage="false" sqref="C428:C432" type="list">
      <formula1>"Actif,Inactif,Suspendu,Archive"</formula1>
      <formula2>0</formula2>
    </dataValidation>
    <dataValidation allowBlank="true" errorStyle="stop" operator="between" showDropDown="false" showErrorMessage="false" showInputMessage="false" sqref="C435:C440" type="list">
      <formula1>"Actif,Inactif,Suspendu,Archive"</formula1>
      <formula2>0</formula2>
    </dataValidation>
    <dataValidation allowBlank="true" errorStyle="stop" operator="between" showDropDown="false" showErrorMessage="false" showInputMessage="false" sqref="C443:C450" type="list">
      <formula1>"Actif,Inactif,Suspendu,Archive"</formula1>
      <formula2>0</formula2>
    </dataValidation>
    <dataValidation allowBlank="true" errorStyle="stop" operator="between" showDropDown="false" showErrorMessage="false" showInputMessage="false" sqref="C453:C470" type="list">
      <formula1>"Actif,Inactif,Suspendu,Archive"</formula1>
      <formula2>0</formula2>
    </dataValidation>
    <dataValidation allowBlank="true" errorStyle="stop" operator="between" showDropDown="false" showErrorMessage="false" showInputMessage="false" sqref="C473:C492" type="list">
      <formula1>"Actif,Inactif,Suspendu,Archive"</formula1>
      <formula2>0</formula2>
    </dataValidation>
    <dataValidation allowBlank="true" errorStyle="stop" operator="between" showDropDown="false" showErrorMessage="false" showInputMessage="false" sqref="C495:C520" type="list">
      <formula1>"Actif,Inactif,Suspendu,Archive"</formula1>
      <formula2>0</formula2>
    </dataValidation>
    <dataValidation allowBlank="true" errorStyle="stop" operator="between" showDropDown="false" showErrorMessage="false" showInputMessage="false" sqref="C523:C533" type="list">
      <formula1>"Actif,Inactif,Suspendu,Archive"</formula1>
      <formula2>0</formula2>
    </dataValidation>
    <dataValidation allowBlank="true" errorStyle="stop" operator="between" showDropDown="false" showErrorMessage="false" showInputMessage="false" sqref="L536:L538" type="list">
      <formula1>"Actif,Inactif,Suspendu,Archive"</formula1>
      <formula2>0</formula2>
    </dataValidation>
    <dataValidation allowBlank="true" errorStyle="stop" operator="between" showDropDown="false" showErrorMessage="false" showInputMessage="false" sqref="C542:C545" type="list">
      <formula1>"Actif,Inactif,Suspendu,Archive"</formula1>
      <formula2>0</formula2>
    </dataValidation>
  </dataValidations>
  <hyperlinks>
    <hyperlink ref="A7" location="PARAMETRES!A37" display="1. ANNEES"/>
    <hyperlink ref="A8" location="PARAMETRES!A51" display="2. MOIS"/>
    <hyperlink ref="A9" location="PARAMETRES!A66" display="3. TRIMESTRES"/>
    <hyperlink ref="A10" location="PARAMETRES!A73" display="4. STATUTS DES PROJETS"/>
    <hyperlink ref="A11" location="PARAMETRES!A91" display="5. STATUTS DES ACTIVITES"/>
    <hyperlink ref="A12" location="PARAMETRES!A103" display="6. DOMAINES D'INTERVENTION DE L'O.N.G BK"/>
    <hyperlink ref="A13" location="PARAMETRES!A146" display="7. TYPES DE PROJETS"/>
    <hyperlink ref="A14" location="PARAMETRES!A173" display="8. TYPES D'ACTIVITES"/>
    <hyperlink ref="A15" location="PARAMETRES!A206" display="9. CATEGORIES DE BENEFICIAIRES"/>
    <hyperlink ref="A16" location="PARAMETRES!A238" display="10. SEXE"/>
    <hyperlink ref="A17" location="PARAMETRES!A244" display="11. TRANCHES D'AGE"/>
    <hyperlink ref="A18" location="PARAMETRES!A258" display="12. TYPES DE PARTENAIRES"/>
    <hyperlink ref="A19" location="PARAMETRES!A280" display="13. TYPES DE DONATEURS"/>
    <hyperlink ref="A20" location="PARAMETRES!A296" display="14. SOURCES DE FINANCEMENT"/>
    <hyperlink ref="A21" location="PARAMETRES!A313" display="15. TYPES DE FINANCEMENT"/>
    <hyperlink ref="A22" location="PARAMETRES!A325" display="16. CATEGORIES DE DEPENSES"/>
    <hyperlink ref="A23" location="PARAMETRES!A358" display="17. MODES DE PAIEMENT"/>
    <hyperlink ref="A24" location="PARAMETRES!A368" display="18. TYPES DE RECETTES"/>
    <hyperlink ref="A25" location="PARAMETRES!A381" display="19. TYPES DE CONTRATS"/>
    <hyperlink ref="A26" location="PARAMETRES!A394" display="20. FONCTIONS / POSTES"/>
    <hyperlink ref="A27" location="PARAMETRES!A426" display="21. NIVEAUX DE PRIORITE"/>
    <hyperlink ref="A28" location="PARAMETRES!A433" display="22. NIVEAUX DE RISQUE"/>
    <hyperlink ref="A29" location="PARAMETRES!A441" display="23. STATUTS DES RISQUES"/>
    <hyperlink ref="A30" location="PARAMETRES!A451" display="24. TYPES D'IMMOBILISATIONS"/>
    <hyperlink ref="A31" location="PARAMETRES!A471" display="25. UNITES DE MESURE"/>
    <hyperlink ref="A32" location="PARAMETRES!A493" display="26. TYPES DE DOCUMENTS"/>
    <hyperlink ref="A33" location="PARAMETRES!A521" display="27. STATUTS DES DOCUMENTS"/>
    <hyperlink ref="A34" location="PARAMETRES!A534" display="28. ZONES GEOGRAPHIQUES (structure hierarchique)"/>
    <hyperlink ref="A35" location="PARAMETRES!A540" display="29. STATUTS GENERAUX"/>
    <hyperlink ref="A65" location="PARAMETRES!A6" display="↑ Retour au sommaire"/>
    <hyperlink ref="A72" location="PARAMETRES!A6" display="↑ Retour au sommaire"/>
    <hyperlink ref="A90" location="PARAMETRES!A6" display="↑ Retour au sommaire"/>
    <hyperlink ref="A102" location="PARAMETRES!A6" display="↑ Retour au sommaire"/>
    <hyperlink ref="A145" location="PARAMETRES!A6" display="↑ Retour au sommaire"/>
    <hyperlink ref="A172" location="PARAMETRES!A6" display="↑ Retour au sommaire"/>
    <hyperlink ref="A205" location="PARAMETRES!A6" display="↑ Retour au sommaire"/>
    <hyperlink ref="A237" location="PARAMETRES!A6" display="↑ Retour au sommaire"/>
    <hyperlink ref="A243" location="PARAMETRES!A6" display="↑ Retour au sommaire"/>
    <hyperlink ref="A257" location="PARAMETRES!A6" display="↑ Retour au sommaire"/>
    <hyperlink ref="A279" location="PARAMETRES!A6" display="↑ Retour au sommaire"/>
    <hyperlink ref="A295" location="PARAMETRES!A6" display="↑ Retour au sommaire"/>
    <hyperlink ref="A312" location="PARAMETRES!A6" display="↑ Retour au sommaire"/>
    <hyperlink ref="A324" location="PARAMETRES!A6" display="↑ Retour au sommaire"/>
    <hyperlink ref="A357" location="PARAMETRES!A6" display="↑ Retour au sommaire"/>
    <hyperlink ref="A367" location="PARAMETRES!A6" display="↑ Retour au sommaire"/>
    <hyperlink ref="A380" location="PARAMETRES!A6" display="↑ Retour au sommaire"/>
    <hyperlink ref="A393" location="PARAMETRES!A6" display="↑ Retour au sommaire"/>
    <hyperlink ref="A425" location="PARAMETRES!A6" display="↑ Retour au sommaire"/>
    <hyperlink ref="A432" location="PARAMETRES!A6" display="↑ Retour au sommaire"/>
    <hyperlink ref="A440" location="PARAMETRES!A6" display="↑ Retour au sommaire"/>
    <hyperlink ref="A450" location="PARAMETRES!A6" display="↑ Retour au sommaire"/>
    <hyperlink ref="A470" location="PARAMETRES!A6" display="↑ Retour au sommaire"/>
    <hyperlink ref="A492" location="PARAMETRES!A6" display="↑ Retour au sommaire"/>
    <hyperlink ref="A520" location="PARAMETRES!A6" display="↑ Retour au sommaire"/>
    <hyperlink ref="A533" location="PARAMETRES!A6" display="↑ Retour au sommaire"/>
    <hyperlink ref="A539" location="PARAMETRES!A6" display="PAYS01"/>
    <hyperlink ref="A546" location="PARAMETRES!A6" display="PAYS01"/>
    <hyperlink ref="A604" location="PARAMETRES!A6" display="↑ Retour au sommaire"/>
    <hyperlink ref="A617" location="PARAMETRES!A6" display="↑ Retour au sommaire"/>
    <hyperlink ref="A623" location="PARAMETRES!A6" display="↑ Retour au sommaire"/>
    <hyperlink ref="A636" location="PARAMETRES!A6" display="↑ Retour au sommair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customHeight="true" zeroHeight="false" outlineLevelRow="0" outlineLevelCol="0"/>
  <cols>
    <col collapsed="false" customWidth="true" hidden="false" outlineLevel="0" max="2" min="1" style="1" width="18"/>
    <col collapsed="false" customWidth="true" hidden="false" outlineLevel="0" max="3" min="3" style="1" width="20"/>
    <col collapsed="false" customWidth="true" hidden="false" outlineLevel="0" max="4" min="4" style="1" width="18"/>
    <col collapsed="false" customWidth="true" hidden="false" outlineLevel="0" max="8" min="5" style="1" width="16"/>
  </cols>
  <sheetData>
    <row r="1" customFormat="false" ht="31.5" hidden="false" customHeight="true" outlineLevel="0" collapsed="false">
      <c r="A1" s="30" t="s">
        <v>1227</v>
      </c>
      <c r="B1" s="30"/>
      <c r="C1" s="30"/>
      <c r="D1" s="30"/>
      <c r="E1" s="30"/>
      <c r="F1" s="30"/>
      <c r="G1" s="30"/>
      <c r="H1" s="30"/>
    </row>
    <row r="2" customFormat="false" ht="18" hidden="false" customHeight="true" outlineLevel="0" collapsed="false">
      <c r="A2" s="3" t="s">
        <v>1228</v>
      </c>
      <c r="B2" s="3"/>
      <c r="C2" s="3"/>
      <c r="D2" s="3"/>
      <c r="E2" s="3"/>
      <c r="F2" s="3"/>
      <c r="G2" s="3"/>
      <c r="H2" s="3"/>
    </row>
    <row r="3" customFormat="false" ht="19.5" hidden="false" customHeight="true" outlineLevel="0" collapsed="false">
      <c r="A3" s="31" t="s">
        <v>1229</v>
      </c>
      <c r="B3" s="31"/>
      <c r="C3" s="32"/>
      <c r="D3" s="33" t="s">
        <v>1230</v>
      </c>
      <c r="E3" s="34"/>
      <c r="F3" s="33" t="s">
        <v>1231</v>
      </c>
      <c r="G3" s="34" t="s">
        <v>56</v>
      </c>
      <c r="H3" s="34"/>
    </row>
    <row r="5" customFormat="false" ht="27.75" hidden="false" customHeight="true" outlineLevel="0" collapsed="false">
      <c r="A5" s="4" t="s">
        <v>1232</v>
      </c>
      <c r="B5" s="4"/>
      <c r="C5" s="4"/>
      <c r="D5" s="4"/>
      <c r="E5" s="4"/>
      <c r="F5" s="4"/>
      <c r="G5" s="4"/>
      <c r="H5" s="4"/>
    </row>
    <row r="7" customFormat="false" ht="19.5" hidden="false" customHeight="true" outlineLevel="0" collapsed="false">
      <c r="A7" s="5" t="s">
        <v>1233</v>
      </c>
      <c r="B7" s="5"/>
      <c r="C7" s="5"/>
      <c r="D7" s="5"/>
      <c r="E7" s="5"/>
      <c r="F7" s="5"/>
      <c r="G7" s="5"/>
      <c r="H7" s="5"/>
    </row>
    <row r="8" customFormat="false" ht="15" hidden="false" customHeight="true" outlineLevel="0" collapsed="false">
      <c r="A8" s="6" t="s">
        <v>1234</v>
      </c>
      <c r="B8" s="6"/>
      <c r="C8" s="6"/>
      <c r="D8" s="6"/>
      <c r="E8" s="6"/>
      <c r="F8" s="6"/>
      <c r="G8" s="7" t="s">
        <v>1235</v>
      </c>
      <c r="H8" s="7"/>
    </row>
    <row r="9" customFormat="false" ht="15" hidden="false" customHeight="true" outlineLevel="0" collapsed="false">
      <c r="A9" s="8" t="s">
        <v>1236</v>
      </c>
      <c r="B9" s="8"/>
      <c r="C9" s="8"/>
      <c r="D9" s="8"/>
      <c r="E9" s="8"/>
      <c r="F9" s="8"/>
      <c r="G9" s="9" t="s">
        <v>1235</v>
      </c>
      <c r="H9" s="9"/>
    </row>
    <row r="10" customFormat="false" ht="15" hidden="false" customHeight="true" outlineLevel="0" collapsed="false">
      <c r="A10" s="6" t="s">
        <v>1237</v>
      </c>
      <c r="B10" s="6"/>
      <c r="C10" s="6"/>
      <c r="D10" s="6"/>
      <c r="E10" s="6"/>
      <c r="F10" s="6"/>
      <c r="G10" s="7" t="s">
        <v>1235</v>
      </c>
      <c r="H10" s="7"/>
    </row>
    <row r="11" customFormat="false" ht="15" hidden="false" customHeight="true" outlineLevel="0" collapsed="false">
      <c r="A11" s="8" t="s">
        <v>1238</v>
      </c>
      <c r="B11" s="8"/>
      <c r="C11" s="8"/>
      <c r="D11" s="8"/>
      <c r="E11" s="8"/>
      <c r="F11" s="8"/>
      <c r="G11" s="9" t="s">
        <v>1239</v>
      </c>
      <c r="H11" s="9"/>
    </row>
    <row r="12" customFormat="false" ht="15" hidden="false" customHeight="true" outlineLevel="0" collapsed="false">
      <c r="A12" s="6" t="s">
        <v>1240</v>
      </c>
      <c r="B12" s="6"/>
      <c r="C12" s="6"/>
      <c r="D12" s="6"/>
      <c r="E12" s="6"/>
      <c r="F12" s="6"/>
      <c r="G12" s="7" t="s">
        <v>1241</v>
      </c>
      <c r="H12" s="7"/>
    </row>
    <row r="13" customFormat="false" ht="15" hidden="false" customHeight="true" outlineLevel="0" collapsed="false">
      <c r="A13" s="8" t="s">
        <v>1242</v>
      </c>
      <c r="B13" s="8"/>
      <c r="C13" s="8"/>
      <c r="D13" s="8"/>
      <c r="E13" s="8"/>
      <c r="F13" s="8"/>
      <c r="G13" s="9" t="s">
        <v>1241</v>
      </c>
      <c r="H13" s="9"/>
    </row>
    <row r="14" customFormat="false" ht="15" hidden="false" customHeight="true" outlineLevel="0" collapsed="false">
      <c r="A14" s="6" t="s">
        <v>1243</v>
      </c>
      <c r="B14" s="6"/>
      <c r="C14" s="6"/>
      <c r="D14" s="6"/>
      <c r="E14" s="6"/>
      <c r="F14" s="6"/>
      <c r="G14" s="7" t="s">
        <v>1239</v>
      </c>
      <c r="H14" s="7"/>
    </row>
    <row r="15" customFormat="false" ht="15" hidden="false" customHeight="true" outlineLevel="0" collapsed="false">
      <c r="A15" s="8" t="s">
        <v>1244</v>
      </c>
      <c r="B15" s="8"/>
      <c r="C15" s="8"/>
      <c r="D15" s="8"/>
      <c r="E15" s="8"/>
      <c r="F15" s="8"/>
      <c r="G15" s="9" t="s">
        <v>1239</v>
      </c>
      <c r="H15" s="9"/>
    </row>
    <row r="16" customFormat="false" ht="15" hidden="false" customHeight="true" outlineLevel="0" collapsed="false">
      <c r="A16" s="6" t="s">
        <v>1245</v>
      </c>
      <c r="B16" s="6"/>
      <c r="C16" s="6"/>
      <c r="D16" s="6"/>
      <c r="E16" s="6"/>
      <c r="F16" s="6"/>
      <c r="G16" s="7" t="s">
        <v>1239</v>
      </c>
      <c r="H16" s="7"/>
    </row>
    <row r="17" customFormat="false" ht="15" hidden="false" customHeight="true" outlineLevel="0" collapsed="false">
      <c r="A17" s="8" t="s">
        <v>1246</v>
      </c>
      <c r="B17" s="8"/>
      <c r="C17" s="8"/>
      <c r="D17" s="8"/>
      <c r="E17" s="8"/>
      <c r="F17" s="8"/>
      <c r="G17" s="9" t="s">
        <v>1239</v>
      </c>
      <c r="H17" s="9"/>
    </row>
    <row r="18" customFormat="false" ht="15" hidden="false" customHeight="true" outlineLevel="0" collapsed="false">
      <c r="A18" s="6" t="s">
        <v>1247</v>
      </c>
      <c r="B18" s="6"/>
      <c r="C18" s="6"/>
      <c r="D18" s="6"/>
      <c r="E18" s="6"/>
      <c r="F18" s="6"/>
      <c r="G18" s="7" t="s">
        <v>1239</v>
      </c>
      <c r="H18" s="7"/>
    </row>
    <row r="19" customFormat="false" ht="15" hidden="false" customHeight="true" outlineLevel="0" collapsed="false">
      <c r="A19" s="8" t="s">
        <v>1248</v>
      </c>
      <c r="B19" s="8"/>
      <c r="C19" s="8"/>
      <c r="D19" s="8"/>
      <c r="E19" s="8"/>
      <c r="F19" s="8"/>
      <c r="G19" s="9" t="s">
        <v>1249</v>
      </c>
      <c r="H19" s="9"/>
    </row>
    <row r="20" customFormat="false" ht="15" hidden="false" customHeight="true" outlineLevel="0" collapsed="false">
      <c r="A20" s="6" t="s">
        <v>1250</v>
      </c>
      <c r="B20" s="6"/>
      <c r="C20" s="6"/>
      <c r="D20" s="6"/>
      <c r="E20" s="6"/>
      <c r="F20" s="6"/>
      <c r="G20" s="7" t="s">
        <v>1239</v>
      </c>
      <c r="H20" s="7"/>
    </row>
    <row r="21" customFormat="false" ht="15" hidden="false" customHeight="true" outlineLevel="0" collapsed="false">
      <c r="A21" s="8" t="s">
        <v>29</v>
      </c>
      <c r="B21" s="8"/>
      <c r="C21" s="8"/>
      <c r="D21" s="8"/>
      <c r="E21" s="8"/>
      <c r="F21" s="8"/>
      <c r="G21" s="9" t="s">
        <v>1239</v>
      </c>
      <c r="H21" s="9"/>
    </row>
    <row r="22" customFormat="false" ht="15" hidden="false" customHeight="true" outlineLevel="0" collapsed="false">
      <c r="A22" s="6" t="s">
        <v>1251</v>
      </c>
      <c r="B22" s="6"/>
      <c r="C22" s="6"/>
      <c r="D22" s="6"/>
      <c r="E22" s="6"/>
      <c r="F22" s="6"/>
      <c r="G22" s="7" t="s">
        <v>1239</v>
      </c>
      <c r="H22" s="7"/>
    </row>
    <row r="23" customFormat="false" ht="15" hidden="false" customHeight="true" outlineLevel="0" collapsed="false">
      <c r="A23" s="8" t="s">
        <v>1252</v>
      </c>
      <c r="B23" s="8"/>
      <c r="C23" s="8"/>
      <c r="D23" s="8"/>
      <c r="E23" s="8"/>
      <c r="F23" s="8"/>
      <c r="G23" s="9" t="s">
        <v>1239</v>
      </c>
      <c r="H23" s="9"/>
    </row>
    <row r="24" customFormat="false" ht="15" hidden="false" customHeight="true" outlineLevel="0" collapsed="false">
      <c r="A24" s="6" t="s">
        <v>1253</v>
      </c>
      <c r="B24" s="6"/>
      <c r="C24" s="6"/>
      <c r="D24" s="6"/>
      <c r="E24" s="6"/>
      <c r="F24" s="6"/>
      <c r="G24" s="7" t="s">
        <v>1239</v>
      </c>
      <c r="H24" s="7"/>
    </row>
    <row r="25" customFormat="false" ht="15" hidden="false" customHeight="true" outlineLevel="0" collapsed="false">
      <c r="A25" s="8" t="s">
        <v>1254</v>
      </c>
      <c r="B25" s="8"/>
      <c r="C25" s="8"/>
      <c r="D25" s="8"/>
      <c r="E25" s="8"/>
      <c r="F25" s="8"/>
      <c r="G25" s="9" t="s">
        <v>1235</v>
      </c>
      <c r="H25" s="9"/>
    </row>
    <row r="26" customFormat="false" ht="15" hidden="false" customHeight="true" outlineLevel="0" collapsed="false">
      <c r="A26" s="6" t="s">
        <v>1255</v>
      </c>
      <c r="B26" s="6"/>
      <c r="C26" s="6"/>
      <c r="D26" s="6"/>
      <c r="E26" s="6"/>
      <c r="F26" s="6"/>
      <c r="G26" s="7" t="s">
        <v>1235</v>
      </c>
      <c r="H26" s="7"/>
    </row>
    <row r="27" customFormat="false" ht="15" hidden="false" customHeight="true" outlineLevel="0" collapsed="false">
      <c r="A27" s="8" t="s">
        <v>1256</v>
      </c>
      <c r="B27" s="8"/>
      <c r="C27" s="8"/>
      <c r="D27" s="8"/>
      <c r="E27" s="8"/>
      <c r="F27" s="8"/>
      <c r="G27" s="9" t="s">
        <v>1239</v>
      </c>
      <c r="H27" s="9"/>
    </row>
    <row r="28" customFormat="false" ht="15" hidden="false" customHeight="true" outlineLevel="0" collapsed="false">
      <c r="A28" s="6" t="s">
        <v>1257</v>
      </c>
      <c r="B28" s="6"/>
      <c r="C28" s="6"/>
      <c r="D28" s="6"/>
      <c r="E28" s="6"/>
      <c r="F28" s="6"/>
      <c r="G28" s="7" t="s">
        <v>1239</v>
      </c>
      <c r="H28" s="7"/>
    </row>
    <row r="29" customFormat="false" ht="15" hidden="false" customHeight="true" outlineLevel="0" collapsed="false">
      <c r="A29" s="8" t="s">
        <v>1258</v>
      </c>
      <c r="B29" s="8"/>
      <c r="C29" s="8"/>
      <c r="D29" s="8"/>
      <c r="E29" s="8"/>
      <c r="F29" s="8"/>
      <c r="G29" s="9" t="s">
        <v>1249</v>
      </c>
      <c r="H29" s="9"/>
    </row>
    <row r="30" customFormat="false" ht="15" hidden="false" customHeight="true" outlineLevel="0" collapsed="false">
      <c r="A30" s="6" t="s">
        <v>1259</v>
      </c>
      <c r="B30" s="6"/>
      <c r="C30" s="6"/>
      <c r="D30" s="6"/>
      <c r="E30" s="6"/>
      <c r="F30" s="6"/>
      <c r="G30" s="7" t="s">
        <v>1239</v>
      </c>
      <c r="H30" s="7"/>
    </row>
    <row r="32" customFormat="false" ht="19.5" hidden="false" customHeight="true" outlineLevel="0" collapsed="false">
      <c r="A32" s="5" t="s">
        <v>1234</v>
      </c>
      <c r="B32" s="5"/>
      <c r="C32" s="5"/>
      <c r="D32" s="5"/>
      <c r="E32" s="5"/>
      <c r="F32" s="5"/>
      <c r="G32" s="5"/>
      <c r="H32" s="5"/>
    </row>
    <row r="33" customFormat="false" ht="18" hidden="false" customHeight="true" outlineLevel="0" collapsed="false">
      <c r="A33" s="35" t="s">
        <v>1260</v>
      </c>
      <c r="B33" s="35"/>
      <c r="C33" s="36" t="s">
        <v>1261</v>
      </c>
      <c r="D33" s="36"/>
      <c r="E33" s="36"/>
      <c r="F33" s="36"/>
      <c r="G33" s="36"/>
      <c r="H33" s="36"/>
    </row>
    <row r="34" customFormat="false" ht="18" hidden="false" customHeight="true" outlineLevel="0" collapsed="false">
      <c r="A34" s="35" t="s">
        <v>1262</v>
      </c>
      <c r="B34" s="35"/>
      <c r="C34" s="36" t="s">
        <v>1263</v>
      </c>
      <c r="D34" s="36"/>
      <c r="E34" s="36"/>
      <c r="F34" s="36"/>
      <c r="G34" s="36"/>
      <c r="H34" s="36"/>
    </row>
    <row r="35" customFormat="false" ht="18" hidden="false" customHeight="true" outlineLevel="0" collapsed="false">
      <c r="A35" s="35" t="s">
        <v>1264</v>
      </c>
      <c r="B35" s="35"/>
      <c r="C35" s="36" t="s">
        <v>1265</v>
      </c>
      <c r="D35" s="36"/>
      <c r="E35" s="36"/>
      <c r="F35" s="36"/>
      <c r="G35" s="36"/>
      <c r="H35" s="36"/>
    </row>
    <row r="36" customFormat="false" ht="18" hidden="false" customHeight="true" outlineLevel="0" collapsed="false">
      <c r="A36" s="35" t="s">
        <v>1266</v>
      </c>
      <c r="B36" s="35"/>
      <c r="C36" s="36"/>
      <c r="D36" s="36"/>
      <c r="E36" s="36"/>
      <c r="F36" s="36"/>
      <c r="G36" s="36"/>
      <c r="H36" s="36"/>
    </row>
    <row r="37" customFormat="false" ht="18" hidden="false" customHeight="true" outlineLevel="0" collapsed="false">
      <c r="A37" s="35" t="s">
        <v>1267</v>
      </c>
      <c r="B37" s="35"/>
      <c r="C37" s="36"/>
      <c r="D37" s="36"/>
      <c r="E37" s="36"/>
      <c r="F37" s="36"/>
      <c r="G37" s="36"/>
      <c r="H37" s="36"/>
    </row>
    <row r="38" customFormat="false" ht="18" hidden="false" customHeight="true" outlineLevel="0" collapsed="false">
      <c r="A38" s="35" t="s">
        <v>1268</v>
      </c>
      <c r="B38" s="35"/>
      <c r="C38" s="36"/>
      <c r="D38" s="36"/>
      <c r="E38" s="36"/>
      <c r="F38" s="36"/>
      <c r="G38" s="36"/>
      <c r="H38" s="36"/>
    </row>
    <row r="39" customFormat="false" ht="18" hidden="false" customHeight="true" outlineLevel="0" collapsed="false">
      <c r="A39" s="35" t="s">
        <v>1269</v>
      </c>
      <c r="B39" s="35"/>
      <c r="C39" s="36"/>
      <c r="D39" s="36"/>
      <c r="E39" s="36"/>
      <c r="F39" s="36"/>
      <c r="G39" s="36"/>
      <c r="H39" s="36"/>
    </row>
    <row r="40" customFormat="false" ht="18" hidden="false" customHeight="true" outlineLevel="0" collapsed="false">
      <c r="A40" s="35" t="s">
        <v>1270</v>
      </c>
      <c r="B40" s="35"/>
      <c r="C40" s="36"/>
      <c r="D40" s="36"/>
      <c r="E40" s="36"/>
      <c r="F40" s="36"/>
      <c r="G40" s="36"/>
      <c r="H40" s="36"/>
    </row>
    <row r="41" customFormat="false" ht="18" hidden="false" customHeight="true" outlineLevel="0" collapsed="false">
      <c r="A41" s="35" t="s">
        <v>1271</v>
      </c>
      <c r="B41" s="35"/>
      <c r="C41" s="36"/>
      <c r="D41" s="36"/>
      <c r="E41" s="36"/>
      <c r="F41" s="36"/>
      <c r="G41" s="36"/>
      <c r="H41" s="36"/>
    </row>
    <row r="42" customFormat="false" ht="18" hidden="false" customHeight="true" outlineLevel="0" collapsed="false">
      <c r="A42" s="35" t="s">
        <v>1272</v>
      </c>
      <c r="B42" s="35"/>
      <c r="C42" s="36"/>
      <c r="D42" s="36"/>
      <c r="E42" s="36"/>
      <c r="F42" s="36"/>
      <c r="G42" s="36"/>
      <c r="H42" s="36"/>
    </row>
    <row r="43" customFormat="false" ht="18" hidden="false" customHeight="true" outlineLevel="0" collapsed="false">
      <c r="A43" s="35" t="s">
        <v>1273</v>
      </c>
      <c r="B43" s="35"/>
      <c r="C43" s="36" t="s">
        <v>885</v>
      </c>
      <c r="D43" s="36"/>
      <c r="E43" s="36"/>
      <c r="F43" s="36"/>
      <c r="G43" s="36"/>
      <c r="H43" s="36"/>
    </row>
    <row r="44" customFormat="false" ht="18" hidden="false" customHeight="true" outlineLevel="0" collapsed="false">
      <c r="A44" s="35" t="s">
        <v>1274</v>
      </c>
      <c r="B44" s="35"/>
      <c r="C44" s="36"/>
      <c r="D44" s="36"/>
      <c r="E44" s="36"/>
      <c r="F44" s="36"/>
      <c r="G44" s="36"/>
      <c r="H44" s="36"/>
    </row>
    <row r="45" customFormat="false" ht="18" hidden="false" customHeight="true" outlineLevel="0" collapsed="false">
      <c r="A45" s="35" t="s">
        <v>1275</v>
      </c>
      <c r="B45" s="35"/>
      <c r="C45" s="36" t="s">
        <v>1276</v>
      </c>
      <c r="D45" s="36"/>
      <c r="E45" s="36"/>
      <c r="F45" s="36"/>
      <c r="G45" s="36"/>
      <c r="H45" s="36"/>
    </row>
    <row r="46" customFormat="false" ht="18" hidden="false" customHeight="true" outlineLevel="0" collapsed="false">
      <c r="A46" s="35" t="s">
        <v>1277</v>
      </c>
      <c r="B46" s="35"/>
      <c r="C46" s="36"/>
      <c r="D46" s="36"/>
      <c r="E46" s="36"/>
      <c r="F46" s="36"/>
      <c r="G46" s="36"/>
      <c r="H46" s="36"/>
    </row>
    <row r="47" customFormat="false" ht="18" hidden="false" customHeight="true" outlineLevel="0" collapsed="false">
      <c r="A47" s="35" t="s">
        <v>1278</v>
      </c>
      <c r="B47" s="35"/>
      <c r="C47" s="36"/>
      <c r="D47" s="36"/>
      <c r="E47" s="36"/>
      <c r="F47" s="36"/>
      <c r="G47" s="36"/>
      <c r="H47" s="36"/>
    </row>
    <row r="48" customFormat="false" ht="18" hidden="false" customHeight="true" outlineLevel="0" collapsed="false">
      <c r="A48" s="35" t="s">
        <v>1279</v>
      </c>
      <c r="B48" s="35"/>
      <c r="C48" s="36"/>
      <c r="D48" s="36"/>
      <c r="E48" s="36"/>
      <c r="F48" s="36"/>
      <c r="G48" s="36"/>
      <c r="H48" s="36"/>
    </row>
    <row r="49" customFormat="false" ht="18" hidden="false" customHeight="true" outlineLevel="0" collapsed="false">
      <c r="A49" s="35" t="s">
        <v>1280</v>
      </c>
      <c r="B49" s="35"/>
      <c r="C49" s="36"/>
      <c r="D49" s="36"/>
      <c r="E49" s="36"/>
      <c r="F49" s="36"/>
      <c r="G49" s="36"/>
      <c r="H49" s="36"/>
    </row>
    <row r="50" customFormat="false" ht="18" hidden="false" customHeight="true" outlineLevel="0" collapsed="false">
      <c r="A50" s="35" t="s">
        <v>1281</v>
      </c>
      <c r="B50" s="35"/>
      <c r="C50" s="36"/>
      <c r="D50" s="36"/>
      <c r="E50" s="36"/>
      <c r="F50" s="36"/>
      <c r="G50" s="36"/>
      <c r="H50" s="36"/>
    </row>
    <row r="51" customFormat="false" ht="15" hidden="false" customHeight="true" outlineLevel="0" collapsed="false">
      <c r="A51" s="15" t="s">
        <v>85</v>
      </c>
    </row>
    <row r="53" customFormat="false" ht="19.5" hidden="false" customHeight="true" outlineLevel="0" collapsed="false">
      <c r="A53" s="5" t="s">
        <v>1236</v>
      </c>
      <c r="B53" s="5"/>
      <c r="C53" s="5"/>
      <c r="D53" s="5"/>
      <c r="E53" s="5"/>
      <c r="F53" s="5"/>
      <c r="G53" s="5"/>
      <c r="H53" s="5"/>
    </row>
    <row r="54" customFormat="false" ht="18" hidden="false" customHeight="true" outlineLevel="0" collapsed="false">
      <c r="A54" s="35" t="s">
        <v>1282</v>
      </c>
      <c r="B54" s="35"/>
      <c r="C54" s="36"/>
      <c r="D54" s="36"/>
      <c r="E54" s="36"/>
      <c r="F54" s="36"/>
      <c r="G54" s="36"/>
      <c r="H54" s="36"/>
    </row>
    <row r="55" customFormat="false" ht="18" hidden="false" customHeight="true" outlineLevel="0" collapsed="false">
      <c r="A55" s="35" t="s">
        <v>1283</v>
      </c>
      <c r="B55" s="35"/>
      <c r="C55" s="36"/>
      <c r="D55" s="36"/>
      <c r="E55" s="36"/>
      <c r="F55" s="36"/>
      <c r="G55" s="36"/>
      <c r="H55" s="36"/>
    </row>
    <row r="56" customFormat="false" ht="18" hidden="false" customHeight="true" outlineLevel="0" collapsed="false">
      <c r="A56" s="35" t="s">
        <v>1271</v>
      </c>
      <c r="B56" s="35"/>
      <c r="C56" s="36"/>
      <c r="D56" s="36"/>
      <c r="E56" s="36"/>
      <c r="F56" s="36"/>
      <c r="G56" s="36"/>
      <c r="H56" s="36"/>
    </row>
    <row r="57" customFormat="false" ht="18" hidden="false" customHeight="true" outlineLevel="0" collapsed="false">
      <c r="A57" s="35" t="s">
        <v>1284</v>
      </c>
      <c r="B57" s="35"/>
      <c r="C57" s="36"/>
      <c r="D57" s="36"/>
      <c r="E57" s="36"/>
      <c r="F57" s="36"/>
      <c r="G57" s="36"/>
      <c r="H57" s="36"/>
    </row>
    <row r="58" customFormat="false" ht="18" hidden="false" customHeight="true" outlineLevel="0" collapsed="false">
      <c r="A58" s="35" t="s">
        <v>1285</v>
      </c>
      <c r="B58" s="35"/>
      <c r="C58" s="36"/>
      <c r="D58" s="36"/>
      <c r="E58" s="36"/>
      <c r="F58" s="36"/>
      <c r="G58" s="36"/>
      <c r="H58" s="36"/>
    </row>
    <row r="59" customFormat="false" ht="18" hidden="false" customHeight="true" outlineLevel="0" collapsed="false">
      <c r="A59" s="35" t="s">
        <v>1270</v>
      </c>
      <c r="B59" s="35"/>
      <c r="C59" s="36"/>
      <c r="D59" s="36"/>
      <c r="E59" s="36"/>
      <c r="F59" s="36"/>
      <c r="G59" s="36"/>
      <c r="H59" s="36"/>
    </row>
    <row r="60" customFormat="false" ht="18" hidden="false" customHeight="true" outlineLevel="0" collapsed="false">
      <c r="A60" s="35" t="s">
        <v>1286</v>
      </c>
      <c r="B60" s="35"/>
      <c r="C60" s="36"/>
      <c r="D60" s="36"/>
      <c r="E60" s="36"/>
      <c r="F60" s="36"/>
      <c r="G60" s="36"/>
      <c r="H60" s="36"/>
    </row>
    <row r="61" customFormat="false" ht="18" hidden="false" customHeight="true" outlineLevel="0" collapsed="false">
      <c r="A61" s="35" t="s">
        <v>1287</v>
      </c>
      <c r="B61" s="35"/>
      <c r="C61" s="36"/>
      <c r="D61" s="36"/>
      <c r="E61" s="36"/>
      <c r="F61" s="36"/>
      <c r="G61" s="36"/>
      <c r="H61" s="36"/>
    </row>
    <row r="62" customFormat="false" ht="18" hidden="false" customHeight="true" outlineLevel="0" collapsed="false">
      <c r="A62" s="35" t="s">
        <v>1267</v>
      </c>
      <c r="B62" s="35"/>
      <c r="C62" s="36"/>
      <c r="D62" s="36"/>
      <c r="E62" s="36"/>
      <c r="F62" s="36"/>
      <c r="G62" s="36"/>
      <c r="H62" s="36"/>
    </row>
    <row r="63" customFormat="false" ht="18" hidden="false" customHeight="true" outlineLevel="0" collapsed="false">
      <c r="A63" s="35" t="s">
        <v>1273</v>
      </c>
      <c r="B63" s="35"/>
      <c r="C63" s="36" t="s">
        <v>885</v>
      </c>
      <c r="D63" s="36"/>
      <c r="E63" s="36"/>
      <c r="F63" s="36"/>
      <c r="G63" s="36"/>
      <c r="H63" s="36"/>
    </row>
    <row r="64" customFormat="false" ht="18" hidden="false" customHeight="true" outlineLevel="0" collapsed="false">
      <c r="A64" s="35" t="s">
        <v>1288</v>
      </c>
      <c r="B64" s="35"/>
      <c r="C64" s="36"/>
      <c r="D64" s="36"/>
      <c r="E64" s="36"/>
      <c r="F64" s="36"/>
      <c r="G64" s="36"/>
      <c r="H64" s="36"/>
    </row>
    <row r="65" customFormat="false" ht="18" hidden="false" customHeight="true" outlineLevel="0" collapsed="false">
      <c r="A65" s="35" t="s">
        <v>1289</v>
      </c>
      <c r="B65" s="35"/>
      <c r="C65" s="36"/>
      <c r="D65" s="36"/>
      <c r="E65" s="36"/>
      <c r="F65" s="36"/>
      <c r="G65" s="36"/>
      <c r="H65" s="36"/>
    </row>
    <row r="66" customFormat="false" ht="15" hidden="false" customHeight="true" outlineLevel="0" collapsed="false">
      <c r="A66" s="15" t="s">
        <v>85</v>
      </c>
    </row>
    <row r="68" customFormat="false" ht="19.5" hidden="false" customHeight="true" outlineLevel="0" collapsed="false">
      <c r="A68" s="5" t="s">
        <v>1237</v>
      </c>
      <c r="B68" s="5"/>
      <c r="C68" s="5"/>
      <c r="D68" s="5"/>
      <c r="E68" s="5"/>
      <c r="F68" s="5"/>
      <c r="G68" s="5"/>
      <c r="H68" s="5"/>
    </row>
    <row r="69" customFormat="false" ht="18" hidden="false" customHeight="true" outlineLevel="0" collapsed="false">
      <c r="A69" s="35" t="s">
        <v>1290</v>
      </c>
      <c r="B69" s="35"/>
      <c r="C69" s="36"/>
      <c r="D69" s="36"/>
      <c r="E69" s="36"/>
      <c r="F69" s="36"/>
      <c r="G69" s="36"/>
      <c r="H69" s="36"/>
    </row>
    <row r="70" customFormat="false" ht="18" hidden="false" customHeight="true" outlineLevel="0" collapsed="false">
      <c r="A70" s="35" t="s">
        <v>874</v>
      </c>
      <c r="B70" s="35"/>
      <c r="C70" s="37" t="str">
        <f aca="false">IFERROR(INDEX(#REF!,MATCH($C$69,#REF!,0)),"")</f>
        <v/>
      </c>
      <c r="D70" s="37"/>
      <c r="E70" s="37"/>
      <c r="F70" s="37"/>
      <c r="G70" s="37"/>
      <c r="H70" s="37"/>
    </row>
    <row r="71" customFormat="false" ht="18" hidden="false" customHeight="true" outlineLevel="0" collapsed="false">
      <c r="A71" s="35" t="s">
        <v>1291</v>
      </c>
      <c r="B71" s="35"/>
      <c r="C71" s="37" t="str">
        <f aca="false">IFERROR(INDEX(#REF!,MATCH($C$69,#REF!,0)),"")</f>
        <v/>
      </c>
      <c r="D71" s="37"/>
      <c r="E71" s="37"/>
      <c r="F71" s="37"/>
      <c r="G71" s="37"/>
      <c r="H71" s="37"/>
    </row>
    <row r="72" customFormat="false" ht="18" hidden="false" customHeight="true" outlineLevel="0" collapsed="false">
      <c r="A72" s="35" t="s">
        <v>1292</v>
      </c>
      <c r="B72" s="35"/>
      <c r="C72" s="37" t="str">
        <f aca="false">IFERROR(INDEX(#REF!,MATCH($C$69,#REF!,0)),"")</f>
        <v/>
      </c>
      <c r="D72" s="37"/>
      <c r="E72" s="37"/>
      <c r="F72" s="37"/>
      <c r="G72" s="37"/>
      <c r="H72" s="37"/>
    </row>
    <row r="73" customFormat="false" ht="18" hidden="false" customHeight="true" outlineLevel="0" collapsed="false">
      <c r="A73" s="35" t="s">
        <v>880</v>
      </c>
      <c r="B73" s="35"/>
      <c r="C73" s="37" t="str">
        <f aca="false">IFERROR(INDEX(#REF!,MATCH($C$69,#REF!,0)),"")</f>
        <v/>
      </c>
      <c r="D73" s="37"/>
      <c r="E73" s="37"/>
      <c r="F73" s="37"/>
      <c r="G73" s="37"/>
      <c r="H73" s="37"/>
    </row>
    <row r="74" customFormat="false" ht="18" hidden="false" customHeight="true" outlineLevel="0" collapsed="false">
      <c r="A74" s="35" t="s">
        <v>1293</v>
      </c>
      <c r="B74" s="35"/>
      <c r="C74" s="36"/>
      <c r="D74" s="36"/>
      <c r="E74" s="36"/>
      <c r="F74" s="36"/>
      <c r="G74" s="36"/>
      <c r="H74" s="36"/>
    </row>
    <row r="75" customFormat="false" ht="18" hidden="false" customHeight="true" outlineLevel="0" collapsed="false">
      <c r="A75" s="35" t="s">
        <v>1294</v>
      </c>
      <c r="B75" s="35"/>
      <c r="C75" s="36"/>
      <c r="D75" s="36"/>
      <c r="E75" s="36"/>
      <c r="F75" s="36"/>
      <c r="G75" s="36"/>
      <c r="H75" s="36"/>
    </row>
    <row r="76" customFormat="false" ht="18" hidden="false" customHeight="true" outlineLevel="0" collapsed="false">
      <c r="A76" s="35" t="s">
        <v>1295</v>
      </c>
      <c r="B76" s="35"/>
      <c r="C76" s="36"/>
      <c r="D76" s="36"/>
      <c r="E76" s="36"/>
      <c r="F76" s="36"/>
      <c r="G76" s="36"/>
      <c r="H76" s="36"/>
    </row>
    <row r="77" customFormat="false" ht="18" hidden="false" customHeight="true" outlineLevel="0" collapsed="false">
      <c r="A77" s="35" t="s">
        <v>1296</v>
      </c>
      <c r="B77" s="35"/>
      <c r="C77" s="36"/>
      <c r="D77" s="36"/>
      <c r="E77" s="36"/>
      <c r="F77" s="36"/>
      <c r="G77" s="36"/>
      <c r="H77" s="36"/>
    </row>
    <row r="78" customFormat="false" ht="18" hidden="false" customHeight="true" outlineLevel="0" collapsed="false">
      <c r="A78" s="35" t="s">
        <v>1297</v>
      </c>
      <c r="B78" s="35"/>
      <c r="C78" s="36"/>
      <c r="D78" s="36"/>
      <c r="E78" s="36"/>
      <c r="F78" s="36"/>
      <c r="G78" s="36"/>
      <c r="H78" s="36"/>
    </row>
    <row r="79" customFormat="false" ht="15" hidden="false" customHeight="true" outlineLevel="0" collapsed="false">
      <c r="A79" s="15" t="s">
        <v>85</v>
      </c>
    </row>
    <row r="81" customFormat="false" ht="19.5" hidden="false" customHeight="true" outlineLevel="0" collapsed="false">
      <c r="A81" s="5" t="s">
        <v>1238</v>
      </c>
      <c r="B81" s="5"/>
      <c r="C81" s="5"/>
      <c r="D81" s="5"/>
      <c r="E81" s="5"/>
    </row>
    <row r="82" customFormat="false" ht="25.5" hidden="false" customHeight="true" outlineLevel="0" collapsed="false">
      <c r="A82" s="11" t="s">
        <v>1298</v>
      </c>
      <c r="B82" s="11" t="s">
        <v>1299</v>
      </c>
      <c r="C82" s="11" t="s">
        <v>1295</v>
      </c>
      <c r="D82" s="11" t="s">
        <v>1300</v>
      </c>
      <c r="E82" s="11" t="s">
        <v>54</v>
      </c>
    </row>
    <row r="83" customFormat="false" ht="15" hidden="false" customHeight="true" outlineLevel="0" collapsed="false">
      <c r="A83" s="38" t="s">
        <v>658</v>
      </c>
      <c r="B83" s="39"/>
      <c r="C83" s="39"/>
      <c r="D83" s="39"/>
      <c r="E83" s="38" t="s">
        <v>56</v>
      </c>
    </row>
    <row r="84" customFormat="false" ht="15" hidden="false" customHeight="true" outlineLevel="0" collapsed="false">
      <c r="A84" s="38" t="s">
        <v>666</v>
      </c>
      <c r="B84" s="39"/>
      <c r="C84" s="39"/>
      <c r="D84" s="39"/>
      <c r="E84" s="38" t="s">
        <v>56</v>
      </c>
    </row>
    <row r="85" customFormat="false" ht="15" hidden="false" customHeight="true" outlineLevel="0" collapsed="false">
      <c r="A85" s="38" t="s">
        <v>662</v>
      </c>
      <c r="B85" s="39"/>
      <c r="C85" s="39"/>
      <c r="D85" s="39"/>
      <c r="E85" s="38" t="s">
        <v>56</v>
      </c>
    </row>
    <row r="86" customFormat="false" ht="34.5" hidden="false" customHeight="true" outlineLevel="0" collapsed="false">
      <c r="A86" s="38" t="s">
        <v>672</v>
      </c>
      <c r="B86" s="39"/>
      <c r="C86" s="39"/>
      <c r="D86" s="39"/>
      <c r="E86" s="38" t="s">
        <v>56</v>
      </c>
    </row>
    <row r="87" customFormat="false" ht="23.25" hidden="false" customHeight="true" outlineLevel="0" collapsed="false">
      <c r="A87" s="38" t="s">
        <v>1301</v>
      </c>
      <c r="B87" s="39"/>
      <c r="C87" s="39"/>
      <c r="D87" s="39"/>
      <c r="E87" s="38" t="s">
        <v>56</v>
      </c>
    </row>
    <row r="88" customFormat="false" ht="23.25" hidden="false" customHeight="true" outlineLevel="0" collapsed="false">
      <c r="A88" s="38" t="s">
        <v>676</v>
      </c>
      <c r="B88" s="39"/>
      <c r="C88" s="39"/>
      <c r="D88" s="39"/>
      <c r="E88" s="38" t="s">
        <v>56</v>
      </c>
    </row>
    <row r="89" customFormat="false" ht="23.25" hidden="false" customHeight="true" outlineLevel="0" collapsed="false">
      <c r="A89" s="38" t="s">
        <v>1302</v>
      </c>
      <c r="B89" s="39"/>
      <c r="C89" s="39"/>
      <c r="D89" s="39"/>
      <c r="E89" s="38" t="s">
        <v>56</v>
      </c>
    </row>
    <row r="90" customFormat="false" ht="23.25" hidden="false" customHeight="true" outlineLevel="0" collapsed="false">
      <c r="A90" s="38" t="s">
        <v>1303</v>
      </c>
      <c r="B90" s="39"/>
      <c r="C90" s="39"/>
      <c r="D90" s="39"/>
      <c r="E90" s="38" t="s">
        <v>56</v>
      </c>
    </row>
    <row r="91" customFormat="false" ht="15" hidden="false" customHeight="true" outlineLevel="0" collapsed="false">
      <c r="A91" s="15" t="s">
        <v>85</v>
      </c>
    </row>
    <row r="93" customFormat="false" ht="19.5" hidden="false" customHeight="true" outlineLevel="0" collapsed="false">
      <c r="A93" s="5" t="s">
        <v>1240</v>
      </c>
      <c r="B93" s="5"/>
      <c r="C93" s="5"/>
      <c r="D93" s="5"/>
      <c r="E93" s="5"/>
      <c r="F93" s="5"/>
      <c r="G93" s="5"/>
      <c r="H93" s="5"/>
    </row>
    <row r="94" customFormat="false" ht="19.5" hidden="false" customHeight="true" outlineLevel="0" collapsed="false">
      <c r="A94" s="40"/>
      <c r="B94" s="40"/>
      <c r="C94" s="40"/>
      <c r="D94" s="40"/>
      <c r="E94" s="40"/>
      <c r="F94" s="40"/>
      <c r="G94" s="40"/>
      <c r="H94" s="40"/>
    </row>
    <row r="95" customFormat="false" ht="19.5" hidden="false" customHeight="true" outlineLevel="0" collapsed="false">
      <c r="A95" s="40"/>
      <c r="B95" s="40"/>
      <c r="C95" s="40"/>
      <c r="D95" s="40"/>
      <c r="E95" s="40"/>
      <c r="F95" s="40"/>
      <c r="G95" s="40"/>
      <c r="H95" s="40"/>
    </row>
    <row r="96" customFormat="false" ht="19.5" hidden="false" customHeight="true" outlineLevel="0" collapsed="false">
      <c r="A96" s="40"/>
      <c r="B96" s="40"/>
      <c r="C96" s="40"/>
      <c r="D96" s="40"/>
      <c r="E96" s="40"/>
      <c r="F96" s="40"/>
      <c r="G96" s="40"/>
      <c r="H96" s="40"/>
    </row>
    <row r="97" customFormat="false" ht="19.5" hidden="false" customHeight="true" outlineLevel="0" collapsed="false">
      <c r="A97" s="40"/>
      <c r="B97" s="40"/>
      <c r="C97" s="40"/>
      <c r="D97" s="40"/>
      <c r="E97" s="40"/>
      <c r="F97" s="40"/>
      <c r="G97" s="40"/>
      <c r="H97" s="40"/>
    </row>
    <row r="98" customFormat="false" ht="15" hidden="false" customHeight="true" outlineLevel="0" collapsed="false">
      <c r="A98" s="15" t="s">
        <v>85</v>
      </c>
    </row>
    <row r="100" customFormat="false" ht="19.5" hidden="false" customHeight="true" outlineLevel="0" collapsed="false">
      <c r="A100" s="5" t="s">
        <v>1242</v>
      </c>
      <c r="B100" s="5"/>
      <c r="C100" s="5"/>
      <c r="D100" s="5"/>
      <c r="E100" s="5"/>
      <c r="F100" s="5"/>
      <c r="G100" s="5"/>
      <c r="H100" s="5"/>
    </row>
    <row r="101" customFormat="false" ht="19.5" hidden="false" customHeight="true" outlineLevel="0" collapsed="false">
      <c r="A101" s="40"/>
      <c r="B101" s="40"/>
      <c r="C101" s="40"/>
      <c r="D101" s="40"/>
      <c r="E101" s="40"/>
      <c r="F101" s="40"/>
      <c r="G101" s="40"/>
      <c r="H101" s="40"/>
    </row>
    <row r="102" customFormat="false" ht="19.5" hidden="false" customHeight="true" outlineLevel="0" collapsed="false">
      <c r="A102" s="40"/>
      <c r="B102" s="40"/>
      <c r="C102" s="40"/>
      <c r="D102" s="40"/>
      <c r="E102" s="40"/>
      <c r="F102" s="40"/>
      <c r="G102" s="40"/>
      <c r="H102" s="40"/>
    </row>
    <row r="103" customFormat="false" ht="19.5" hidden="false" customHeight="true" outlineLevel="0" collapsed="false">
      <c r="A103" s="40"/>
      <c r="B103" s="40"/>
      <c r="C103" s="40"/>
      <c r="D103" s="40"/>
      <c r="E103" s="40"/>
      <c r="F103" s="40"/>
      <c r="G103" s="40"/>
      <c r="H103" s="40"/>
    </row>
    <row r="104" customFormat="false" ht="19.5" hidden="false" customHeight="true" outlineLevel="0" collapsed="false">
      <c r="A104" s="40"/>
      <c r="B104" s="40"/>
      <c r="C104" s="40"/>
      <c r="D104" s="40"/>
      <c r="E104" s="40"/>
      <c r="F104" s="40"/>
      <c r="G104" s="40"/>
      <c r="H104" s="40"/>
    </row>
    <row r="105" customFormat="false" ht="15" hidden="false" customHeight="true" outlineLevel="0" collapsed="false">
      <c r="A105" s="15" t="s">
        <v>85</v>
      </c>
    </row>
    <row r="107" customFormat="false" ht="19.5" hidden="false" customHeight="true" outlineLevel="0" collapsed="false">
      <c r="A107" s="5" t="s">
        <v>1243</v>
      </c>
      <c r="B107" s="5"/>
      <c r="C107" s="5"/>
    </row>
    <row r="108" customFormat="false" ht="25.5" hidden="false" customHeight="true" outlineLevel="0" collapsed="false">
      <c r="A108" s="11" t="s">
        <v>52</v>
      </c>
      <c r="B108" s="11" t="s">
        <v>1214</v>
      </c>
      <c r="C108" s="11" t="s">
        <v>143</v>
      </c>
    </row>
    <row r="109" customFormat="false" ht="15" hidden="false" customHeight="true" outlineLevel="0" collapsed="false">
      <c r="A109" s="38" t="s">
        <v>1304</v>
      </c>
      <c r="B109" s="38" t="s">
        <v>1305</v>
      </c>
      <c r="C109" s="39"/>
    </row>
    <row r="110" customFormat="false" ht="15" hidden="false" customHeight="true" outlineLevel="0" collapsed="false">
      <c r="A110" s="38" t="s">
        <v>1306</v>
      </c>
      <c r="B110" s="38" t="s">
        <v>1307</v>
      </c>
      <c r="C110" s="39"/>
    </row>
    <row r="111" customFormat="false" ht="15" hidden="false" customHeight="true" outlineLevel="0" collapsed="false">
      <c r="A111" s="38" t="s">
        <v>1308</v>
      </c>
      <c r="B111" s="38" t="s">
        <v>1309</v>
      </c>
      <c r="C111" s="39"/>
    </row>
    <row r="112" customFormat="false" ht="15" hidden="false" customHeight="true" outlineLevel="0" collapsed="false">
      <c r="A112" s="38" t="s">
        <v>1310</v>
      </c>
      <c r="B112" s="38" t="s">
        <v>1311</v>
      </c>
      <c r="C112" s="39"/>
    </row>
    <row r="113" customFormat="false" ht="15" hidden="false" customHeight="true" outlineLevel="0" collapsed="false">
      <c r="A113" s="38" t="s">
        <v>1312</v>
      </c>
      <c r="B113" s="38" t="s">
        <v>1313</v>
      </c>
      <c r="C113" s="39"/>
    </row>
    <row r="114" customFormat="false" ht="15" hidden="false" customHeight="true" outlineLevel="0" collapsed="false">
      <c r="A114" s="38" t="s">
        <v>1314</v>
      </c>
      <c r="B114" s="38" t="s">
        <v>1315</v>
      </c>
      <c r="C114" s="39"/>
    </row>
    <row r="115" customFormat="false" ht="15" hidden="false" customHeight="true" outlineLevel="0" collapsed="false">
      <c r="A115" s="38" t="s">
        <v>1316</v>
      </c>
      <c r="B115" s="38" t="s">
        <v>1317</v>
      </c>
      <c r="C115" s="39"/>
    </row>
    <row r="116" customFormat="false" ht="15" hidden="false" customHeight="true" outlineLevel="0" collapsed="false">
      <c r="A116" s="38" t="s">
        <v>1318</v>
      </c>
      <c r="B116" s="38" t="s">
        <v>1319</v>
      </c>
      <c r="C116" s="39"/>
    </row>
    <row r="117" customFormat="false" ht="15" hidden="false" customHeight="true" outlineLevel="0" collapsed="false">
      <c r="A117" s="38" t="s">
        <v>1320</v>
      </c>
      <c r="B117" s="38" t="s">
        <v>1321</v>
      </c>
      <c r="C117" s="39"/>
    </row>
    <row r="118" customFormat="false" ht="15" hidden="false" customHeight="true" outlineLevel="0" collapsed="false">
      <c r="A118" s="15" t="s">
        <v>85</v>
      </c>
    </row>
    <row r="120" customFormat="false" ht="19.5" hidden="false" customHeight="true" outlineLevel="0" collapsed="false">
      <c r="A120" s="5" t="s">
        <v>1244</v>
      </c>
      <c r="B120" s="5"/>
      <c r="C120" s="5"/>
      <c r="D120" s="5"/>
      <c r="E120" s="5"/>
    </row>
    <row r="121" customFormat="false" ht="25.5" hidden="false" customHeight="true" outlineLevel="0" collapsed="false">
      <c r="A121" s="11" t="s">
        <v>52</v>
      </c>
      <c r="B121" s="11" t="s">
        <v>1322</v>
      </c>
      <c r="C121" s="11" t="s">
        <v>143</v>
      </c>
      <c r="D121" s="11" t="s">
        <v>86</v>
      </c>
      <c r="E121" s="11" t="s">
        <v>54</v>
      </c>
    </row>
    <row r="122" customFormat="false" ht="45.75" hidden="false" customHeight="true" outlineLevel="0" collapsed="false">
      <c r="A122" s="38" t="s">
        <v>1323</v>
      </c>
      <c r="B122" s="38" t="s">
        <v>1324</v>
      </c>
      <c r="C122" s="38" t="s">
        <v>1325</v>
      </c>
      <c r="D122" s="38" t="s">
        <v>1326</v>
      </c>
      <c r="E122" s="38" t="s">
        <v>56</v>
      </c>
    </row>
    <row r="123" customFormat="false" ht="15" hidden="false" customHeight="true" outlineLevel="0" collapsed="false">
      <c r="A123" s="15" t="s">
        <v>85</v>
      </c>
    </row>
    <row r="125" customFormat="false" ht="19.5" hidden="false" customHeight="true" outlineLevel="0" collapsed="false">
      <c r="A125" s="5" t="s">
        <v>1245</v>
      </c>
      <c r="B125" s="5"/>
      <c r="C125" s="5"/>
      <c r="D125" s="5"/>
    </row>
    <row r="126" customFormat="false" ht="25.5" hidden="false" customHeight="true" outlineLevel="0" collapsed="false">
      <c r="A126" s="11" t="s">
        <v>52</v>
      </c>
      <c r="B126" s="11" t="s">
        <v>1327</v>
      </c>
      <c r="C126" s="11" t="s">
        <v>1328</v>
      </c>
      <c r="D126" s="11" t="s">
        <v>54</v>
      </c>
    </row>
    <row r="127" customFormat="false" ht="15" hidden="false" customHeight="true" outlineLevel="0" collapsed="false">
      <c r="A127" s="38" t="s">
        <v>145</v>
      </c>
      <c r="B127" s="41" t="str">
        <f aca="false">IFERROR(INDEX(tbl_Domaines[Libelle],MATCH($A127,tbl_Domaines[Code],0)),"")</f>
        <v>Education</v>
      </c>
      <c r="C127" s="41" t="str">
        <f aca="false">IFERROR(INDEX(tbl_Domaines[Domaine prioritaire BK],MATCH($A127,tbl_Domaines[Code],0)),"")</f>
        <v>Oui</v>
      </c>
      <c r="D127" s="41" t="str">
        <f aca="false">IFERROR(INDEX(tbl_Domaines[Statut],MATCH($A127,tbl_Domaines[Code],0)),"")</f>
        <v>Actif</v>
      </c>
    </row>
    <row r="128" customFormat="false" ht="23.25" hidden="false" customHeight="true" outlineLevel="0" collapsed="false">
      <c r="A128" s="38" t="s">
        <v>149</v>
      </c>
      <c r="B128" s="41" t="str">
        <f aca="false">IFERROR(INDEX(tbl_Domaines[Libelle],MATCH($A128,tbl_Domaines[Code],0)),"")</f>
        <v>Formation professionnelle</v>
      </c>
      <c r="C128" s="41" t="str">
        <f aca="false">IFERROR(INDEX(tbl_Domaines[Domaine prioritaire BK],MATCH($A128,tbl_Domaines[Code],0)),"")</f>
        <v>Oui</v>
      </c>
      <c r="D128" s="41" t="str">
        <f aca="false">IFERROR(INDEX(tbl_Domaines[Statut],MATCH($A128,tbl_Domaines[Code],0)),"")</f>
        <v>Actif</v>
      </c>
    </row>
    <row r="129" customFormat="false" ht="15" hidden="false" customHeight="true" outlineLevel="0" collapsed="false">
      <c r="A129" s="38" t="s">
        <v>152</v>
      </c>
      <c r="B129" s="41" t="str">
        <f aca="false">IFERROR(INDEX(tbl_Domaines[Libelle],MATCH($A129,tbl_Domaines[Code],0)),"")</f>
        <v>Entrepreneuriat</v>
      </c>
      <c r="C129" s="41" t="str">
        <f aca="false">IFERROR(INDEX(tbl_Domaines[Domaine prioritaire BK],MATCH($A129,tbl_Domaines[Code],0)),"")</f>
        <v>Oui</v>
      </c>
      <c r="D129" s="41" t="str">
        <f aca="false">IFERROR(INDEX(tbl_Domaines[Statut],MATCH($A129,tbl_Domaines[Code],0)),"")</f>
        <v>Actif</v>
      </c>
    </row>
    <row r="130" customFormat="false" ht="15" hidden="false" customHeight="true" outlineLevel="0" collapsed="false">
      <c r="A130" s="38" t="s">
        <v>155</v>
      </c>
      <c r="B130" s="41" t="str">
        <f aca="false">IFERROR(INDEX(tbl_Domaines[Libelle],MATCH($A130,tbl_Domaines[Code],0)),"")</f>
        <v>Culture</v>
      </c>
      <c r="C130" s="41" t="str">
        <f aca="false">IFERROR(INDEX(tbl_Domaines[Domaine prioritaire BK],MATCH($A130,tbl_Domaines[Code],0)),"")</f>
        <v>Oui</v>
      </c>
      <c r="D130" s="41" t="str">
        <f aca="false">IFERROR(INDEX(tbl_Domaines[Statut],MATCH($A130,tbl_Domaines[Code],0)),"")</f>
        <v>Actif</v>
      </c>
    </row>
    <row r="131" customFormat="false" ht="15" hidden="false" customHeight="true" outlineLevel="0" collapsed="false">
      <c r="A131" s="38" t="s">
        <v>158</v>
      </c>
      <c r="B131" s="41" t="str">
        <f aca="false">IFERROR(INDEX(tbl_Domaines[Libelle],MATCH($A131,tbl_Domaines[Code],0)),"")</f>
        <v>Environnement</v>
      </c>
      <c r="C131" s="41" t="str">
        <f aca="false">IFERROR(INDEX(tbl_Domaines[Domaine prioritaire BK],MATCH($A131,tbl_Domaines[Code],0)),"")</f>
        <v>Oui</v>
      </c>
      <c r="D131" s="41" t="str">
        <f aca="false">IFERROR(INDEX(tbl_Domaines[Statut],MATCH($A131,tbl_Domaines[Code],0)),"")</f>
        <v>Actif</v>
      </c>
    </row>
    <row r="132" customFormat="false" ht="15" hidden="false" customHeight="true" outlineLevel="0" collapsed="false">
      <c r="A132" s="38" t="s">
        <v>161</v>
      </c>
      <c r="B132" s="41" t="str">
        <f aca="false">IFERROR(INDEX(tbl_Domaines[Libelle],MATCH($A132,tbl_Domaines[Code],0)),"")</f>
        <v>Sante</v>
      </c>
      <c r="C132" s="41" t="str">
        <f aca="false">IFERROR(INDEX(tbl_Domaines[Domaine prioritaire BK],MATCH($A132,tbl_Domaines[Code],0)),"")</f>
        <v>Oui</v>
      </c>
      <c r="D132" s="41" t="str">
        <f aca="false">IFERROR(INDEX(tbl_Domaines[Statut],MATCH($A132,tbl_Domaines[Code],0)),"")</f>
        <v>Actif</v>
      </c>
    </row>
    <row r="133" customFormat="false" ht="15" hidden="false" customHeight="true" outlineLevel="0" collapsed="false">
      <c r="A133" s="38" t="s">
        <v>164</v>
      </c>
      <c r="B133" s="41" t="str">
        <f aca="false">IFERROR(INDEX(tbl_Domaines[Libelle],MATCH($A133,tbl_Domaines[Code],0)),"")</f>
        <v>Genre</v>
      </c>
      <c r="C133" s="41" t="str">
        <f aca="false">IFERROR(INDEX(tbl_Domaines[Domaine prioritaire BK],MATCH($A133,tbl_Domaines[Code],0)),"")</f>
        <v>Oui</v>
      </c>
      <c r="D133" s="41" t="str">
        <f aca="false">IFERROR(INDEX(tbl_Domaines[Statut],MATCH($A133,tbl_Domaines[Code],0)),"")</f>
        <v>Actif</v>
      </c>
    </row>
    <row r="134" customFormat="false" ht="15" hidden="false" customHeight="true" outlineLevel="0" collapsed="false">
      <c r="A134" s="38" t="s">
        <v>167</v>
      </c>
      <c r="B134" s="41" t="str">
        <f aca="false">IFERROR(INDEX(tbl_Domaines[Libelle],MATCH($A134,tbl_Domaines[Code],0)),"")</f>
        <v>Tourisme</v>
      </c>
      <c r="C134" s="41" t="str">
        <f aca="false">IFERROR(INDEX(tbl_Domaines[Domaine prioritaire BK],MATCH($A134,tbl_Domaines[Code],0)),"")</f>
        <v>Oui</v>
      </c>
      <c r="D134" s="41" t="str">
        <f aca="false">IFERROR(INDEX(tbl_Domaines[Statut],MATCH($A134,tbl_Domaines[Code],0)),"")</f>
        <v>Actif</v>
      </c>
    </row>
    <row r="135" customFormat="false" ht="15" hidden="false" customHeight="true" outlineLevel="0" collapsed="false">
      <c r="A135" s="38" t="s">
        <v>170</v>
      </c>
      <c r="B135" s="41" t="str">
        <f aca="false">IFERROR(INDEX(tbl_Domaines[Libelle],MATCH($A135,tbl_Domaines[Code],0)),"")</f>
        <v>Sport</v>
      </c>
      <c r="C135" s="41" t="str">
        <f aca="false">IFERROR(INDEX(tbl_Domaines[Domaine prioritaire BK],MATCH($A135,tbl_Domaines[Code],0)),"")</f>
        <v>Oui</v>
      </c>
      <c r="D135" s="41" t="str">
        <f aca="false">IFERROR(INDEX(tbl_Domaines[Statut],MATCH($A135,tbl_Domaines[Code],0)),"")</f>
        <v>Actif</v>
      </c>
    </row>
    <row r="136" customFormat="false" ht="15" hidden="false" customHeight="true" outlineLevel="0" collapsed="false">
      <c r="A136" s="39"/>
      <c r="B136" s="41" t="str">
        <f aca="false">IFERROR(INDEX(tbl_Domaines[Libelle],MATCH($A136,tbl_Domaines[Code],0)),"")</f>
        <v/>
      </c>
      <c r="C136" s="41" t="str">
        <f aca="false">IFERROR(INDEX(tbl_Domaines[Domaine prioritaire BK],MATCH($A136,tbl_Domaines[Code],0)),"")</f>
        <v/>
      </c>
      <c r="D136" s="41" t="str">
        <f aca="false">IFERROR(INDEX(tbl_Domaines[Statut],MATCH($A136,tbl_Domaines[Code],0)),"")</f>
        <v/>
      </c>
    </row>
    <row r="137" customFormat="false" ht="15" hidden="false" customHeight="true" outlineLevel="0" collapsed="false">
      <c r="A137" s="39"/>
      <c r="B137" s="41" t="str">
        <f aca="false">IFERROR(INDEX(tbl_Domaines[Libelle],MATCH($A137,tbl_Domaines[Code],0)),"")</f>
        <v/>
      </c>
      <c r="C137" s="41" t="str">
        <f aca="false">IFERROR(INDEX(tbl_Domaines[Domaine prioritaire BK],MATCH($A137,tbl_Domaines[Code],0)),"")</f>
        <v/>
      </c>
      <c r="D137" s="41" t="str">
        <f aca="false">IFERROR(INDEX(tbl_Domaines[Statut],MATCH($A137,tbl_Domaines[Code],0)),"")</f>
        <v/>
      </c>
    </row>
    <row r="138" customFormat="false" ht="15" hidden="false" customHeight="true" outlineLevel="0" collapsed="false">
      <c r="A138" s="39"/>
      <c r="B138" s="41" t="str">
        <f aca="false">IFERROR(INDEX(tbl_Domaines[Libelle],MATCH($A138,tbl_Domaines[Code],0)),"")</f>
        <v/>
      </c>
      <c r="C138" s="41" t="str">
        <f aca="false">IFERROR(INDEX(tbl_Domaines[Domaine prioritaire BK],MATCH($A138,tbl_Domaines[Code],0)),"")</f>
        <v/>
      </c>
      <c r="D138" s="41" t="str">
        <f aca="false">IFERROR(INDEX(tbl_Domaines[Statut],MATCH($A138,tbl_Domaines[Code],0)),"")</f>
        <v/>
      </c>
    </row>
    <row r="139" customFormat="false" ht="15" hidden="false" customHeight="true" outlineLevel="0" collapsed="false">
      <c r="A139" s="15" t="s">
        <v>85</v>
      </c>
    </row>
    <row r="141" customFormat="false" ht="19.5" hidden="false" customHeight="true" outlineLevel="0" collapsed="false">
      <c r="A141" s="5" t="s">
        <v>1246</v>
      </c>
      <c r="B141" s="5"/>
      <c r="C141" s="5"/>
      <c r="D141" s="5"/>
      <c r="E141" s="5"/>
      <c r="F141" s="5"/>
      <c r="G141" s="5"/>
    </row>
    <row r="142" customFormat="false" ht="25.5" hidden="false" customHeight="true" outlineLevel="0" collapsed="false">
      <c r="A142" s="11" t="s">
        <v>1329</v>
      </c>
      <c r="B142" s="11" t="s">
        <v>874</v>
      </c>
      <c r="C142" s="11" t="s">
        <v>876</v>
      </c>
      <c r="D142" s="11" t="s">
        <v>878</v>
      </c>
      <c r="E142" s="11" t="s">
        <v>880</v>
      </c>
      <c r="F142" s="11" t="s">
        <v>1330</v>
      </c>
      <c r="G142" s="11" t="s">
        <v>1331</v>
      </c>
    </row>
    <row r="143" customFormat="false" ht="23.25" hidden="false" customHeight="true" outlineLevel="0" collapsed="false">
      <c r="A143" s="38" t="s">
        <v>1332</v>
      </c>
      <c r="B143" s="41" t="str">
        <f aca="false">IFERROR(INDEX(#REF!,MATCH($A143,#REF!,0)),"")</f>
        <v/>
      </c>
      <c r="C143" s="41" t="str">
        <f aca="false">IFERROR(INDEX(#REF!,MATCH($A143,#REF!,0)),"")</f>
        <v/>
      </c>
      <c r="D143" s="41" t="str">
        <f aca="false">IFERROR(INDEX(#REF!,MATCH($A143,#REF!,0)),"")</f>
        <v/>
      </c>
      <c r="E143" s="41" t="str">
        <f aca="false">IFERROR(INDEX(#REF!,MATCH($A143,#REF!,0)),"")</f>
        <v/>
      </c>
      <c r="F143" s="38" t="s">
        <v>56</v>
      </c>
      <c r="G143" s="38" t="n">
        <v>2026</v>
      </c>
    </row>
    <row r="144" customFormat="false" ht="15" hidden="false" customHeight="true" outlineLevel="0" collapsed="false">
      <c r="A144" s="39"/>
      <c r="B144" s="41" t="str">
        <f aca="false">IFERROR(INDEX(#REF!,MATCH($A144,#REF!,0)),"")</f>
        <v/>
      </c>
      <c r="C144" s="41" t="str">
        <f aca="false">IFERROR(INDEX(#REF!,MATCH($A144,#REF!,0)),"")</f>
        <v/>
      </c>
      <c r="D144" s="41" t="str">
        <f aca="false">IFERROR(INDEX(#REF!,MATCH($A144,#REF!,0)),"")</f>
        <v/>
      </c>
      <c r="E144" s="41" t="str">
        <f aca="false">IFERROR(INDEX(#REF!,MATCH($A144,#REF!,0)),"")</f>
        <v/>
      </c>
      <c r="F144" s="39"/>
      <c r="G144" s="39"/>
    </row>
    <row r="145" customFormat="false" ht="15" hidden="false" customHeight="true" outlineLevel="0" collapsed="false">
      <c r="A145" s="39"/>
      <c r="B145" s="41" t="str">
        <f aca="false">IFERROR(INDEX(#REF!,MATCH($A145,#REF!,0)),"")</f>
        <v/>
      </c>
      <c r="C145" s="41" t="str">
        <f aca="false">IFERROR(INDEX(#REF!,MATCH($A145,#REF!,0)),"")</f>
        <v/>
      </c>
      <c r="D145" s="41" t="str">
        <f aca="false">IFERROR(INDEX(#REF!,MATCH($A145,#REF!,0)),"")</f>
        <v/>
      </c>
      <c r="E145" s="41" t="str">
        <f aca="false">IFERROR(INDEX(#REF!,MATCH($A145,#REF!,0)),"")</f>
        <v/>
      </c>
      <c r="F145" s="39"/>
      <c r="G145" s="39"/>
    </row>
    <row r="146" customFormat="false" ht="15" hidden="false" customHeight="true" outlineLevel="0" collapsed="false">
      <c r="A146" s="15" t="s">
        <v>85</v>
      </c>
    </row>
    <row r="148" customFormat="false" ht="19.5" hidden="false" customHeight="true" outlineLevel="0" collapsed="false">
      <c r="A148" s="5" t="s">
        <v>1247</v>
      </c>
      <c r="B148" s="5"/>
      <c r="C148" s="5"/>
      <c r="D148" s="5"/>
      <c r="E148" s="5"/>
    </row>
    <row r="149" customFormat="false" ht="25.5" hidden="false" customHeight="true" outlineLevel="0" collapsed="false">
      <c r="A149" s="11" t="s">
        <v>52</v>
      </c>
      <c r="B149" s="11" t="s">
        <v>1333</v>
      </c>
      <c r="C149" s="11" t="s">
        <v>1334</v>
      </c>
      <c r="D149" s="11" t="s">
        <v>1335</v>
      </c>
      <c r="E149" s="11" t="s">
        <v>54</v>
      </c>
    </row>
    <row r="150" customFormat="false" ht="15" hidden="false" customHeight="true" outlineLevel="0" collapsed="false">
      <c r="A150" s="38" t="s">
        <v>1097</v>
      </c>
      <c r="B150" s="39"/>
      <c r="C150" s="39"/>
      <c r="D150" s="39"/>
      <c r="E150" s="38" t="s">
        <v>56</v>
      </c>
    </row>
    <row r="151" customFormat="false" ht="15" hidden="false" customHeight="true" outlineLevel="0" collapsed="false">
      <c r="A151" s="38" t="s">
        <v>1098</v>
      </c>
      <c r="B151" s="39"/>
      <c r="C151" s="39"/>
      <c r="D151" s="39"/>
      <c r="E151" s="38" t="s">
        <v>56</v>
      </c>
    </row>
    <row r="152" customFormat="false" ht="15" hidden="false" customHeight="true" outlineLevel="0" collapsed="false">
      <c r="A152" s="38" t="s">
        <v>1100</v>
      </c>
      <c r="B152" s="39"/>
      <c r="C152" s="39"/>
      <c r="D152" s="39"/>
      <c r="E152" s="38" t="s">
        <v>56</v>
      </c>
    </row>
    <row r="153" customFormat="false" ht="15" hidden="false" customHeight="true" outlineLevel="0" collapsed="false">
      <c r="A153" s="38" t="s">
        <v>1101</v>
      </c>
      <c r="B153" s="39"/>
      <c r="C153" s="39"/>
      <c r="D153" s="39"/>
      <c r="E153" s="38" t="s">
        <v>56</v>
      </c>
    </row>
    <row r="154" customFormat="false" ht="15" hidden="false" customHeight="true" outlineLevel="0" collapsed="false">
      <c r="A154" s="38" t="s">
        <v>1103</v>
      </c>
      <c r="B154" s="39"/>
      <c r="C154" s="39"/>
      <c r="D154" s="39"/>
      <c r="E154" s="38" t="s">
        <v>56</v>
      </c>
    </row>
    <row r="155" customFormat="false" ht="15" hidden="false" customHeight="true" outlineLevel="0" collapsed="false">
      <c r="A155" s="15" t="s">
        <v>85</v>
      </c>
    </row>
    <row r="157" customFormat="false" ht="19.5" hidden="false" customHeight="true" outlineLevel="0" collapsed="false">
      <c r="A157" s="5" t="s">
        <v>1248</v>
      </c>
      <c r="B157" s="5"/>
      <c r="C157" s="5"/>
      <c r="D157" s="5"/>
      <c r="E157" s="5"/>
      <c r="F157" s="5"/>
      <c r="G157" s="5"/>
      <c r="H157" s="5"/>
    </row>
    <row r="158" customFormat="false" ht="15.75" hidden="false" customHeight="true" outlineLevel="0" collapsed="false">
      <c r="A158" s="42" t="s">
        <v>1336</v>
      </c>
      <c r="B158" s="42"/>
      <c r="C158" s="42"/>
      <c r="D158" s="42"/>
      <c r="E158" s="43" t="n">
        <v>0</v>
      </c>
      <c r="F158" s="44" t="s">
        <v>1337</v>
      </c>
      <c r="G158" s="44"/>
      <c r="H158" s="44"/>
    </row>
    <row r="159" customFormat="false" ht="15.75" hidden="false" customHeight="true" outlineLevel="0" collapsed="false">
      <c r="A159" s="42" t="s">
        <v>1338</v>
      </c>
      <c r="B159" s="42"/>
      <c r="C159" s="42"/>
      <c r="D159" s="42"/>
      <c r="E159" s="43" t="n">
        <v>0</v>
      </c>
      <c r="F159" s="44" t="s">
        <v>1339</v>
      </c>
      <c r="G159" s="44"/>
      <c r="H159" s="44"/>
    </row>
    <row r="160" customFormat="false" ht="15.75" hidden="false" customHeight="true" outlineLevel="0" collapsed="false">
      <c r="A160" s="42" t="s">
        <v>1340</v>
      </c>
      <c r="B160" s="42"/>
      <c r="C160" s="42"/>
      <c r="D160" s="42"/>
      <c r="E160" s="43" t="n">
        <v>0</v>
      </c>
      <c r="F160" s="44" t="s">
        <v>1339</v>
      </c>
      <c r="G160" s="44"/>
      <c r="H160" s="44"/>
    </row>
    <row r="161" customFormat="false" ht="15.75" hidden="false" customHeight="true" outlineLevel="0" collapsed="false">
      <c r="A161" s="42" t="s">
        <v>1341</v>
      </c>
      <c r="B161" s="42"/>
      <c r="C161" s="42"/>
      <c r="D161" s="42"/>
      <c r="E161" s="43" t="n">
        <v>0</v>
      </c>
      <c r="F161" s="44" t="s">
        <v>1339</v>
      </c>
      <c r="G161" s="44"/>
      <c r="H161" s="44"/>
    </row>
    <row r="162" customFormat="false" ht="15.75" hidden="false" customHeight="true" outlineLevel="0" collapsed="false">
      <c r="A162" s="42" t="s">
        <v>1342</v>
      </c>
      <c r="B162" s="42"/>
      <c r="C162" s="42"/>
      <c r="D162" s="42"/>
      <c r="E162" s="43" t="n">
        <v>0</v>
      </c>
      <c r="F162" s="44" t="s">
        <v>1339</v>
      </c>
      <c r="G162" s="44"/>
      <c r="H162" s="44"/>
    </row>
    <row r="163" customFormat="false" ht="15.75" hidden="false" customHeight="true" outlineLevel="0" collapsed="false">
      <c r="A163" s="42" t="s">
        <v>562</v>
      </c>
      <c r="B163" s="42"/>
      <c r="C163" s="42"/>
      <c r="D163" s="42"/>
      <c r="E163" s="43" t="n">
        <v>0</v>
      </c>
      <c r="F163" s="44" t="s">
        <v>1339</v>
      </c>
      <c r="G163" s="44"/>
      <c r="H163" s="44"/>
    </row>
    <row r="164" customFormat="false" ht="15.75" hidden="false" customHeight="true" outlineLevel="0" collapsed="false">
      <c r="A164" s="42" t="s">
        <v>1343</v>
      </c>
      <c r="B164" s="42"/>
      <c r="C164" s="42"/>
      <c r="D164" s="42"/>
      <c r="E164" s="43" t="n">
        <v>0</v>
      </c>
      <c r="F164" s="44" t="s">
        <v>1339</v>
      </c>
      <c r="G164" s="44"/>
      <c r="H164" s="44"/>
    </row>
    <row r="165" customFormat="false" ht="15.75" hidden="false" customHeight="true" outlineLevel="0" collapsed="false">
      <c r="A165" s="42" t="s">
        <v>1344</v>
      </c>
      <c r="B165" s="42"/>
      <c r="C165" s="42"/>
      <c r="D165" s="42"/>
      <c r="E165" s="43" t="n">
        <v>0</v>
      </c>
      <c r="F165" s="44" t="s">
        <v>1339</v>
      </c>
      <c r="G165" s="44"/>
      <c r="H165" s="44"/>
    </row>
    <row r="166" customFormat="false" ht="15" hidden="false" customHeight="true" outlineLevel="0" collapsed="false">
      <c r="A166" s="15" t="s">
        <v>85</v>
      </c>
    </row>
    <row r="168" customFormat="false" ht="19.5" hidden="false" customHeight="true" outlineLevel="0" collapsed="false">
      <c r="A168" s="5" t="s">
        <v>1250</v>
      </c>
      <c r="B168" s="5"/>
      <c r="C168" s="5"/>
      <c r="D168" s="5"/>
      <c r="E168" s="5"/>
      <c r="F168" s="5"/>
    </row>
    <row r="169" customFormat="false" ht="25.5" hidden="false" customHeight="true" outlineLevel="0" collapsed="false">
      <c r="A169" s="11" t="s">
        <v>1345</v>
      </c>
      <c r="B169" s="11" t="s">
        <v>1346</v>
      </c>
      <c r="C169" s="11" t="s">
        <v>1334</v>
      </c>
      <c r="D169" s="11" t="s">
        <v>1327</v>
      </c>
      <c r="E169" s="11" t="s">
        <v>1347</v>
      </c>
      <c r="F169" s="11" t="s">
        <v>54</v>
      </c>
    </row>
    <row r="170" customFormat="false" ht="15" hidden="false" customHeight="true" outlineLevel="0" collapsed="false">
      <c r="A170" s="38" t="s">
        <v>1348</v>
      </c>
      <c r="B170" s="39"/>
      <c r="C170" s="39"/>
      <c r="D170" s="39"/>
      <c r="E170" s="39"/>
      <c r="F170" s="38" t="s">
        <v>56</v>
      </c>
    </row>
    <row r="171" customFormat="false" ht="15" hidden="false" customHeight="true" outlineLevel="0" collapsed="false">
      <c r="A171" s="38" t="s">
        <v>1349</v>
      </c>
      <c r="B171" s="39"/>
      <c r="C171" s="39"/>
      <c r="D171" s="39"/>
      <c r="E171" s="39"/>
      <c r="F171" s="38" t="s">
        <v>56</v>
      </c>
    </row>
    <row r="172" customFormat="false" ht="15" hidden="false" customHeight="true" outlineLevel="0" collapsed="false">
      <c r="A172" s="38" t="s">
        <v>1350</v>
      </c>
      <c r="B172" s="39"/>
      <c r="C172" s="39"/>
      <c r="D172" s="39"/>
      <c r="E172" s="39"/>
      <c r="F172" s="38" t="s">
        <v>56</v>
      </c>
    </row>
    <row r="173" customFormat="false" ht="15" hidden="false" customHeight="true" outlineLevel="0" collapsed="false">
      <c r="A173" s="38" t="s">
        <v>1351</v>
      </c>
      <c r="B173" s="39"/>
      <c r="C173" s="39"/>
      <c r="D173" s="39"/>
      <c r="E173" s="39"/>
      <c r="F173" s="38" t="s">
        <v>56</v>
      </c>
    </row>
    <row r="174" customFormat="false" ht="15" hidden="false" customHeight="true" outlineLevel="0" collapsed="false">
      <c r="A174" s="38" t="s">
        <v>1352</v>
      </c>
      <c r="B174" s="39"/>
      <c r="C174" s="39"/>
      <c r="D174" s="39"/>
      <c r="E174" s="39"/>
      <c r="F174" s="38" t="s">
        <v>56</v>
      </c>
    </row>
    <row r="175" customFormat="false" ht="15" hidden="false" customHeight="true" outlineLevel="0" collapsed="false">
      <c r="A175" s="15" t="s">
        <v>85</v>
      </c>
    </row>
    <row r="177" customFormat="false" ht="19.5" hidden="false" customHeight="true" outlineLevel="0" collapsed="false">
      <c r="A177" s="5" t="s">
        <v>29</v>
      </c>
      <c r="B177" s="5"/>
      <c r="C177" s="5"/>
      <c r="D177" s="5"/>
    </row>
    <row r="178" customFormat="false" ht="25.5" hidden="false" customHeight="true" outlineLevel="0" collapsed="false">
      <c r="A178" s="11" t="s">
        <v>1353</v>
      </c>
      <c r="B178" s="11" t="s">
        <v>1354</v>
      </c>
      <c r="C178" s="11" t="s">
        <v>143</v>
      </c>
      <c r="D178" s="11" t="s">
        <v>54</v>
      </c>
    </row>
    <row r="179" customFormat="false" ht="15" hidden="false" customHeight="true" outlineLevel="0" collapsed="false">
      <c r="A179" s="39"/>
      <c r="B179" s="39"/>
      <c r="C179" s="39"/>
      <c r="D179" s="38" t="s">
        <v>56</v>
      </c>
    </row>
    <row r="180" customFormat="false" ht="15" hidden="false" customHeight="true" outlineLevel="0" collapsed="false">
      <c r="A180" s="39"/>
      <c r="B180" s="39"/>
      <c r="C180" s="39"/>
      <c r="D180" s="38" t="s">
        <v>56</v>
      </c>
    </row>
    <row r="181" customFormat="false" ht="15" hidden="false" customHeight="true" outlineLevel="0" collapsed="false">
      <c r="A181" s="39"/>
      <c r="B181" s="39"/>
      <c r="C181" s="39"/>
      <c r="D181" s="38" t="s">
        <v>56</v>
      </c>
    </row>
    <row r="182" customFormat="false" ht="15" hidden="false" customHeight="true" outlineLevel="0" collapsed="false">
      <c r="A182" s="39"/>
      <c r="B182" s="39"/>
      <c r="C182" s="39"/>
      <c r="D182" s="38" t="s">
        <v>56</v>
      </c>
    </row>
    <row r="183" customFormat="false" ht="15" hidden="false" customHeight="true" outlineLevel="0" collapsed="false">
      <c r="A183" s="39"/>
      <c r="B183" s="39"/>
      <c r="C183" s="39"/>
      <c r="D183" s="38" t="s">
        <v>56</v>
      </c>
    </row>
    <row r="184" customFormat="false" ht="15" hidden="false" customHeight="true" outlineLevel="0" collapsed="false">
      <c r="A184" s="15" t="s">
        <v>85</v>
      </c>
    </row>
    <row r="186" customFormat="false" ht="19.5" hidden="false" customHeight="true" outlineLevel="0" collapsed="false">
      <c r="A186" s="5" t="s">
        <v>1251</v>
      </c>
      <c r="B186" s="5"/>
      <c r="C186" s="5"/>
      <c r="D186" s="5"/>
      <c r="E186" s="5"/>
      <c r="F186" s="5"/>
      <c r="G186" s="5"/>
    </row>
    <row r="187" customFormat="false" ht="25.5" hidden="false" customHeight="true" outlineLevel="0" collapsed="false">
      <c r="A187" s="11" t="s">
        <v>52</v>
      </c>
      <c r="B187" s="11" t="s">
        <v>1355</v>
      </c>
      <c r="C187" s="11" t="s">
        <v>1356</v>
      </c>
      <c r="D187" s="11" t="s">
        <v>1357</v>
      </c>
      <c r="E187" s="11" t="s">
        <v>1358</v>
      </c>
      <c r="F187" s="11" t="s">
        <v>54</v>
      </c>
      <c r="G187" s="11" t="s">
        <v>1359</v>
      </c>
    </row>
    <row r="188" customFormat="false" ht="15" hidden="false" customHeight="true" outlineLevel="0" collapsed="false">
      <c r="A188" s="38" t="s">
        <v>1360</v>
      </c>
      <c r="B188" s="38" t="s">
        <v>808</v>
      </c>
      <c r="C188" s="39"/>
      <c r="D188" s="39"/>
      <c r="E188" s="39"/>
      <c r="F188" s="39"/>
      <c r="G188" s="39"/>
    </row>
    <row r="189" customFormat="false" ht="15" hidden="false" customHeight="true" outlineLevel="0" collapsed="false">
      <c r="A189" s="38" t="s">
        <v>1361</v>
      </c>
      <c r="B189" s="38" t="s">
        <v>810</v>
      </c>
      <c r="C189" s="39"/>
      <c r="D189" s="39"/>
      <c r="E189" s="39"/>
      <c r="F189" s="39"/>
      <c r="G189" s="39"/>
    </row>
    <row r="190" customFormat="false" ht="15" hidden="false" customHeight="true" outlineLevel="0" collapsed="false">
      <c r="A190" s="38" t="s">
        <v>1362</v>
      </c>
      <c r="B190" s="38" t="s">
        <v>812</v>
      </c>
      <c r="C190" s="39"/>
      <c r="D190" s="39"/>
      <c r="E190" s="39"/>
      <c r="F190" s="39"/>
      <c r="G190" s="39"/>
    </row>
    <row r="191" customFormat="false" ht="15" hidden="false" customHeight="true" outlineLevel="0" collapsed="false">
      <c r="A191" s="38" t="s">
        <v>1363</v>
      </c>
      <c r="B191" s="38" t="s">
        <v>1364</v>
      </c>
      <c r="C191" s="39"/>
      <c r="D191" s="39"/>
      <c r="E191" s="39"/>
      <c r="F191" s="39"/>
      <c r="G191" s="39"/>
    </row>
    <row r="192" customFormat="false" ht="15" hidden="false" customHeight="true" outlineLevel="0" collapsed="false">
      <c r="A192" s="15" t="s">
        <v>85</v>
      </c>
    </row>
    <row r="194" customFormat="false" ht="19.5" hidden="false" customHeight="true" outlineLevel="0" collapsed="false">
      <c r="A194" s="5" t="s">
        <v>1252</v>
      </c>
      <c r="B194" s="5"/>
      <c r="C194" s="5"/>
      <c r="D194" s="5"/>
      <c r="E194" s="5"/>
      <c r="F194" s="5"/>
      <c r="G194" s="5"/>
      <c r="H194" s="5"/>
    </row>
    <row r="195" customFormat="false" ht="25.5" hidden="false" customHeight="true" outlineLevel="0" collapsed="false">
      <c r="A195" s="11" t="s">
        <v>506</v>
      </c>
      <c r="B195" s="11" t="s">
        <v>1365</v>
      </c>
      <c r="C195" s="11" t="s">
        <v>1366</v>
      </c>
      <c r="D195" s="11" t="s">
        <v>1367</v>
      </c>
      <c r="E195" s="11" t="s">
        <v>1368</v>
      </c>
      <c r="F195" s="11" t="s">
        <v>1369</v>
      </c>
      <c r="G195" s="11" t="s">
        <v>1370</v>
      </c>
      <c r="H195" s="11" t="s">
        <v>54</v>
      </c>
    </row>
    <row r="196" customFormat="false" ht="15" hidden="false" customHeight="true" outlineLevel="0" collapsed="false">
      <c r="A196" s="39"/>
      <c r="B196" s="39"/>
      <c r="C196" s="39"/>
      <c r="D196" s="39"/>
      <c r="E196" s="39"/>
      <c r="F196" s="39"/>
      <c r="G196" s="39"/>
      <c r="H196" s="38" t="s">
        <v>56</v>
      </c>
    </row>
    <row r="197" customFormat="false" ht="15" hidden="false" customHeight="true" outlineLevel="0" collapsed="false">
      <c r="A197" s="39"/>
      <c r="B197" s="39"/>
      <c r="C197" s="39"/>
      <c r="D197" s="39"/>
      <c r="E197" s="39"/>
      <c r="F197" s="39"/>
      <c r="G197" s="39"/>
      <c r="H197" s="38" t="s">
        <v>56</v>
      </c>
    </row>
    <row r="198" customFormat="false" ht="15" hidden="false" customHeight="true" outlineLevel="0" collapsed="false">
      <c r="A198" s="39"/>
      <c r="B198" s="39"/>
      <c r="C198" s="39"/>
      <c r="D198" s="39"/>
      <c r="E198" s="39"/>
      <c r="F198" s="39"/>
      <c r="G198" s="39"/>
      <c r="H198" s="38" t="s">
        <v>56</v>
      </c>
    </row>
    <row r="199" customFormat="false" ht="15" hidden="false" customHeight="true" outlineLevel="0" collapsed="false">
      <c r="A199" s="15" t="s">
        <v>85</v>
      </c>
    </row>
    <row r="201" customFormat="false" ht="19.5" hidden="false" customHeight="true" outlineLevel="0" collapsed="false">
      <c r="A201" s="5" t="s">
        <v>1253</v>
      </c>
      <c r="B201" s="5"/>
      <c r="C201" s="5"/>
    </row>
    <row r="202" customFormat="false" ht="25.5" hidden="false" customHeight="true" outlineLevel="0" collapsed="false">
      <c r="A202" s="11" t="s">
        <v>1371</v>
      </c>
      <c r="B202" s="11" t="s">
        <v>1372</v>
      </c>
      <c r="C202" s="11" t="s">
        <v>1373</v>
      </c>
    </row>
    <row r="203" customFormat="false" ht="15" hidden="false" customHeight="true" outlineLevel="0" collapsed="false">
      <c r="A203" s="38" t="s">
        <v>1374</v>
      </c>
      <c r="B203" s="39"/>
      <c r="C203" s="38" t="s">
        <v>56</v>
      </c>
    </row>
    <row r="204" customFormat="false" ht="15" hidden="false" customHeight="true" outlineLevel="0" collapsed="false">
      <c r="A204" s="38" t="s">
        <v>1375</v>
      </c>
      <c r="B204" s="39"/>
      <c r="C204" s="38" t="s">
        <v>56</v>
      </c>
    </row>
    <row r="205" customFormat="false" ht="15" hidden="false" customHeight="true" outlineLevel="0" collapsed="false">
      <c r="A205" s="38" t="s">
        <v>1295</v>
      </c>
      <c r="B205" s="39"/>
      <c r="C205" s="38" t="s">
        <v>56</v>
      </c>
    </row>
    <row r="206" customFormat="false" ht="23.25" hidden="false" customHeight="true" outlineLevel="0" collapsed="false">
      <c r="A206" s="38" t="s">
        <v>1376</v>
      </c>
      <c r="B206" s="39"/>
      <c r="C206" s="38" t="s">
        <v>56</v>
      </c>
    </row>
    <row r="207" customFormat="false" ht="15" hidden="false" customHeight="true" outlineLevel="0" collapsed="false">
      <c r="A207" s="38" t="s">
        <v>1377</v>
      </c>
      <c r="B207" s="39"/>
      <c r="C207" s="38" t="s">
        <v>56</v>
      </c>
    </row>
    <row r="208" customFormat="false" ht="15" hidden="false" customHeight="true" outlineLevel="0" collapsed="false">
      <c r="A208" s="38" t="s">
        <v>1378</v>
      </c>
      <c r="B208" s="39"/>
      <c r="C208" s="38" t="s">
        <v>56</v>
      </c>
    </row>
    <row r="209" customFormat="false" ht="15" hidden="false" customHeight="true" outlineLevel="0" collapsed="false">
      <c r="A209" s="38" t="s">
        <v>1379</v>
      </c>
      <c r="B209" s="39"/>
      <c r="C209" s="38" t="s">
        <v>56</v>
      </c>
    </row>
    <row r="210" customFormat="false" ht="15" hidden="false" customHeight="true" outlineLevel="0" collapsed="false">
      <c r="A210" s="38" t="s">
        <v>1380</v>
      </c>
      <c r="B210" s="39"/>
      <c r="C210" s="38" t="s">
        <v>56</v>
      </c>
    </row>
    <row r="211" customFormat="false" ht="23.25" hidden="false" customHeight="true" outlineLevel="0" collapsed="false">
      <c r="A211" s="38" t="s">
        <v>1381</v>
      </c>
      <c r="B211" s="39"/>
      <c r="C211" s="38" t="s">
        <v>56</v>
      </c>
    </row>
    <row r="212" customFormat="false" ht="15" hidden="false" customHeight="true" outlineLevel="0" collapsed="false">
      <c r="A212" s="15" t="s">
        <v>85</v>
      </c>
    </row>
    <row r="214" customFormat="false" ht="19.5" hidden="false" customHeight="true" outlineLevel="0" collapsed="false">
      <c r="A214" s="5" t="s">
        <v>1254</v>
      </c>
      <c r="B214" s="5"/>
      <c r="C214" s="5"/>
      <c r="D214" s="5"/>
      <c r="E214" s="5"/>
      <c r="F214" s="5"/>
      <c r="G214" s="5"/>
      <c r="H214" s="5"/>
    </row>
    <row r="215" customFormat="false" ht="18" hidden="false" customHeight="true" outlineLevel="0" collapsed="false">
      <c r="A215" s="35" t="s">
        <v>1382</v>
      </c>
      <c r="B215" s="35"/>
      <c r="C215" s="36"/>
      <c r="D215" s="36"/>
      <c r="E215" s="36"/>
      <c r="F215" s="36"/>
      <c r="G215" s="36"/>
      <c r="H215" s="36"/>
    </row>
    <row r="216" customFormat="false" ht="18" hidden="false" customHeight="true" outlineLevel="0" collapsed="false">
      <c r="A216" s="35" t="s">
        <v>1383</v>
      </c>
      <c r="B216" s="35"/>
      <c r="C216" s="36"/>
      <c r="D216" s="36"/>
      <c r="E216" s="36"/>
      <c r="F216" s="36"/>
      <c r="G216" s="36"/>
      <c r="H216" s="36"/>
    </row>
    <row r="217" customFormat="false" ht="18" hidden="false" customHeight="true" outlineLevel="0" collapsed="false">
      <c r="A217" s="35" t="s">
        <v>1384</v>
      </c>
      <c r="B217" s="35"/>
      <c r="C217" s="36"/>
      <c r="D217" s="36"/>
      <c r="E217" s="36"/>
      <c r="F217" s="36"/>
      <c r="G217" s="36"/>
      <c r="H217" s="36"/>
    </row>
    <row r="218" customFormat="false" ht="18" hidden="false" customHeight="true" outlineLevel="0" collapsed="false">
      <c r="A218" s="35" t="s">
        <v>1385</v>
      </c>
      <c r="B218" s="35"/>
      <c r="C218" s="36" t="s">
        <v>1276</v>
      </c>
      <c r="D218" s="36"/>
      <c r="E218" s="36"/>
      <c r="F218" s="36"/>
      <c r="G218" s="36"/>
      <c r="H218" s="36"/>
    </row>
    <row r="219" customFormat="false" ht="18" hidden="false" customHeight="true" outlineLevel="0" collapsed="false">
      <c r="A219" s="35" t="s">
        <v>1386</v>
      </c>
      <c r="B219" s="35"/>
      <c r="C219" s="36"/>
      <c r="D219" s="36"/>
      <c r="E219" s="36"/>
      <c r="F219" s="36"/>
      <c r="G219" s="36"/>
      <c r="H219" s="36"/>
    </row>
    <row r="220" customFormat="false" ht="15" hidden="false" customHeight="true" outlineLevel="0" collapsed="false">
      <c r="A220" s="15" t="s">
        <v>85</v>
      </c>
    </row>
    <row r="222" customFormat="false" ht="19.5" hidden="false" customHeight="true" outlineLevel="0" collapsed="false">
      <c r="A222" s="5" t="s">
        <v>1255</v>
      </c>
      <c r="B222" s="5"/>
      <c r="C222" s="5"/>
      <c r="D222" s="5"/>
      <c r="E222" s="5"/>
      <c r="F222" s="5"/>
      <c r="G222" s="5"/>
      <c r="H222" s="5"/>
    </row>
    <row r="223" customFormat="false" ht="18" hidden="false" customHeight="true" outlineLevel="0" collapsed="false">
      <c r="A223" s="35" t="s">
        <v>1387</v>
      </c>
      <c r="B223" s="35"/>
      <c r="C223" s="36"/>
      <c r="D223" s="36"/>
      <c r="E223" s="36"/>
      <c r="F223" s="36"/>
      <c r="G223" s="36"/>
      <c r="H223" s="36"/>
    </row>
    <row r="224" customFormat="false" ht="18" hidden="false" customHeight="true" outlineLevel="0" collapsed="false">
      <c r="A224" s="35" t="s">
        <v>1388</v>
      </c>
      <c r="B224" s="35"/>
      <c r="C224" s="36"/>
      <c r="D224" s="36"/>
      <c r="E224" s="36"/>
      <c r="F224" s="36"/>
      <c r="G224" s="36"/>
      <c r="H224" s="36"/>
    </row>
    <row r="225" customFormat="false" ht="18" hidden="false" customHeight="true" outlineLevel="0" collapsed="false">
      <c r="A225" s="35" t="s">
        <v>1389</v>
      </c>
      <c r="B225" s="35"/>
      <c r="C225" s="36"/>
      <c r="D225" s="36"/>
      <c r="E225" s="36"/>
      <c r="F225" s="36"/>
      <c r="G225" s="36"/>
      <c r="H225" s="36"/>
    </row>
    <row r="226" customFormat="false" ht="18" hidden="false" customHeight="true" outlineLevel="0" collapsed="false">
      <c r="A226" s="35" t="s">
        <v>1390</v>
      </c>
      <c r="B226" s="35"/>
      <c r="C226" s="36"/>
      <c r="D226" s="36"/>
      <c r="E226" s="36"/>
      <c r="F226" s="36"/>
      <c r="G226" s="36"/>
      <c r="H226" s="36"/>
    </row>
    <row r="227" customFormat="false" ht="18" hidden="false" customHeight="true" outlineLevel="0" collapsed="false">
      <c r="A227" s="35" t="s">
        <v>1391</v>
      </c>
      <c r="B227" s="35"/>
      <c r="C227" s="36"/>
      <c r="D227" s="36"/>
      <c r="E227" s="36"/>
      <c r="F227" s="36"/>
      <c r="G227" s="36"/>
      <c r="H227" s="36"/>
    </row>
    <row r="228" customFormat="false" ht="15" hidden="false" customHeight="true" outlineLevel="0" collapsed="false">
      <c r="A228" s="15" t="s">
        <v>85</v>
      </c>
    </row>
    <row r="230" customFormat="false" ht="19.5" hidden="false" customHeight="true" outlineLevel="0" collapsed="false">
      <c r="A230" s="5" t="s">
        <v>1256</v>
      </c>
      <c r="B230" s="5"/>
      <c r="C230" s="5"/>
      <c r="D230" s="5"/>
      <c r="E230" s="5"/>
      <c r="F230" s="5"/>
    </row>
    <row r="231" customFormat="false" ht="25.5" hidden="false" customHeight="true" outlineLevel="0" collapsed="false">
      <c r="A231" s="11" t="s">
        <v>52</v>
      </c>
      <c r="B231" s="11" t="s">
        <v>1392</v>
      </c>
      <c r="C231" s="11" t="s">
        <v>1335</v>
      </c>
      <c r="D231" s="11" t="s">
        <v>1393</v>
      </c>
      <c r="E231" s="11" t="s">
        <v>1394</v>
      </c>
      <c r="F231" s="11" t="s">
        <v>54</v>
      </c>
    </row>
    <row r="232" customFormat="false" ht="23.25" hidden="false" customHeight="true" outlineLevel="0" collapsed="false">
      <c r="A232" s="38" t="s">
        <v>1395</v>
      </c>
      <c r="B232" s="38" t="s">
        <v>1396</v>
      </c>
      <c r="C232" s="39"/>
      <c r="D232" s="39"/>
      <c r="E232" s="39"/>
      <c r="F232" s="38" t="s">
        <v>56</v>
      </c>
    </row>
    <row r="233" customFormat="false" ht="23.25" hidden="false" customHeight="true" outlineLevel="0" collapsed="false">
      <c r="A233" s="38" t="s">
        <v>1397</v>
      </c>
      <c r="B233" s="38" t="s">
        <v>1398</v>
      </c>
      <c r="C233" s="39"/>
      <c r="D233" s="39"/>
      <c r="E233" s="39"/>
      <c r="F233" s="38" t="s">
        <v>56</v>
      </c>
    </row>
    <row r="234" customFormat="false" ht="15" hidden="false" customHeight="true" outlineLevel="0" collapsed="false">
      <c r="A234" s="38" t="s">
        <v>1399</v>
      </c>
      <c r="B234" s="38" t="s">
        <v>1400</v>
      </c>
      <c r="C234" s="39"/>
      <c r="D234" s="39"/>
      <c r="E234" s="39"/>
      <c r="F234" s="38" t="s">
        <v>56</v>
      </c>
    </row>
    <row r="235" customFormat="false" ht="15" hidden="false" customHeight="true" outlineLevel="0" collapsed="false">
      <c r="A235" s="38" t="s">
        <v>1401</v>
      </c>
      <c r="B235" s="38" t="s">
        <v>1402</v>
      </c>
      <c r="C235" s="39"/>
      <c r="D235" s="39"/>
      <c r="E235" s="39"/>
      <c r="F235" s="38" t="s">
        <v>56</v>
      </c>
    </row>
    <row r="236" customFormat="false" ht="15" hidden="false" customHeight="true" outlineLevel="0" collapsed="false">
      <c r="A236" s="38" t="s">
        <v>1403</v>
      </c>
      <c r="B236" s="38" t="s">
        <v>1404</v>
      </c>
      <c r="C236" s="39"/>
      <c r="D236" s="39"/>
      <c r="E236" s="39"/>
      <c r="F236" s="38" t="s">
        <v>56</v>
      </c>
    </row>
    <row r="237" customFormat="false" ht="15" hidden="false" customHeight="true" outlineLevel="0" collapsed="false">
      <c r="A237" s="38" t="s">
        <v>1405</v>
      </c>
      <c r="B237" s="38" t="s">
        <v>1406</v>
      </c>
      <c r="C237" s="39"/>
      <c r="D237" s="39"/>
      <c r="E237" s="39"/>
      <c r="F237" s="38" t="s">
        <v>56</v>
      </c>
    </row>
    <row r="238" customFormat="false" ht="15" hidden="false" customHeight="true" outlineLevel="0" collapsed="false">
      <c r="A238" s="15" t="s">
        <v>85</v>
      </c>
    </row>
    <row r="240" customFormat="false" ht="19.5" hidden="false" customHeight="true" outlineLevel="0" collapsed="false">
      <c r="A240" s="5" t="s">
        <v>1257</v>
      </c>
      <c r="B240" s="5"/>
      <c r="C240" s="5"/>
      <c r="D240" s="5"/>
      <c r="E240" s="5"/>
      <c r="F240" s="5"/>
    </row>
    <row r="241" customFormat="false" ht="25.5" hidden="false" customHeight="true" outlineLevel="0" collapsed="false">
      <c r="A241" s="11" t="s">
        <v>1407</v>
      </c>
      <c r="B241" s="11" t="s">
        <v>1408</v>
      </c>
      <c r="C241" s="11" t="s">
        <v>1335</v>
      </c>
      <c r="D241" s="11" t="s">
        <v>1409</v>
      </c>
      <c r="E241" s="11" t="s">
        <v>1410</v>
      </c>
      <c r="F241" s="11" t="s">
        <v>54</v>
      </c>
    </row>
    <row r="242" customFormat="false" ht="23.25" hidden="false" customHeight="true" outlineLevel="0" collapsed="false">
      <c r="A242" s="38" t="s">
        <v>1396</v>
      </c>
      <c r="B242" s="39"/>
      <c r="C242" s="39"/>
      <c r="D242" s="39"/>
      <c r="E242" s="39"/>
      <c r="F242" s="38" t="s">
        <v>56</v>
      </c>
    </row>
    <row r="243" customFormat="false" ht="23.25" hidden="false" customHeight="true" outlineLevel="0" collapsed="false">
      <c r="A243" s="38" t="s">
        <v>1398</v>
      </c>
      <c r="B243" s="39"/>
      <c r="C243" s="39"/>
      <c r="D243" s="39"/>
      <c r="E243" s="39"/>
      <c r="F243" s="38" t="s">
        <v>56</v>
      </c>
    </row>
    <row r="244" customFormat="false" ht="15" hidden="false" customHeight="true" outlineLevel="0" collapsed="false">
      <c r="A244" s="38" t="s">
        <v>1400</v>
      </c>
      <c r="B244" s="39"/>
      <c r="C244" s="39"/>
      <c r="D244" s="39"/>
      <c r="E244" s="39"/>
      <c r="F244" s="38" t="s">
        <v>56</v>
      </c>
    </row>
    <row r="245" customFormat="false" ht="15" hidden="false" customHeight="true" outlineLevel="0" collapsed="false">
      <c r="A245" s="38" t="s">
        <v>1411</v>
      </c>
      <c r="B245" s="39"/>
      <c r="C245" s="39"/>
      <c r="D245" s="39"/>
      <c r="E245" s="39"/>
      <c r="F245" s="38" t="s">
        <v>56</v>
      </c>
    </row>
    <row r="246" customFormat="false" ht="15" hidden="false" customHeight="true" outlineLevel="0" collapsed="false">
      <c r="A246" s="15" t="s">
        <v>85</v>
      </c>
    </row>
    <row r="248" customFormat="false" ht="19.5" hidden="false" customHeight="true" outlineLevel="0" collapsed="false">
      <c r="A248" s="5" t="s">
        <v>1258</v>
      </c>
      <c r="B248" s="5"/>
      <c r="C248" s="5"/>
      <c r="D248" s="5"/>
      <c r="E248" s="5"/>
      <c r="F248" s="5"/>
      <c r="G248" s="5"/>
      <c r="H248" s="5"/>
    </row>
    <row r="249" customFormat="false" ht="15.75" hidden="false" customHeight="true" outlineLevel="0" collapsed="false">
      <c r="A249" s="42" t="s">
        <v>1412</v>
      </c>
      <c r="B249" s="42"/>
      <c r="C249" s="42"/>
      <c r="D249" s="42"/>
      <c r="E249" s="43" t="n">
        <v>0</v>
      </c>
      <c r="F249" s="44" t="s">
        <v>1413</v>
      </c>
      <c r="G249" s="44"/>
      <c r="H249" s="44"/>
    </row>
    <row r="250" customFormat="false" ht="15.75" hidden="false" customHeight="true" outlineLevel="0" collapsed="false">
      <c r="A250" s="42" t="s">
        <v>1414</v>
      </c>
      <c r="B250" s="42"/>
      <c r="C250" s="42"/>
      <c r="D250" s="42"/>
      <c r="E250" s="43" t="n">
        <v>0</v>
      </c>
      <c r="F250" s="44" t="s">
        <v>1415</v>
      </c>
      <c r="G250" s="44"/>
      <c r="H250" s="44"/>
    </row>
    <row r="251" customFormat="false" ht="15.75" hidden="false" customHeight="true" outlineLevel="0" collapsed="false">
      <c r="A251" s="42" t="s">
        <v>1416</v>
      </c>
      <c r="B251" s="42"/>
      <c r="C251" s="42"/>
      <c r="D251" s="42"/>
      <c r="E251" s="43" t="n">
        <v>0</v>
      </c>
      <c r="F251" s="44" t="s">
        <v>1417</v>
      </c>
      <c r="G251" s="44"/>
      <c r="H251" s="44"/>
    </row>
    <row r="252" customFormat="false" ht="15.75" hidden="false" customHeight="true" outlineLevel="0" collapsed="false">
      <c r="A252" s="42" t="s">
        <v>1418</v>
      </c>
      <c r="B252" s="42"/>
      <c r="C252" s="42"/>
      <c r="D252" s="42"/>
      <c r="E252" s="43" t="n">
        <v>0</v>
      </c>
      <c r="F252" s="44" t="s">
        <v>1419</v>
      </c>
      <c r="G252" s="44"/>
      <c r="H252" s="44"/>
    </row>
    <row r="253" customFormat="false" ht="15.75" hidden="false" customHeight="true" outlineLevel="0" collapsed="false">
      <c r="A253" s="42" t="s">
        <v>1420</v>
      </c>
      <c r="B253" s="42"/>
      <c r="C253" s="42"/>
      <c r="D253" s="42"/>
      <c r="E253" s="43" t="n">
        <v>0</v>
      </c>
      <c r="F253" s="44" t="s">
        <v>1421</v>
      </c>
      <c r="G253" s="44"/>
      <c r="H253" s="44"/>
    </row>
    <row r="254" customFormat="false" ht="15.75" hidden="false" customHeight="true" outlineLevel="0" collapsed="false">
      <c r="A254" s="42" t="s">
        <v>1422</v>
      </c>
      <c r="B254" s="42"/>
      <c r="C254" s="42"/>
      <c r="D254" s="42"/>
      <c r="E254" s="43" t="n">
        <v>0</v>
      </c>
      <c r="F254" s="44" t="s">
        <v>1423</v>
      </c>
      <c r="G254" s="44"/>
      <c r="H254" s="44"/>
    </row>
    <row r="255" customFormat="false" ht="15.75" hidden="false" customHeight="true" outlineLevel="0" collapsed="false">
      <c r="A255" s="42" t="s">
        <v>1424</v>
      </c>
      <c r="B255" s="42"/>
      <c r="C255" s="42"/>
      <c r="D255" s="42"/>
      <c r="E255" s="43" t="n">
        <v>0</v>
      </c>
      <c r="F255" s="44" t="s">
        <v>1425</v>
      </c>
      <c r="G255" s="44"/>
      <c r="H255" s="44"/>
    </row>
    <row r="256" customFormat="false" ht="15.75" hidden="false" customHeight="true" outlineLevel="0" collapsed="false">
      <c r="A256" s="42" t="s">
        <v>1426</v>
      </c>
      <c r="B256" s="42"/>
      <c r="C256" s="42"/>
      <c r="D256" s="42"/>
      <c r="E256" s="43" t="n">
        <v>0</v>
      </c>
      <c r="F256" s="44" t="s">
        <v>1427</v>
      </c>
      <c r="G256" s="44"/>
      <c r="H256" s="44"/>
    </row>
    <row r="257" customFormat="false" ht="15" hidden="false" customHeight="true" outlineLevel="0" collapsed="false">
      <c r="A257" s="15" t="s">
        <v>85</v>
      </c>
    </row>
    <row r="259" customFormat="false" ht="19.5" hidden="false" customHeight="true" outlineLevel="0" collapsed="false">
      <c r="A259" s="5" t="s">
        <v>1259</v>
      </c>
      <c r="B259" s="5"/>
      <c r="C259" s="5"/>
      <c r="D259" s="5"/>
      <c r="E259" s="5"/>
      <c r="F259" s="5"/>
    </row>
    <row r="260" customFormat="false" ht="25.5" hidden="false" customHeight="true" outlineLevel="0" collapsed="false">
      <c r="A260" s="11" t="s">
        <v>1357</v>
      </c>
      <c r="B260" s="11" t="s">
        <v>1428</v>
      </c>
      <c r="C260" s="11" t="s">
        <v>1429</v>
      </c>
      <c r="D260" s="11" t="s">
        <v>1430</v>
      </c>
      <c r="E260" s="11" t="s">
        <v>1431</v>
      </c>
      <c r="F260" s="11" t="s">
        <v>1432</v>
      </c>
    </row>
    <row r="261" customFormat="false" ht="34.5" hidden="false" customHeight="true" outlineLevel="0" collapsed="false">
      <c r="A261" s="38" t="s">
        <v>1433</v>
      </c>
      <c r="B261" s="38" t="s">
        <v>1434</v>
      </c>
      <c r="C261" s="38" t="s">
        <v>1435</v>
      </c>
      <c r="D261" s="38" t="s">
        <v>1435</v>
      </c>
      <c r="E261" s="38" t="s">
        <v>1436</v>
      </c>
      <c r="F261" s="38" t="s">
        <v>1437</v>
      </c>
    </row>
    <row r="262" customFormat="false" ht="15" hidden="false" customHeight="true" outlineLevel="0" collapsed="false">
      <c r="A262" s="15" t="s">
        <v>85</v>
      </c>
    </row>
    <row r="265" customFormat="false" ht="19.5" hidden="false" customHeight="true" outlineLevel="0" collapsed="false">
      <c r="A265" s="45" t="s">
        <v>1438</v>
      </c>
      <c r="B265" s="45"/>
      <c r="C265" s="45"/>
      <c r="D265" s="45"/>
      <c r="E265" s="46" t="s">
        <v>1439</v>
      </c>
      <c r="F265" s="46"/>
      <c r="G265" s="46"/>
      <c r="H265" s="46"/>
    </row>
  </sheetData>
  <mergeCells count="211">
    <mergeCell ref="A1:H1"/>
    <mergeCell ref="A2:H2"/>
    <mergeCell ref="A3:B3"/>
    <mergeCell ref="G3:H3"/>
    <mergeCell ref="A5:H5"/>
    <mergeCell ref="A7:H7"/>
    <mergeCell ref="A8:F8"/>
    <mergeCell ref="G8:H8"/>
    <mergeCell ref="A9:F9"/>
    <mergeCell ref="G9:H9"/>
    <mergeCell ref="A10:F10"/>
    <mergeCell ref="G10:H10"/>
    <mergeCell ref="A11:F11"/>
    <mergeCell ref="G11:H11"/>
    <mergeCell ref="A12:F12"/>
    <mergeCell ref="G12:H12"/>
    <mergeCell ref="A13:F13"/>
    <mergeCell ref="G13:H13"/>
    <mergeCell ref="A14:F14"/>
    <mergeCell ref="G14:H14"/>
    <mergeCell ref="A15:F15"/>
    <mergeCell ref="G15:H15"/>
    <mergeCell ref="A16:F16"/>
    <mergeCell ref="G16:H16"/>
    <mergeCell ref="A17:F17"/>
    <mergeCell ref="G17:H17"/>
    <mergeCell ref="A18:F18"/>
    <mergeCell ref="G18:H18"/>
    <mergeCell ref="A19:F19"/>
    <mergeCell ref="G19:H19"/>
    <mergeCell ref="A20:F20"/>
    <mergeCell ref="G20:H20"/>
    <mergeCell ref="A21:F21"/>
    <mergeCell ref="G21:H21"/>
    <mergeCell ref="A22:F22"/>
    <mergeCell ref="G22:H22"/>
    <mergeCell ref="A23:F23"/>
    <mergeCell ref="G23:H23"/>
    <mergeCell ref="A24:F24"/>
    <mergeCell ref="G24:H24"/>
    <mergeCell ref="A25:F25"/>
    <mergeCell ref="G25:H25"/>
    <mergeCell ref="A26:F26"/>
    <mergeCell ref="G26:H26"/>
    <mergeCell ref="A27:F27"/>
    <mergeCell ref="G27:H27"/>
    <mergeCell ref="A28:F28"/>
    <mergeCell ref="G28:H28"/>
    <mergeCell ref="A29:F29"/>
    <mergeCell ref="G29:H29"/>
    <mergeCell ref="A30:F30"/>
    <mergeCell ref="G30:H30"/>
    <mergeCell ref="A32:H32"/>
    <mergeCell ref="A33:B33"/>
    <mergeCell ref="C33:H33"/>
    <mergeCell ref="A34:B34"/>
    <mergeCell ref="C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B42"/>
    <mergeCell ref="C42:H42"/>
    <mergeCell ref="A43:B43"/>
    <mergeCell ref="C43:H43"/>
    <mergeCell ref="A44:B44"/>
    <mergeCell ref="C44:H44"/>
    <mergeCell ref="A45:B45"/>
    <mergeCell ref="C45:H45"/>
    <mergeCell ref="A46:B46"/>
    <mergeCell ref="C46:H46"/>
    <mergeCell ref="A47:B47"/>
    <mergeCell ref="C47:H47"/>
    <mergeCell ref="A48:B48"/>
    <mergeCell ref="C48:H48"/>
    <mergeCell ref="A49:B49"/>
    <mergeCell ref="C49:H49"/>
    <mergeCell ref="A50:B50"/>
    <mergeCell ref="C50:H50"/>
    <mergeCell ref="A53:H53"/>
    <mergeCell ref="A54:B54"/>
    <mergeCell ref="C54:H54"/>
    <mergeCell ref="A55:B55"/>
    <mergeCell ref="C55:H55"/>
    <mergeCell ref="A56:B56"/>
    <mergeCell ref="C56:H5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68:H68"/>
    <mergeCell ref="A69:B69"/>
    <mergeCell ref="C69:H69"/>
    <mergeCell ref="A70:B70"/>
    <mergeCell ref="C70:H70"/>
    <mergeCell ref="A71:B71"/>
    <mergeCell ref="C71:H71"/>
    <mergeCell ref="A72:B72"/>
    <mergeCell ref="C72:H72"/>
    <mergeCell ref="A73:B73"/>
    <mergeCell ref="C73:H73"/>
    <mergeCell ref="A74:B74"/>
    <mergeCell ref="C74:H74"/>
    <mergeCell ref="A75:B75"/>
    <mergeCell ref="C75:H75"/>
    <mergeCell ref="A76:B76"/>
    <mergeCell ref="C76:H76"/>
    <mergeCell ref="A77:B77"/>
    <mergeCell ref="C77:H77"/>
    <mergeCell ref="A78:B78"/>
    <mergeCell ref="C78:H78"/>
    <mergeCell ref="A81:E81"/>
    <mergeCell ref="A93:H93"/>
    <mergeCell ref="A94:H97"/>
    <mergeCell ref="A100:H100"/>
    <mergeCell ref="A101:H104"/>
    <mergeCell ref="A107:C107"/>
    <mergeCell ref="A120:E120"/>
    <mergeCell ref="A125:D125"/>
    <mergeCell ref="A141:G141"/>
    <mergeCell ref="A148:E148"/>
    <mergeCell ref="A157:H157"/>
    <mergeCell ref="A158:D158"/>
    <mergeCell ref="F158:H158"/>
    <mergeCell ref="A159:D159"/>
    <mergeCell ref="F159:H159"/>
    <mergeCell ref="A160:D160"/>
    <mergeCell ref="F160:H160"/>
    <mergeCell ref="A161:D161"/>
    <mergeCell ref="F161:H161"/>
    <mergeCell ref="A162:D162"/>
    <mergeCell ref="F162:H162"/>
    <mergeCell ref="A163:D163"/>
    <mergeCell ref="F163:H163"/>
    <mergeCell ref="A164:D164"/>
    <mergeCell ref="F164:H164"/>
    <mergeCell ref="A165:D165"/>
    <mergeCell ref="F165:H165"/>
    <mergeCell ref="A168:F168"/>
    <mergeCell ref="A177:D177"/>
    <mergeCell ref="A186:G186"/>
    <mergeCell ref="A194:H194"/>
    <mergeCell ref="A201:C201"/>
    <mergeCell ref="A214:H214"/>
    <mergeCell ref="A215:B215"/>
    <mergeCell ref="C215:H215"/>
    <mergeCell ref="A216:B216"/>
    <mergeCell ref="C216:H216"/>
    <mergeCell ref="A217:B217"/>
    <mergeCell ref="C217:H217"/>
    <mergeCell ref="A218:B218"/>
    <mergeCell ref="C218:H218"/>
    <mergeCell ref="A219:B219"/>
    <mergeCell ref="C219:H219"/>
    <mergeCell ref="A222:H222"/>
    <mergeCell ref="A223:B223"/>
    <mergeCell ref="C223:H223"/>
    <mergeCell ref="A224:B224"/>
    <mergeCell ref="C224:H224"/>
    <mergeCell ref="A225:B225"/>
    <mergeCell ref="C225:H225"/>
    <mergeCell ref="A226:B226"/>
    <mergeCell ref="C226:H226"/>
    <mergeCell ref="A227:B227"/>
    <mergeCell ref="C227:H227"/>
    <mergeCell ref="A230:F230"/>
    <mergeCell ref="A240:F240"/>
    <mergeCell ref="A248:H248"/>
    <mergeCell ref="A249:D249"/>
    <mergeCell ref="F249:H249"/>
    <mergeCell ref="A250:D250"/>
    <mergeCell ref="F250:H250"/>
    <mergeCell ref="A251:D251"/>
    <mergeCell ref="F251:H251"/>
    <mergeCell ref="A252:D252"/>
    <mergeCell ref="F252:H252"/>
    <mergeCell ref="A253:D253"/>
    <mergeCell ref="F253:H253"/>
    <mergeCell ref="A254:D254"/>
    <mergeCell ref="F254:H254"/>
    <mergeCell ref="A255:D255"/>
    <mergeCell ref="F255:H255"/>
    <mergeCell ref="A256:D256"/>
    <mergeCell ref="F256:H256"/>
    <mergeCell ref="A259:F259"/>
    <mergeCell ref="A265:D265"/>
    <mergeCell ref="E265:H265"/>
  </mergeCells>
  <hyperlinks>
    <hyperlink ref="A8" location="ONG!A32" display="1. IDENTITE DE L'ONG"/>
    <hyperlink ref="A9" location="ONG!A53" display="2. INFORMATIONS JURIDIQUES"/>
    <hyperlink ref="A10" location="ONG!A68" display="3. SIEGE ET LOCALISATION"/>
    <hyperlink ref="A11" location="ONG!A81" display="4. CONTACTS OFFICIELS"/>
    <hyperlink ref="A12" location="ONG!A93" display="5. VISION"/>
    <hyperlink ref="A13" location="ONG!A100" display="6. MISSION"/>
    <hyperlink ref="A14" location="ONG!A107" display="7. VALEURS"/>
    <hyperlink ref="A15" location="ONG!A120" display="8. OBJECTIFS STRATEGIQUES"/>
    <hyperlink ref="A16" location="ONG!A125" display="9. DOMAINES D'INTERVENTION"/>
    <hyperlink ref="A17" location="ONG!A141" display="10. ZONES D'INTERVENTION"/>
    <hyperlink ref="A18" location="ONG!A148" display="11. ORGANISATION INTERNE"/>
    <hyperlink ref="A19" location="ONG!A157" display="12. EFFECTIF GLOBAL"/>
    <hyperlink ref="A20" location="ONG!A168" display="13. PARTENARIATS INSTITUTIONNELS"/>
    <hyperlink ref="A21" location="ONG!A177" display="14. SOURCES DE FINANCEMENT"/>
    <hyperlink ref="A22" location="ONG!A186" display="15. DOCUMENTS OFFICIELS"/>
    <hyperlink ref="A23" location="ONG!A194" display="16. INFORMATIONS BANCAIRES"/>
    <hyperlink ref="A24" location="ONG!A201" display="17. MOYENS DE COMMUNICATION"/>
    <hyperlink ref="A25" location="ONG!A214" display="18. IDENTITE VISUELLE"/>
    <hyperlink ref="A26" location="ONG!A222" display="19. PERIODE STRATEGIQUE"/>
    <hyperlink ref="A27" location="ONG!A230" display="20. GOUVERNANCE - ORGANES"/>
    <hyperlink ref="A28" location="ONG!A240" display="21. REUNIONS ET GOUVERNANCE"/>
    <hyperlink ref="A29" location="ONG!A248" display="22. INDICATEURS INSTITUTIONNELS"/>
    <hyperlink ref="A30" location="ONG!A259" display="23. HISTORIQUE DES MODIFICATIONS"/>
    <hyperlink ref="A51" location="ONG!A7" display="↑ Retour au sommaire"/>
    <hyperlink ref="A66" location="ONG!A7" display="↑ Retour au sommaire"/>
    <hyperlink ref="A79" location="ONG!A7" display="↑ Retour au sommaire"/>
    <hyperlink ref="A91" location="ONG!A7" display="↑ Retour au sommaire"/>
    <hyperlink ref="A98" location="ONG!A7" display="↑ Retour au sommaire"/>
    <hyperlink ref="A105" location="ONG!A7" display="↑ Retour au sommaire"/>
    <hyperlink ref="A118" location="ONG!A7" display="↑ Retour au sommaire"/>
    <hyperlink ref="A123" location="ONG!A7" display="↑ Retour au sommaire"/>
    <hyperlink ref="A139" location="ONG!A7" display="↑ Retour au sommaire"/>
    <hyperlink ref="A146" location="ONG!A7" display="↑ Retour au sommaire"/>
    <hyperlink ref="A155" location="ONG!A7" display="↑ Retour au sommaire"/>
    <hyperlink ref="A166" location="ONG!A7" display="↑ Retour au sommaire"/>
    <hyperlink ref="A175" location="ONG!A7" display="↑ Retour au sommaire"/>
    <hyperlink ref="A184" location="ONG!A7" display="↑ Retour au sommaire"/>
    <hyperlink ref="A192" location="ONG!A7" display="↑ Retour au sommaire"/>
    <hyperlink ref="A199" location="ONG!A7" display="↑ Retour au sommaire"/>
    <hyperlink ref="A212" location="ONG!A7" display="↑ Retour au sommaire"/>
    <hyperlink ref="A220" location="ONG!A7" display="↑ Retour au sommaire"/>
    <hyperlink ref="A228" location="ONG!A7" display="↑ Retour au sommaire"/>
    <hyperlink ref="A238" location="ONG!A7" display="↑ Retour au sommaire"/>
    <hyperlink ref="A246" location="ONG!A7" display="↑ Retour au sommaire"/>
    <hyperlink ref="A257" location="ONG!A7" display="↑ Retour au sommaire"/>
    <hyperlink ref="A262" location="ONG!A7" display="↑ Retour au sommaire"/>
    <hyperlink ref="A265" location="PARAMETRES!A1" display="← Retour a PARAMETRES"/>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206"/>
  <sheetViews>
    <sheetView showFormulas="false" showGridLines="false" showRowColHeaders="true" showZeros="true" rightToLeft="false" tabSelected="false" showOutlineSymbols="true" defaultGridColor="true" view="normal" topLeftCell="E1" colorId="64" zoomScale="100" zoomScaleNormal="100" zoomScalePageLayoutView="100" workbookViewId="0">
      <pane xSplit="0" ySplit="2" topLeftCell="A42" activePane="bottomLeft" state="frozen"/>
      <selection pane="topLeft" activeCell="E1" activeCellId="0" sqref="E1"/>
      <selection pane="bottomLeft" activeCell="N7" activeCellId="0" sqref="N7"/>
    </sheetView>
  </sheetViews>
  <sheetFormatPr defaultColWidth="8.71484375" defaultRowHeight="15" customHeight="true"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20"/>
    <col collapsed="false" customWidth="true" hidden="false" outlineLevel="0" max="6" min="4" style="1" width="16"/>
    <col collapsed="false" customWidth="true" hidden="false" outlineLevel="0" max="7" min="7" style="1" width="26"/>
    <col collapsed="false" customWidth="true" hidden="false" outlineLevel="0" max="8" min="8" style="1" width="12"/>
    <col collapsed="false" customWidth="true" hidden="false" outlineLevel="0" max="9" min="9" style="1" width="14"/>
    <col collapsed="false" customWidth="true" hidden="false" outlineLevel="0" max="10" min="10" style="1" width="8"/>
    <col collapsed="false" customWidth="true" hidden="false" outlineLevel="0" max="11" min="11" style="1" width="14"/>
    <col collapsed="false" customWidth="true" hidden="false" outlineLevel="0" max="12" min="12" style="1" width="18"/>
    <col collapsed="false" customWidth="true" hidden="false" outlineLevel="0" max="13" min="13" style="1" width="14"/>
    <col collapsed="false" customWidth="true" hidden="false" outlineLevel="0" max="14" min="14" style="1" width="12"/>
    <col collapsed="false" customWidth="true" hidden="false" outlineLevel="0" max="15" min="15" style="1" width="18"/>
    <col collapsed="false" customWidth="true" hidden="false" outlineLevel="0" max="16" min="16" style="1" width="12"/>
    <col collapsed="false" customWidth="true" hidden="false" outlineLevel="0" max="17" min="17" style="1" width="14"/>
    <col collapsed="false" customWidth="true" hidden="false" outlineLevel="0" max="20" min="18" style="1" width="12"/>
    <col collapsed="false" customWidth="true" hidden="false" outlineLevel="0" max="21" min="21" style="1" width="14"/>
    <col collapsed="false" customWidth="true" hidden="false" outlineLevel="0" max="27" min="22" style="1" width="12"/>
    <col collapsed="false" customWidth="true" hidden="false" outlineLevel="0" max="29" min="28" style="1" width="16"/>
    <col collapsed="false" customWidth="true" hidden="false" outlineLevel="0" max="30" min="30" style="1" width="18"/>
    <col collapsed="false" customWidth="true" hidden="false" outlineLevel="0" max="33" min="31" style="1" width="16"/>
    <col collapsed="false" customWidth="true" hidden="false" outlineLevel="0" max="35" min="34" style="1" width="14"/>
    <col collapsed="false" customWidth="true" hidden="false" outlineLevel="0" max="36" min="36" style="1" width="18"/>
    <col collapsed="false" customWidth="true" hidden="false" outlineLevel="0" max="37" min="37" style="1" width="16"/>
    <col collapsed="false" customWidth="true" hidden="false" outlineLevel="0" max="38" min="38" style="1" width="20"/>
    <col collapsed="false" customWidth="true" hidden="false" outlineLevel="0" max="39" min="39" style="1" width="12"/>
    <col collapsed="false" customWidth="true" hidden="false" outlineLevel="0" max="40" min="40" style="1" width="14"/>
    <col collapsed="false" customWidth="true" hidden="false" outlineLevel="0" max="43" min="41" style="1" width="16"/>
    <col collapsed="false" customWidth="true" hidden="false" outlineLevel="0" max="44" min="44" style="1" width="18"/>
    <col collapsed="false" customWidth="true" hidden="false" outlineLevel="0" max="45" min="45" style="1" width="16"/>
    <col collapsed="false" customWidth="true" hidden="false" outlineLevel="0" max="47" min="46" style="1" width="14"/>
    <col collapsed="false" customWidth="true" hidden="false" outlineLevel="0" max="48" min="48" style="1" width="20"/>
    <col collapsed="false" customWidth="true" hidden="false" outlineLevel="0" max="49" min="49" style="1" width="18"/>
    <col collapsed="false" customWidth="true" hidden="false" outlineLevel="0" max="50" min="50" style="1" width="16"/>
    <col collapsed="false" customWidth="true" hidden="false" outlineLevel="0" max="51" min="51" style="1" width="12"/>
    <col collapsed="false" customWidth="true" hidden="false" outlineLevel="0" max="52" min="52" style="1" width="20"/>
    <col collapsed="false" customWidth="true" hidden="false" outlineLevel="0" max="53" min="53" style="1" width="22"/>
    <col collapsed="false" customWidth="true" hidden="false" outlineLevel="0" max="55" min="54" style="1" width="14"/>
    <col collapsed="false" customWidth="true" hidden="false" outlineLevel="0" max="56" min="56" style="1" width="16"/>
    <col collapsed="false" customWidth="true" hidden="false" outlineLevel="0" max="58" min="57" style="1" width="14"/>
    <col collapsed="false" customWidth="true" hidden="false" outlineLevel="0" max="59" min="59" style="1" width="18"/>
    <col collapsed="false" customWidth="true" hidden="false" outlineLevel="0" max="63" min="60" style="1" width="14"/>
    <col collapsed="false" customWidth="true" hidden="false" outlineLevel="0" max="64" min="64" style="1" width="16"/>
    <col collapsed="false" customWidth="true" hidden="false" outlineLevel="0" max="65" min="65" style="1" width="14"/>
    <col collapsed="false" customWidth="true" hidden="false" outlineLevel="0" max="66" min="66" style="1" width="12"/>
    <col collapsed="false" customWidth="true" hidden="false" outlineLevel="0" max="68" min="67" style="1" width="18"/>
    <col collapsed="false" customWidth="true" hidden="false" outlineLevel="0" max="69" min="69" style="1" width="16"/>
    <col collapsed="false" customWidth="true" hidden="false" outlineLevel="0" max="71" min="70" style="1" width="18"/>
    <col collapsed="false" customWidth="true" hidden="false" outlineLevel="0" max="73" min="72" style="1" width="14"/>
    <col collapsed="false" customWidth="true" hidden="false" outlineLevel="0" max="76" min="74" style="1" width="12"/>
    <col collapsed="false" customWidth="true" hidden="false" outlineLevel="0" max="77" min="77" style="1" width="16"/>
    <col collapsed="false" customWidth="true" hidden="false" outlineLevel="0" max="78" min="78" style="1" width="28"/>
  </cols>
  <sheetData>
    <row r="1" customFormat="false" ht="25.5" hidden="false" customHeight="true" outlineLevel="0" collapsed="false">
      <c r="A1" s="47" t="s">
        <v>1440</v>
      </c>
      <c r="B1" s="47"/>
      <c r="C1" s="47"/>
      <c r="D1" s="47"/>
      <c r="E1" s="47"/>
      <c r="F1" s="47"/>
      <c r="G1" s="47"/>
      <c r="H1" s="47"/>
      <c r="I1" s="47"/>
      <c r="J1" s="47"/>
      <c r="K1" s="47"/>
      <c r="L1" s="47"/>
      <c r="M1" s="47"/>
      <c r="N1" s="47"/>
      <c r="O1" s="47"/>
      <c r="P1" s="47"/>
      <c r="Q1" s="48" t="s">
        <v>1441</v>
      </c>
      <c r="R1" s="48"/>
    </row>
    <row r="2" customFormat="false" ht="18" hidden="false" customHeight="true" outlineLevel="0" collapsed="false">
      <c r="A2" s="49" t="s">
        <v>1230</v>
      </c>
      <c r="B2" s="49"/>
      <c r="C2" s="49"/>
      <c r="D2" s="50" t="n">
        <v>2026</v>
      </c>
      <c r="E2" s="50"/>
      <c r="F2" s="49" t="s">
        <v>1442</v>
      </c>
      <c r="G2" s="49"/>
      <c r="H2" s="49"/>
      <c r="I2" s="51" t="n">
        <f aca="true">TODAY()</f>
        <v>46266</v>
      </c>
      <c r="J2" s="51"/>
      <c r="K2" s="49" t="s">
        <v>1443</v>
      </c>
      <c r="L2" s="49"/>
      <c r="M2" s="49"/>
      <c r="N2" s="49"/>
      <c r="O2" s="52" t="n">
        <f aca="false">COUNTIF(tbl_Beneficiaires[ID Beneficiaire],"BEN*")</f>
        <v>1</v>
      </c>
      <c r="P2" s="52"/>
      <c r="Q2" s="53" t="s">
        <v>1444</v>
      </c>
    </row>
    <row r="4" customFormat="false" ht="15" hidden="false" customHeight="true" outlineLevel="0" collapsed="false">
      <c r="A4" s="54" t="s">
        <v>1445</v>
      </c>
      <c r="B4" s="54"/>
      <c r="C4" s="54"/>
      <c r="D4" s="54"/>
      <c r="E4" s="54"/>
      <c r="F4" s="54"/>
      <c r="G4" s="54"/>
      <c r="H4" s="54"/>
      <c r="I4" s="54"/>
      <c r="J4" s="54"/>
      <c r="K4" s="54"/>
      <c r="L4" s="54"/>
      <c r="M4" s="54"/>
      <c r="N4" s="54"/>
      <c r="O4" s="54"/>
      <c r="P4" s="54"/>
      <c r="Q4" s="54"/>
      <c r="R4" s="54"/>
    </row>
    <row r="6" customFormat="false" ht="19.5" hidden="false" customHeight="true" outlineLevel="0" collapsed="false">
      <c r="A6" s="55" t="s">
        <v>1446</v>
      </c>
      <c r="B6" s="55"/>
      <c r="C6" s="55"/>
      <c r="D6" s="55"/>
      <c r="E6" s="55"/>
      <c r="F6" s="55"/>
      <c r="G6" s="55"/>
      <c r="H6" s="55"/>
      <c r="I6" s="55"/>
      <c r="J6" s="55"/>
      <c r="K6" s="55"/>
      <c r="L6" s="55"/>
      <c r="M6" s="55"/>
      <c r="N6" s="55"/>
      <c r="O6" s="55"/>
      <c r="P6" s="55"/>
      <c r="Q6" s="55"/>
      <c r="R6" s="55"/>
    </row>
    <row r="7" customFormat="false" ht="30" hidden="false" customHeight="true" outlineLevel="0" collapsed="false">
      <c r="A7" s="56" t="s">
        <v>1447</v>
      </c>
      <c r="B7" s="56" t="s">
        <v>1338</v>
      </c>
      <c r="C7" s="56" t="s">
        <v>1340</v>
      </c>
      <c r="D7" s="56" t="s">
        <v>1448</v>
      </c>
      <c r="E7" s="56" t="s">
        <v>1449</v>
      </c>
      <c r="F7" s="56" t="s">
        <v>1450</v>
      </c>
      <c r="G7" s="56" t="s">
        <v>1451</v>
      </c>
      <c r="H7" s="56" t="s">
        <v>1452</v>
      </c>
      <c r="I7" s="56" t="s">
        <v>1453</v>
      </c>
      <c r="J7" s="56" t="s">
        <v>1454</v>
      </c>
      <c r="K7" s="56" t="s">
        <v>1455</v>
      </c>
      <c r="L7" s="56" t="s">
        <v>1456</v>
      </c>
      <c r="M7" s="56" t="s">
        <v>1457</v>
      </c>
      <c r="N7" s="57" t="s">
        <v>1216</v>
      </c>
    </row>
    <row r="8" customFormat="false" ht="21.75" hidden="false" customHeight="true" outlineLevel="0" collapsed="false">
      <c r="A8" s="58" t="n">
        <f aca="false">IF($N$7="Total",COUNTIF(A56:A115,"BEN*"),COUNTIFS(A56:A115,"BEN*",BB56:BB115,"&gt;="&amp;DATE(VALUE($N$7),1,1),BB56:BB115,"&lt;"&amp;DATE(VALUE($N$7)+1,1,1)))</f>
        <v>1</v>
      </c>
      <c r="B8" s="58" t="n">
        <f aca="false">IF($N$7="Total",COUNTIFS(A56:A115,"BEN*",H56:H115,"Masculin"),COUNTIFS(A56:A115,"BEN*",H56:H115,"Masculin",BB56:BB115,"&gt;="&amp;DATE(VALUE($N$7),1,1),BB56:BB115,"&lt;"&amp;DATE(VALUE($N$7)+1,1,1)))</f>
        <v>0</v>
      </c>
      <c r="C8" s="58" t="n">
        <f aca="false">IF($N$7="Total",COUNTIFS(A56:A115,"BEN*",H56:H115,"Feminin"),COUNTIFS(A56:A115,"BEN*",H56:H115,"Feminin",BB56:BB115,"&gt;="&amp;DATE(VALUE($N$7),1,1),BB56:BB115,"&lt;"&amp;DATE(VALUE($N$7)+1,1,1)))</f>
        <v>1</v>
      </c>
      <c r="D8" s="58" t="n">
        <f aca="false">IF($N$7="Total",COUNTIFS(A56:A115,"BEN*",H56:H115,"Non precise"),COUNTIFS(A56:A115,"BEN*",H56:H115,"Non precise",BB56:BB115,"&gt;="&amp;DATE(VALUE($N$7),1,1),BB56:BB115,"&lt;"&amp;DATE(VALUE($N$7)+1,1,1)))</f>
        <v>0</v>
      </c>
      <c r="E8" s="58" t="n">
        <f aca="false">IF($N$7="Total",COUNTIFS(A56:A115,"BEN*",J56:J115,"&lt;18"),COUNTIFS(A56:A115,"BEN*",J56:J115,"&lt;18",BB56:BB115,"&gt;="&amp;DATE(VALUE($N$7),1,1),BB56:BB115,"&lt;"&amp;DATE(VALUE($N$7)+1,1,1)))</f>
        <v>0</v>
      </c>
      <c r="F8" s="58" t="n">
        <f aca="false">IF($N$7="Total",COUNTIFS(A56:A115,"BEN*",J56:J115,"&gt;=18",J56:J115,"&lt;=24"),COUNTIFS(A56:A115,"BEN*",J56:J115,"&gt;=18",J56:J115,"&lt;=24",BB56:BB115,"&gt;="&amp;DATE(VALUE($N$7),1,1),BB56:BB115,"&lt;"&amp;DATE(VALUE($N$7)+1,1,1)))</f>
        <v>1</v>
      </c>
      <c r="G8" s="58" t="n">
        <f aca="false">IF($N$7="Total",COUNTIFS(A56:A115,"BEN*",J56:J115,"&gt;=25",J56:J115,"&lt;=64"),COUNTIFS(A56:A115,"BEN*",J56:J115,"&gt;=25",J56:J115,"&lt;=64",BB56:BB115,"&gt;="&amp;DATE(VALUE($N$7),1,1),BB56:BB115,"&lt;"&amp;DATE(VALUE($N$7)+1,1,1)))</f>
        <v>0</v>
      </c>
      <c r="H8" s="58" t="n">
        <f aca="false">IF($N$7="Total",COUNTIFS(A56:A115,"BEN*",J56:J115,"&gt;=65"),COUNTIFS(A56:A115,"BEN*",J56:J115,"&gt;=65",BB56:BB115,"&gt;="&amp;DATE(VALUE($N$7),1,1),BB56:BB115,"&lt;"&amp;DATE(VALUE($N$7)+1,1,1)))</f>
        <v>0</v>
      </c>
      <c r="I8" s="58" t="n">
        <f aca="false">IF($N$7="Total",COUNTIFS(A56:A115,"BEN*",V56:V115,"Oui"),COUNTIFS(A56:A115,"BEN*",V56:V115,"Oui",BB56:BB115,"&gt;="&amp;DATE(VALUE($N$7),1,1),BB56:BB115,"&lt;"&amp;DATE(VALUE($N$7)+1,1,1)))</f>
        <v>0</v>
      </c>
      <c r="J8" s="58" t="n">
        <f aca="false">IF($N$7="Total",SUMPRODUCT((N56:N115&lt;&gt;"")/COUNTIF(N56:N115,N56:N115&amp;"")),SUMPRODUCT((N56:N115&lt;&gt;"")*(BB56:BB115&gt;=DATE(VALUE($N$7),1,1))*(BB56:BB115&lt;DATE(VALUE($N$7)+1,1,1))/COUNTIFS(N56:N115,N56:N115,BB56:BB115,"&gt;="&amp;DATE(VALUE($N$7),1,1),BB56:BB115,"&lt;"&amp;DATE(VALUE($N$7)+1,1,1))))</f>
        <v>0</v>
      </c>
      <c r="K8" s="58" t="n">
        <f aca="false">IF($N$7="Total",COUNTIFS(A56:A115,"BEN*",BD56:BD115,"Actif"),COUNTIFS(A56:A115,"BEN*",BD56:BD115,"Actif",BB56:BB115,"&gt;="&amp;DATE(VALUE($N$7),1,1),BB56:BB115,"&lt;"&amp;DATE(VALUE($N$7)+1,1,1)))</f>
        <v>1</v>
      </c>
      <c r="L8" s="58" t="n">
        <f aca="false">IF($N$7="Total",COUNTIFS(A56:A115,"BEN*",BD56:BD115,"Sorti du programme"),COUNTIFS(A56:A115,"BEN*",BD56:BD115,"Sorti du programme",BB56:BB115,"&gt;="&amp;DATE(VALUE($N$7),1,1),BB56:BB115,"&lt;"&amp;DATE(VALUE($N$7)+1,1,1)))</f>
        <v>0</v>
      </c>
    </row>
    <row r="10" customFormat="false" ht="19.5" hidden="false" customHeight="true" outlineLevel="0" collapsed="false">
      <c r="A10" s="24" t="s">
        <v>1458</v>
      </c>
      <c r="B10" s="24"/>
      <c r="C10" s="24"/>
      <c r="D10" s="24"/>
      <c r="E10" s="24"/>
      <c r="F10" s="24"/>
      <c r="G10" s="24"/>
      <c r="H10" s="24"/>
      <c r="I10" s="24"/>
      <c r="J10" s="24"/>
      <c r="K10" s="24"/>
      <c r="L10" s="24"/>
      <c r="M10" s="24"/>
      <c r="N10" s="24"/>
      <c r="O10" s="24"/>
      <c r="P10" s="24"/>
      <c r="Q10" s="24"/>
      <c r="R10" s="24"/>
    </row>
    <row r="11" customFormat="false" ht="23.25" hidden="false" customHeight="true" outlineLevel="0" collapsed="false">
      <c r="A11" s="59" t="s">
        <v>1459</v>
      </c>
      <c r="B11" s="59" t="s">
        <v>1460</v>
      </c>
      <c r="D11" s="59" t="s">
        <v>876</v>
      </c>
      <c r="E11" s="59" t="s">
        <v>1460</v>
      </c>
      <c r="G11" s="59" t="s">
        <v>1461</v>
      </c>
      <c r="H11" s="59" t="s">
        <v>1460</v>
      </c>
    </row>
    <row r="12" customFormat="false" ht="15" hidden="false" customHeight="true" outlineLevel="0" collapsed="false">
      <c r="A12" s="60" t="s">
        <v>146</v>
      </c>
      <c r="B12" s="61" t="n">
        <f aca="false">COUNTIFS(tbl_Beneficiaires[Domaine d''intervention],A12)</f>
        <v>1</v>
      </c>
      <c r="D12" s="60" t="s">
        <v>887</v>
      </c>
      <c r="E12" s="61" t="n">
        <f aca="false">COUNTIFS(tbl_Beneficiaires[Departement],D12)</f>
        <v>1</v>
      </c>
      <c r="G12" s="62"/>
      <c r="H12" s="61" t="str">
        <f aca="false">IF(G12="","",COUNTIFS(tbl_Beneficiaires[Nom du projet],G12))</f>
        <v/>
      </c>
    </row>
    <row r="13" customFormat="false" ht="15" hidden="false" customHeight="true" outlineLevel="0" collapsed="false">
      <c r="A13" s="60" t="s">
        <v>150</v>
      </c>
      <c r="B13" s="61" t="n">
        <f aca="false">COUNTIFS(tbl_Beneficiaires[Domaine d''intervention],A13)</f>
        <v>0</v>
      </c>
      <c r="D13" s="60" t="s">
        <v>917</v>
      </c>
      <c r="E13" s="61" t="n">
        <f aca="false">COUNTIFS(tbl_Beneficiaires[Departement],D13)</f>
        <v>0</v>
      </c>
      <c r="G13" s="62"/>
      <c r="H13" s="61" t="str">
        <f aca="false">IF(G13="","",COUNTIFS(tbl_Beneficiaires[Nom du projet],G13))</f>
        <v/>
      </c>
    </row>
    <row r="14" customFormat="false" ht="15" hidden="false" customHeight="true" outlineLevel="0" collapsed="false">
      <c r="A14" s="60" t="s">
        <v>153</v>
      </c>
      <c r="B14" s="61" t="n">
        <f aca="false">COUNTIFS(tbl_Beneficiaires[Domaine d''intervention],A14)</f>
        <v>0</v>
      </c>
      <c r="D14" s="62"/>
      <c r="E14" s="61" t="str">
        <f aca="false">IF(D14="","",COUNTIFS(tbl_Beneficiaires[Departement],D14))</f>
        <v/>
      </c>
      <c r="G14" s="62"/>
      <c r="H14" s="61" t="str">
        <f aca="false">IF(G14="","",COUNTIFS(tbl_Beneficiaires[Nom du projet],G14))</f>
        <v/>
      </c>
    </row>
    <row r="15" customFormat="false" ht="15" hidden="false" customHeight="true" outlineLevel="0" collapsed="false">
      <c r="A15" s="60" t="s">
        <v>156</v>
      </c>
      <c r="B15" s="61" t="n">
        <f aca="false">COUNTIFS(tbl_Beneficiaires[Domaine d''intervention],A15)</f>
        <v>0</v>
      </c>
      <c r="D15" s="62"/>
      <c r="E15" s="61" t="str">
        <f aca="false">IF(D15="","",COUNTIFS(tbl_Beneficiaires[Departement],D15))</f>
        <v/>
      </c>
      <c r="G15" s="62"/>
      <c r="H15" s="61" t="str">
        <f aca="false">IF(G15="","",COUNTIFS(tbl_Beneficiaires[Nom du projet],G15))</f>
        <v/>
      </c>
    </row>
    <row r="16" customFormat="false" ht="15" hidden="false" customHeight="true" outlineLevel="0" collapsed="false">
      <c r="A16" s="60" t="s">
        <v>159</v>
      </c>
      <c r="B16" s="61" t="n">
        <f aca="false">COUNTIFS(tbl_Beneficiaires[Domaine d''intervention],A16)</f>
        <v>0</v>
      </c>
      <c r="D16" s="62"/>
      <c r="E16" s="61" t="str">
        <f aca="false">IF(D16="","",COUNTIFS(tbl_Beneficiaires[Departement],D16))</f>
        <v/>
      </c>
      <c r="G16" s="62"/>
      <c r="H16" s="61" t="str">
        <f aca="false">IF(G16="","",COUNTIFS(tbl_Beneficiaires[Nom du projet],G16))</f>
        <v/>
      </c>
    </row>
    <row r="17" customFormat="false" ht="15" hidden="false" customHeight="true" outlineLevel="0" collapsed="false">
      <c r="A17" s="60" t="s">
        <v>162</v>
      </c>
      <c r="B17" s="61" t="n">
        <f aca="false">COUNTIFS(tbl_Beneficiaires[Domaine d''intervention],A17)</f>
        <v>0</v>
      </c>
      <c r="D17" s="62"/>
      <c r="E17" s="61" t="str">
        <f aca="false">IF(D17="","",COUNTIFS(tbl_Beneficiaires[Departement],D17))</f>
        <v/>
      </c>
      <c r="G17" s="62"/>
      <c r="H17" s="61" t="str">
        <f aca="false">IF(G17="","",COUNTIFS(tbl_Beneficiaires[Nom du projet],G17))</f>
        <v/>
      </c>
    </row>
    <row r="18" customFormat="false" ht="15" hidden="false" customHeight="true" outlineLevel="0" collapsed="false">
      <c r="A18" s="60" t="s">
        <v>165</v>
      </c>
      <c r="B18" s="61" t="n">
        <f aca="false">COUNTIFS(tbl_Beneficiaires[Domaine d''intervention],A18)</f>
        <v>0</v>
      </c>
      <c r="D18" s="62"/>
      <c r="E18" s="61" t="str">
        <f aca="false">IF(D18="","",COUNTIFS(tbl_Beneficiaires[Departement],D18))</f>
        <v/>
      </c>
      <c r="G18" s="62"/>
      <c r="H18" s="61" t="str">
        <f aca="false">IF(G18="","",COUNTIFS(tbl_Beneficiaires[Nom du projet],G18))</f>
        <v/>
      </c>
    </row>
    <row r="19" customFormat="false" ht="15" hidden="false" customHeight="true" outlineLevel="0" collapsed="false">
      <c r="A19" s="60" t="s">
        <v>168</v>
      </c>
      <c r="B19" s="61" t="n">
        <f aca="false">COUNTIFS(tbl_Beneficiaires[Domaine d''intervention],A19)</f>
        <v>0</v>
      </c>
      <c r="D19" s="62"/>
      <c r="E19" s="61" t="str">
        <f aca="false">IF(D19="","",COUNTIFS(tbl_Beneficiaires[Departement],D19))</f>
        <v/>
      </c>
      <c r="G19" s="62"/>
      <c r="H19" s="61" t="str">
        <f aca="false">IF(G19="","",COUNTIFS(tbl_Beneficiaires[Nom du projet],G19))</f>
        <v/>
      </c>
    </row>
    <row r="20" customFormat="false" ht="15" hidden="false" customHeight="true" outlineLevel="0" collapsed="false">
      <c r="A20" s="60" t="s">
        <v>171</v>
      </c>
      <c r="B20" s="61" t="n">
        <f aca="false">COUNTIFS(tbl_Beneficiaires[Domaine d''intervention],A20)</f>
        <v>0</v>
      </c>
      <c r="D20" s="62"/>
      <c r="E20" s="61" t="str">
        <f aca="false">IF(D20="","",COUNTIFS(tbl_Beneficiaires[Departement],D20))</f>
        <v/>
      </c>
      <c r="G20" s="62"/>
      <c r="H20" s="61" t="str">
        <f aca="false">IF(G20="","",COUNTIFS(tbl_Beneficiaires[Nom du projet],G20))</f>
        <v/>
      </c>
    </row>
    <row r="21" customFormat="false" ht="15" hidden="false" customHeight="true" outlineLevel="0" collapsed="false">
      <c r="A21" s="60" t="s">
        <v>174</v>
      </c>
      <c r="B21" s="61" t="n">
        <f aca="false">COUNTIFS(tbl_Beneficiaires[Domaine d''intervention],A21)</f>
        <v>0</v>
      </c>
      <c r="D21" s="62"/>
      <c r="E21" s="61" t="str">
        <f aca="false">IF(D21="","",COUNTIFS(tbl_Beneficiaires[Departement],D21))</f>
        <v/>
      </c>
      <c r="G21" s="62"/>
      <c r="H21" s="61" t="str">
        <f aca="false">IF(G21="","",COUNTIFS(tbl_Beneficiaires[Nom du projet],G21))</f>
        <v/>
      </c>
    </row>
    <row r="22" customFormat="false" ht="15" hidden="false" customHeight="true" outlineLevel="0" collapsed="false">
      <c r="A22" s="60" t="s">
        <v>178</v>
      </c>
      <c r="B22" s="61" t="n">
        <f aca="false">COUNTIFS(tbl_Beneficiaires[Domaine d''intervention],A22)</f>
        <v>0</v>
      </c>
    </row>
    <row r="23" customFormat="false" ht="27.75" hidden="false" customHeight="true" outlineLevel="0" collapsed="false">
      <c r="A23" s="60" t="s">
        <v>181</v>
      </c>
      <c r="B23" s="61" t="n">
        <f aca="false">COUNTIFS(tbl_Beneficiaires[Domaine d''intervention],A23)</f>
        <v>0</v>
      </c>
      <c r="G23" s="63" t="s">
        <v>1462</v>
      </c>
      <c r="H23" s="63"/>
    </row>
    <row r="24" customFormat="false" ht="15" hidden="false" customHeight="true" outlineLevel="0" collapsed="false">
      <c r="A24" s="60" t="s">
        <v>184</v>
      </c>
      <c r="B24" s="61" t="n">
        <f aca="false">COUNTIFS(tbl_Beneficiaires[Domaine d''intervention],A24)</f>
        <v>0</v>
      </c>
    </row>
    <row r="25" customFormat="false" ht="15" hidden="false" customHeight="true" outlineLevel="0" collapsed="false">
      <c r="A25" s="60" t="s">
        <v>187</v>
      </c>
      <c r="B25" s="61" t="n">
        <f aca="false">COUNTIFS(tbl_Beneficiaires[Domaine d''intervention],A25)</f>
        <v>0</v>
      </c>
    </row>
    <row r="26" customFormat="false" ht="15" hidden="false" customHeight="true" outlineLevel="0" collapsed="false">
      <c r="A26" s="60" t="s">
        <v>190</v>
      </c>
      <c r="B26" s="61" t="n">
        <f aca="false">COUNTIFS(tbl_Beneficiaires[Domaine d''intervention],A26)</f>
        <v>0</v>
      </c>
    </row>
    <row r="27" customFormat="false" ht="15" hidden="false" customHeight="true" outlineLevel="0" collapsed="false">
      <c r="A27" s="60" t="s">
        <v>193</v>
      </c>
      <c r="B27" s="61" t="n">
        <f aca="false">COUNTIFS(tbl_Beneficiaires[Domaine d''intervention],A27)</f>
        <v>0</v>
      </c>
    </row>
    <row r="28" customFormat="false" ht="15" hidden="false" customHeight="true" outlineLevel="0" collapsed="false">
      <c r="A28" s="60" t="s">
        <v>196</v>
      </c>
      <c r="B28" s="61" t="n">
        <f aca="false">COUNTIFS(tbl_Beneficiaires[Domaine d''intervention],A28)</f>
        <v>0</v>
      </c>
    </row>
    <row r="29" customFormat="false" ht="15" hidden="false" customHeight="true" outlineLevel="0" collapsed="false">
      <c r="A29" s="60" t="s">
        <v>199</v>
      </c>
      <c r="B29" s="61" t="n">
        <f aca="false">COUNTIFS(tbl_Beneficiaires[Domaine d''intervention],A29)</f>
        <v>0</v>
      </c>
    </row>
    <row r="30" customFormat="false" ht="15" hidden="false" customHeight="true" outlineLevel="0" collapsed="false">
      <c r="A30" s="60" t="s">
        <v>202</v>
      </c>
      <c r="B30" s="61" t="n">
        <f aca="false">COUNTIFS(tbl_Beneficiaires[Domaine d''intervention],A30)</f>
        <v>0</v>
      </c>
    </row>
    <row r="31" customFormat="false" ht="15" hidden="false" customHeight="true" outlineLevel="0" collapsed="false">
      <c r="A31" s="60" t="s">
        <v>205</v>
      </c>
      <c r="B31" s="61" t="n">
        <f aca="false">COUNTIFS(tbl_Beneficiaires[Domaine d''intervention],A31)</f>
        <v>0</v>
      </c>
    </row>
    <row r="32" customFormat="false" ht="15" hidden="false" customHeight="true" outlineLevel="0" collapsed="false">
      <c r="A32" s="60" t="s">
        <v>208</v>
      </c>
      <c r="B32" s="61" t="n">
        <f aca="false">COUNTIFS(tbl_Beneficiaires[Domaine d''intervention],A32)</f>
        <v>0</v>
      </c>
    </row>
    <row r="33" customFormat="false" ht="15" hidden="false" customHeight="true" outlineLevel="0" collapsed="false">
      <c r="A33" s="60" t="s">
        <v>211</v>
      </c>
      <c r="B33" s="61" t="n">
        <f aca="false">COUNTIFS(tbl_Beneficiaires[Domaine d''intervention],A33)</f>
        <v>0</v>
      </c>
    </row>
    <row r="34" customFormat="false" ht="15" hidden="false" customHeight="true" outlineLevel="0" collapsed="false">
      <c r="A34" s="60" t="s">
        <v>214</v>
      </c>
      <c r="B34" s="61" t="n">
        <f aca="false">COUNTIFS(tbl_Beneficiaires[Domaine d''intervention],A34)</f>
        <v>0</v>
      </c>
    </row>
    <row r="35" customFormat="false" ht="15" hidden="false" customHeight="true" outlineLevel="0" collapsed="false">
      <c r="A35" s="60" t="s">
        <v>217</v>
      </c>
      <c r="B35" s="61" t="n">
        <f aca="false">COUNTIFS(tbl_Beneficiaires[Domaine d''intervention],A35)</f>
        <v>0</v>
      </c>
    </row>
    <row r="36" customFormat="false" ht="15" hidden="false" customHeight="true" outlineLevel="0" collapsed="false">
      <c r="A36" s="60" t="s">
        <v>220</v>
      </c>
      <c r="B36" s="61" t="n">
        <f aca="false">COUNTIFS(tbl_Beneficiaires[Domaine d''intervention],A36)</f>
        <v>0</v>
      </c>
    </row>
    <row r="37" customFormat="false" ht="15" hidden="false" customHeight="true" outlineLevel="0" collapsed="false">
      <c r="A37" s="60" t="s">
        <v>223</v>
      </c>
      <c r="B37" s="61" t="n">
        <f aca="false">COUNTIFS(tbl_Beneficiaires[Domaine d''intervention],A37)</f>
        <v>0</v>
      </c>
    </row>
    <row r="38" customFormat="false" ht="15" hidden="false" customHeight="true" outlineLevel="0" collapsed="false">
      <c r="A38" s="60" t="s">
        <v>226</v>
      </c>
      <c r="B38" s="61" t="n">
        <f aca="false">COUNTIFS(tbl_Beneficiaires[Domaine d''intervention],A38)</f>
        <v>0</v>
      </c>
    </row>
    <row r="39" customFormat="false" ht="15" hidden="false" customHeight="true" outlineLevel="0" collapsed="false">
      <c r="A39" s="60" t="s">
        <v>229</v>
      </c>
      <c r="B39" s="61" t="n">
        <f aca="false">COUNTIFS(tbl_Beneficiaires[Domaine d''intervention],A39)</f>
        <v>0</v>
      </c>
    </row>
    <row r="40" customFormat="false" ht="15" hidden="false" customHeight="true" outlineLevel="0" collapsed="false">
      <c r="A40" s="60" t="s">
        <v>232</v>
      </c>
      <c r="B40" s="61" t="n">
        <f aca="false">COUNTIFS(tbl_Beneficiaires[Domaine d''intervention],A40)</f>
        <v>0</v>
      </c>
    </row>
    <row r="41" customFormat="false" ht="15" hidden="false" customHeight="true" outlineLevel="0" collapsed="false">
      <c r="A41" s="60" t="s">
        <v>235</v>
      </c>
      <c r="B41" s="61" t="n">
        <f aca="false">COUNTIFS(tbl_Beneficiaires[Domaine d''intervention],A41)</f>
        <v>0</v>
      </c>
    </row>
    <row r="42" customFormat="false" ht="15" hidden="false" customHeight="true" outlineLevel="0" collapsed="false">
      <c r="A42" s="60" t="s">
        <v>238</v>
      </c>
      <c r="B42" s="61" t="n">
        <f aca="false">COUNTIFS(tbl_Beneficiaires[Domaine d''intervention],A42)</f>
        <v>0</v>
      </c>
    </row>
    <row r="43" customFormat="false" ht="15" hidden="false" customHeight="true" outlineLevel="0" collapsed="false">
      <c r="A43" s="60" t="s">
        <v>241</v>
      </c>
      <c r="B43" s="61" t="n">
        <f aca="false">COUNTIFS(tbl_Beneficiaires[Domaine d''intervention],A43)</f>
        <v>0</v>
      </c>
    </row>
    <row r="44" customFormat="false" ht="15" hidden="false" customHeight="true" outlineLevel="0" collapsed="false">
      <c r="A44" s="60" t="s">
        <v>244</v>
      </c>
      <c r="B44" s="61" t="n">
        <f aca="false">COUNTIFS(tbl_Beneficiaires[Domaine d''intervention],A44)</f>
        <v>0</v>
      </c>
    </row>
    <row r="45" customFormat="false" ht="15" hidden="false" customHeight="true" outlineLevel="0" collapsed="false">
      <c r="A45" s="60" t="s">
        <v>247</v>
      </c>
      <c r="B45" s="61" t="n">
        <f aca="false">COUNTIFS(tbl_Beneficiaires[Domaine d''intervention],A45)</f>
        <v>0</v>
      </c>
    </row>
    <row r="46" customFormat="false" ht="15" hidden="false" customHeight="true" outlineLevel="0" collapsed="false">
      <c r="A46" s="60" t="s">
        <v>250</v>
      </c>
      <c r="B46" s="61" t="n">
        <f aca="false">COUNTIFS(tbl_Beneficiaires[Domaine d''intervention],A46)</f>
        <v>0</v>
      </c>
    </row>
    <row r="47" customFormat="false" ht="15" hidden="false" customHeight="true" outlineLevel="0" collapsed="false">
      <c r="A47" s="60" t="s">
        <v>253</v>
      </c>
      <c r="B47" s="61" t="n">
        <f aca="false">COUNTIFS(tbl_Beneficiaires[Domaine d''intervention],A47)</f>
        <v>0</v>
      </c>
    </row>
    <row r="48" customFormat="false" ht="15" hidden="false" customHeight="true" outlineLevel="0" collapsed="false">
      <c r="A48" s="60" t="s">
        <v>256</v>
      </c>
      <c r="B48" s="61" t="n">
        <f aca="false">COUNTIFS(tbl_Beneficiaires[Domaine d''intervention],A48)</f>
        <v>0</v>
      </c>
    </row>
    <row r="49" customFormat="false" ht="15" hidden="false" customHeight="true" outlineLevel="0" collapsed="false">
      <c r="A49" s="60" t="s">
        <v>259</v>
      </c>
      <c r="B49" s="61" t="n">
        <f aca="false">COUNTIFS(tbl_Beneficiaires[Domaine d''intervention],A49)</f>
        <v>0</v>
      </c>
    </row>
    <row r="50" customFormat="false" ht="15" hidden="false" customHeight="true" outlineLevel="0" collapsed="false">
      <c r="A50" s="60" t="s">
        <v>262</v>
      </c>
      <c r="B50" s="61" t="n">
        <f aca="false">COUNTIFS(tbl_Beneficiaires[Domaine d''intervention],A50)</f>
        <v>0</v>
      </c>
    </row>
    <row r="51" customFormat="false" ht="15" hidden="false" customHeight="true" outlineLevel="0" collapsed="false">
      <c r="A51" s="60" t="s">
        <v>265</v>
      </c>
      <c r="B51" s="61" t="n">
        <f aca="false">COUNTIFS(tbl_Beneficiaires[Domaine d''intervention],A51)</f>
        <v>0</v>
      </c>
    </row>
    <row r="54" customFormat="false" ht="19.5" hidden="false" customHeight="true" outlineLevel="0" collapsed="false">
      <c r="A54" s="24" t="s">
        <v>1463</v>
      </c>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row>
    <row r="55" customFormat="false" ht="31.5" hidden="false" customHeight="true" outlineLevel="0" collapsed="false">
      <c r="A55" s="59" t="s">
        <v>1464</v>
      </c>
      <c r="B55" s="59" t="s">
        <v>1465</v>
      </c>
      <c r="C55" s="59" t="s">
        <v>1466</v>
      </c>
      <c r="D55" s="59" t="s">
        <v>1467</v>
      </c>
      <c r="E55" s="59" t="s">
        <v>1468</v>
      </c>
      <c r="F55" s="59" t="s">
        <v>1469</v>
      </c>
      <c r="G55" s="59" t="s">
        <v>1299</v>
      </c>
      <c r="H55" s="59" t="s">
        <v>1470</v>
      </c>
      <c r="I55" s="59" t="s">
        <v>1471</v>
      </c>
      <c r="J55" s="59" t="s">
        <v>1472</v>
      </c>
      <c r="K55" s="59" t="s">
        <v>1473</v>
      </c>
      <c r="L55" s="59" t="s">
        <v>1474</v>
      </c>
      <c r="M55" s="59" t="s">
        <v>1475</v>
      </c>
      <c r="N55" s="59" t="s">
        <v>1476</v>
      </c>
      <c r="O55" s="59" t="s">
        <v>1477</v>
      </c>
      <c r="P55" s="59" t="s">
        <v>1478</v>
      </c>
      <c r="Q55" s="59" t="s">
        <v>1479</v>
      </c>
      <c r="R55" s="59" t="s">
        <v>1480</v>
      </c>
      <c r="S55" s="59" t="s">
        <v>1481</v>
      </c>
      <c r="T55" s="59" t="s">
        <v>1482</v>
      </c>
      <c r="U55" s="59" t="s">
        <v>1483</v>
      </c>
      <c r="V55" s="59" t="s">
        <v>1484</v>
      </c>
      <c r="W55" s="59" t="s">
        <v>1485</v>
      </c>
      <c r="X55" s="59" t="s">
        <v>1486</v>
      </c>
      <c r="Y55" s="59" t="s">
        <v>1487</v>
      </c>
      <c r="Z55" s="59" t="s">
        <v>1488</v>
      </c>
      <c r="AA55" s="59" t="s">
        <v>1489</v>
      </c>
      <c r="AB55" s="59" t="s">
        <v>1490</v>
      </c>
      <c r="AC55" s="59" t="s">
        <v>1491</v>
      </c>
      <c r="AD55" s="59" t="s">
        <v>1492</v>
      </c>
      <c r="AE55" s="59" t="s">
        <v>1493</v>
      </c>
      <c r="AF55" s="59" t="s">
        <v>1494</v>
      </c>
      <c r="AG55" s="59" t="s">
        <v>1495</v>
      </c>
      <c r="AH55" s="59" t="s">
        <v>1496</v>
      </c>
      <c r="AI55" s="59" t="s">
        <v>1497</v>
      </c>
      <c r="AJ55" s="59" t="s">
        <v>1498</v>
      </c>
      <c r="AK55" s="59" t="s">
        <v>1499</v>
      </c>
      <c r="AL55" s="59" t="s">
        <v>882</v>
      </c>
      <c r="AM55" s="59" t="s">
        <v>874</v>
      </c>
      <c r="AN55" s="59" t="s">
        <v>876</v>
      </c>
      <c r="AO55" s="59" t="s">
        <v>878</v>
      </c>
      <c r="AP55" s="59" t="s">
        <v>880</v>
      </c>
      <c r="AQ55" s="59" t="s">
        <v>1500</v>
      </c>
      <c r="AR55" s="59" t="s">
        <v>1501</v>
      </c>
      <c r="AS55" s="59" t="s">
        <v>1502</v>
      </c>
      <c r="AT55" s="59" t="s">
        <v>1503</v>
      </c>
      <c r="AU55" s="59" t="s">
        <v>1504</v>
      </c>
      <c r="AV55" s="59" t="s">
        <v>1296</v>
      </c>
      <c r="AW55" s="59" t="s">
        <v>1505</v>
      </c>
      <c r="AX55" s="59" t="s">
        <v>1506</v>
      </c>
      <c r="AY55" s="59" t="s">
        <v>1507</v>
      </c>
      <c r="AZ55" s="59" t="s">
        <v>1508</v>
      </c>
      <c r="BA55" s="59" t="s">
        <v>1459</v>
      </c>
      <c r="BB55" s="59" t="s">
        <v>1509</v>
      </c>
      <c r="BC55" s="59" t="s">
        <v>1510</v>
      </c>
      <c r="BD55" s="59" t="s">
        <v>1511</v>
      </c>
      <c r="BE55" s="59" t="s">
        <v>1512</v>
      </c>
      <c r="BF55" s="59" t="s">
        <v>1513</v>
      </c>
      <c r="BG55" s="59" t="s">
        <v>1514</v>
      </c>
      <c r="BH55" s="59" t="s">
        <v>1515</v>
      </c>
      <c r="BI55" s="59" t="s">
        <v>1516</v>
      </c>
      <c r="BJ55" s="59" t="s">
        <v>1517</v>
      </c>
      <c r="BK55" s="59" t="s">
        <v>1518</v>
      </c>
      <c r="BL55" s="59" t="s">
        <v>1519</v>
      </c>
      <c r="BM55" s="59" t="s">
        <v>1520</v>
      </c>
      <c r="BN55" s="59" t="s">
        <v>1521</v>
      </c>
      <c r="BO55" s="59" t="s">
        <v>1522</v>
      </c>
      <c r="BP55" s="59" t="s">
        <v>1523</v>
      </c>
      <c r="BQ55" s="59" t="s">
        <v>1524</v>
      </c>
      <c r="BR55" s="59" t="s">
        <v>1525</v>
      </c>
      <c r="BS55" s="59" t="s">
        <v>1526</v>
      </c>
      <c r="BT55" s="59" t="s">
        <v>1527</v>
      </c>
      <c r="BU55" s="59" t="s">
        <v>1528</v>
      </c>
      <c r="BV55" s="59" t="s">
        <v>1529</v>
      </c>
      <c r="BW55" s="59" t="s">
        <v>1530</v>
      </c>
      <c r="BX55" s="59" t="s">
        <v>1531</v>
      </c>
      <c r="BY55" s="59" t="s">
        <v>1532</v>
      </c>
      <c r="BZ55" s="59" t="s">
        <v>1533</v>
      </c>
    </row>
    <row r="56" customFormat="false" ht="15" hidden="false" customHeight="true" outlineLevel="0" collapsed="false">
      <c r="A56" s="64" t="str">
        <f aca="false">IF(D56="","","BEN"&amp;TEXT(ROW()-55,"00000"))</f>
        <v>BEN00001</v>
      </c>
      <c r="B56" s="65" t="s">
        <v>1534</v>
      </c>
      <c r="C56" s="65"/>
      <c r="D56" s="65" t="s">
        <v>1535</v>
      </c>
      <c r="E56" s="65" t="s">
        <v>1536</v>
      </c>
      <c r="F56" s="65" t="s">
        <v>1537</v>
      </c>
      <c r="G56" s="64" t="str">
        <f aca="false">TRIM(D56&amp;" "&amp;E56&amp;" "&amp;F56)</f>
        <v>MABIALA Nzoussi Christel</v>
      </c>
      <c r="H56" s="65" t="s">
        <v>434</v>
      </c>
      <c r="I56" s="66" t="n">
        <v>37330</v>
      </c>
      <c r="J56" s="64" t="n">
        <f aca="true">IF(I56="","",DATEDIF(I56,TODAY(),"y"))</f>
        <v>24</v>
      </c>
      <c r="K56" s="64" t="str">
        <f aca="false">IF(J56="","",IF(J56&lt;5,"0-4 ans",IF(J56&lt;10,"5-9 ans",IF(J56&lt;15,"10-14 ans",IF(J56&lt;18,"15-17 ans",IF(J56&lt;25,"18-24 ans",IF(J56&lt;35,"25-34 ans",IF(J56&lt;45,"35-44 ans",IF(J56&lt;55,"45-54 ans",IF(J56&lt;65,"55-64 ans","65 ans et plus"))))))))))</f>
        <v>18-24 ans</v>
      </c>
      <c r="L56" s="65" t="s">
        <v>1538</v>
      </c>
      <c r="M56" s="65"/>
      <c r="N56" s="65"/>
      <c r="O56" s="65"/>
      <c r="P56" s="67"/>
      <c r="Q56" s="65"/>
      <c r="R56" s="67"/>
      <c r="S56" s="67"/>
      <c r="T56" s="67"/>
      <c r="U56" s="67"/>
      <c r="V56" s="65" t="s">
        <v>176</v>
      </c>
      <c r="W56" s="65"/>
      <c r="X56" s="65"/>
      <c r="Y56" s="65"/>
      <c r="Z56" s="65"/>
      <c r="AA56" s="65"/>
      <c r="AB56" s="65"/>
      <c r="AC56" s="65"/>
      <c r="AD56" s="65"/>
      <c r="AE56" s="65"/>
      <c r="AF56" s="65"/>
      <c r="AG56" s="65"/>
      <c r="AH56" s="65"/>
      <c r="AI56" s="65"/>
      <c r="AJ56" s="65"/>
      <c r="AK56" s="65"/>
      <c r="AL56" s="65" t="s">
        <v>890</v>
      </c>
      <c r="AM56" s="64" t="str">
        <f aca="false">IFERROR(INDEX(PARAMETRES!$B$536:$B$586,MATCH(AL56,PARAMETRES!$J$536:$J$586,0)),"")</f>
        <v>Congo</v>
      </c>
      <c r="AN56" s="64" t="str">
        <f aca="false">IFERROR(INDEX(PARAMETRES!$D$536:$D$586,MATCH(AL56,PARAMETRES!$J$536:$J$586,0)),"")</f>
        <v>Brazzaville</v>
      </c>
      <c r="AO56" s="64" t="str">
        <f aca="false">IFERROR(INDEX(PARAMETRES!$F$536:$F$586,MATCH(AL56,PARAMETRES!$J$536:$J$586,0)),"")</f>
        <v>Brazzaville</v>
      </c>
      <c r="AP56" s="64" t="str">
        <f aca="false">IFERROR(INDEX(PARAMETRES!$G$536:$G$586,MATCH(AL56,PARAMETRES!$J$536:$J$586,0)),"")</f>
        <v>ARR01</v>
      </c>
      <c r="AQ56" s="65"/>
      <c r="AR56" s="65"/>
      <c r="AS56" s="65"/>
      <c r="AT56" s="65"/>
      <c r="AU56" s="65"/>
      <c r="AV56" s="65"/>
      <c r="AW56" s="65"/>
      <c r="AX56" s="65"/>
      <c r="AY56" s="65" t="s">
        <v>1539</v>
      </c>
      <c r="AZ56" s="65" t="s">
        <v>1540</v>
      </c>
      <c r="BA56" s="65" t="s">
        <v>146</v>
      </c>
      <c r="BB56" s="66"/>
      <c r="BC56" s="65" t="s">
        <v>56</v>
      </c>
      <c r="BD56" s="65" t="s">
        <v>56</v>
      </c>
      <c r="BE56" s="66" t="n">
        <v>45323</v>
      </c>
      <c r="BF56" s="66"/>
      <c r="BG56" s="65"/>
      <c r="BH56" s="65" t="s">
        <v>148</v>
      </c>
      <c r="BI56" s="65"/>
      <c r="BJ56" s="65"/>
      <c r="BK56" s="65"/>
      <c r="BL56" s="65"/>
      <c r="BM56" s="66"/>
      <c r="BN56" s="65"/>
      <c r="BO56" s="65"/>
      <c r="BP56" s="65"/>
      <c r="BQ56" s="65"/>
      <c r="BR56" s="65"/>
      <c r="BS56" s="65"/>
      <c r="BT56" s="65"/>
      <c r="BU56" s="66"/>
      <c r="BV56" s="64" t="n">
        <f aca="true">IF(BE56="","",DATEDIF(BE56,TODAY(),"y"))</f>
        <v>2</v>
      </c>
      <c r="BW56" s="64" t="n">
        <f aca="false">COUNTIF(tbl_Beneficiaires_Activites[ID Beneficiaire],A56)</f>
        <v>0</v>
      </c>
      <c r="BX56" s="64" t="n">
        <f aca="false">COUNTIF(tbl_Beneficiaires_Appuis[ID Beneficiaire],A56)</f>
        <v>0</v>
      </c>
      <c r="BY56" s="64" t="str">
        <f aca="false">IF(D56="","",IF(COUNTIFS($D$56:$D$115,D56,$F$56:$F$115,F56,$I$56:$I$115,I56)&gt;1,"DOUBLON POSSIBLE","OK"))</f>
        <v>OK</v>
      </c>
      <c r="BZ56" s="65"/>
    </row>
    <row r="57" customFormat="false" ht="15" hidden="false" customHeight="true" outlineLevel="0" collapsed="false">
      <c r="A57" s="64" t="str">
        <f aca="false">IF(D57="","","BEN"&amp;TEXT(ROW()-55,"00000"))</f>
        <v/>
      </c>
      <c r="B57" s="65"/>
      <c r="C57" s="65"/>
      <c r="D57" s="65"/>
      <c r="E57" s="65"/>
      <c r="F57" s="65"/>
      <c r="G57" s="64" t="str">
        <f aca="false">TRIM(D57&amp;" "&amp;E57&amp;" "&amp;F57)</f>
        <v/>
      </c>
      <c r="H57" s="65"/>
      <c r="I57" s="66"/>
      <c r="J57" s="64" t="str">
        <f aca="true">IF(I57="","",DATEDIF(I57,TODAY(),"y"))</f>
        <v/>
      </c>
      <c r="K57" s="64" t="str">
        <f aca="false">IF(J57="","",IF(J57&lt;5,"0-4 ans",IF(J57&lt;10,"5-9 ans",IF(J57&lt;15,"10-14 ans",IF(J57&lt;18,"15-17 ans",IF(J57&lt;25,"18-24 ans",IF(J57&lt;35,"25-34 ans",IF(J57&lt;45,"35-44 ans",IF(J57&lt;55,"45-54 ans",IF(J57&lt;65,"55-64 ans","65 ans et plus"))))))))))</f>
        <v/>
      </c>
      <c r="L57" s="65"/>
      <c r="M57" s="65"/>
      <c r="N57" s="65"/>
      <c r="O57" s="65"/>
      <c r="P57" s="67"/>
      <c r="Q57" s="65"/>
      <c r="R57" s="67"/>
      <c r="S57" s="67"/>
      <c r="T57" s="67"/>
      <c r="U57" s="67"/>
      <c r="V57" s="65"/>
      <c r="W57" s="65"/>
      <c r="X57" s="65"/>
      <c r="Y57" s="65"/>
      <c r="Z57" s="65"/>
      <c r="AA57" s="65"/>
      <c r="AB57" s="65"/>
      <c r="AC57" s="65"/>
      <c r="AD57" s="65"/>
      <c r="AE57" s="65"/>
      <c r="AF57" s="65"/>
      <c r="AG57" s="65"/>
      <c r="AH57" s="65"/>
      <c r="AI57" s="65"/>
      <c r="AJ57" s="65"/>
      <c r="AK57" s="65"/>
      <c r="AL57" s="65"/>
      <c r="AM57" s="64" t="str">
        <f aca="false">IFERROR(INDEX(PARAMETRES!$B$536:$B$586,MATCH(AL57,PARAMETRES!$J$536:$J$586,0)),"")</f>
        <v/>
      </c>
      <c r="AN57" s="64" t="str">
        <f aca="false">IFERROR(INDEX(PARAMETRES!$D$536:$D$586,MATCH(AL57,PARAMETRES!$J$536:$J$586,0)),"")</f>
        <v/>
      </c>
      <c r="AO57" s="64" t="str">
        <f aca="false">IFERROR(INDEX(PARAMETRES!$F$536:$F$586,MATCH(AL57,PARAMETRES!$J$536:$J$586,0)),"")</f>
        <v/>
      </c>
      <c r="AP57" s="64" t="str">
        <f aca="false">IFERROR(INDEX(PARAMETRES!$G$536:$G$586,MATCH(AL57,PARAMETRES!$J$536:$J$586,0)),"")</f>
        <v/>
      </c>
      <c r="AQ57" s="65"/>
      <c r="AR57" s="65"/>
      <c r="AS57" s="65"/>
      <c r="AT57" s="65"/>
      <c r="AU57" s="65"/>
      <c r="AV57" s="65"/>
      <c r="AW57" s="65"/>
      <c r="AX57" s="65"/>
      <c r="AY57" s="65"/>
      <c r="AZ57" s="65"/>
      <c r="BA57" s="65"/>
      <c r="BB57" s="66"/>
      <c r="BC57" s="65"/>
      <c r="BD57" s="65"/>
      <c r="BE57" s="66"/>
      <c r="BF57" s="66"/>
      <c r="BG57" s="65"/>
      <c r="BH57" s="65"/>
      <c r="BI57" s="65"/>
      <c r="BJ57" s="65"/>
      <c r="BK57" s="65"/>
      <c r="BL57" s="65"/>
      <c r="BM57" s="66"/>
      <c r="BN57" s="65"/>
      <c r="BO57" s="65"/>
      <c r="BP57" s="65"/>
      <c r="BQ57" s="65"/>
      <c r="BR57" s="65"/>
      <c r="BS57" s="65"/>
      <c r="BT57" s="65"/>
      <c r="BU57" s="66"/>
      <c r="BV57" s="64" t="str">
        <f aca="true">IF(BE57="","",DATEDIF(BE57,TODAY(),"y"))</f>
        <v/>
      </c>
      <c r="BW57" s="64" t="n">
        <f aca="false">COUNTIF(tbl_Beneficiaires_Activites[ID Beneficiaire],A57)</f>
        <v>40</v>
      </c>
      <c r="BX57" s="64" t="n">
        <f aca="false">COUNTIF(tbl_Beneficiaires_Appuis[ID Beneficiaire],A57)</f>
        <v>40</v>
      </c>
      <c r="BY57" s="64" t="str">
        <f aca="false">IF(D57="","",IF(COUNTIFS($D$56:$D$115,D57,$F$56:$F$115,F57,$I$56:$I$115,I57)&gt;1,"DOUBLON POSSIBLE","OK"))</f>
        <v/>
      </c>
      <c r="BZ57" s="65"/>
    </row>
    <row r="58" customFormat="false" ht="15" hidden="false" customHeight="true" outlineLevel="0" collapsed="false">
      <c r="A58" s="64" t="str">
        <f aca="false">IF(D58="","","BEN"&amp;TEXT(ROW()-55,"00000"))</f>
        <v/>
      </c>
      <c r="B58" s="65"/>
      <c r="C58" s="65"/>
      <c r="D58" s="65"/>
      <c r="E58" s="65"/>
      <c r="F58" s="65"/>
      <c r="G58" s="64" t="str">
        <f aca="false">TRIM(D58&amp;" "&amp;E58&amp;" "&amp;F58)</f>
        <v/>
      </c>
      <c r="H58" s="65"/>
      <c r="I58" s="66"/>
      <c r="J58" s="64" t="str">
        <f aca="true">IF(I58="","",DATEDIF(I58,TODAY(),"y"))</f>
        <v/>
      </c>
      <c r="K58" s="64" t="str">
        <f aca="false">IF(J58="","",IF(J58&lt;5,"0-4 ans",IF(J58&lt;10,"5-9 ans",IF(J58&lt;15,"10-14 ans",IF(J58&lt;18,"15-17 ans",IF(J58&lt;25,"18-24 ans",IF(J58&lt;35,"25-34 ans",IF(J58&lt;45,"35-44 ans",IF(J58&lt;55,"45-54 ans",IF(J58&lt;65,"55-64 ans","65 ans et plus"))))))))))</f>
        <v/>
      </c>
      <c r="L58" s="65"/>
      <c r="M58" s="65"/>
      <c r="N58" s="65"/>
      <c r="O58" s="65"/>
      <c r="P58" s="67"/>
      <c r="Q58" s="65"/>
      <c r="R58" s="67"/>
      <c r="S58" s="67"/>
      <c r="T58" s="67"/>
      <c r="U58" s="67"/>
      <c r="V58" s="65"/>
      <c r="W58" s="65"/>
      <c r="X58" s="65"/>
      <c r="Y58" s="65"/>
      <c r="Z58" s="65"/>
      <c r="AA58" s="65"/>
      <c r="AB58" s="65"/>
      <c r="AC58" s="65"/>
      <c r="AD58" s="65"/>
      <c r="AE58" s="65"/>
      <c r="AF58" s="65"/>
      <c r="AG58" s="65"/>
      <c r="AH58" s="65"/>
      <c r="AI58" s="65"/>
      <c r="AJ58" s="65"/>
      <c r="AK58" s="65"/>
      <c r="AL58" s="65"/>
      <c r="AM58" s="64" t="str">
        <f aca="false">IFERROR(INDEX(PARAMETRES!$B$536:$B$586,MATCH(AL58,PARAMETRES!$J$536:$J$586,0)),"")</f>
        <v/>
      </c>
      <c r="AN58" s="64" t="str">
        <f aca="false">IFERROR(INDEX(PARAMETRES!$D$536:$D$586,MATCH(AL58,PARAMETRES!$J$536:$J$586,0)),"")</f>
        <v/>
      </c>
      <c r="AO58" s="64" t="str">
        <f aca="false">IFERROR(INDEX(PARAMETRES!$F$536:$F$586,MATCH(AL58,PARAMETRES!$J$536:$J$586,0)),"")</f>
        <v/>
      </c>
      <c r="AP58" s="64" t="str">
        <f aca="false">IFERROR(INDEX(PARAMETRES!$G$536:$G$586,MATCH(AL58,PARAMETRES!$J$536:$J$586,0)),"")</f>
        <v/>
      </c>
      <c r="AQ58" s="65"/>
      <c r="AR58" s="65"/>
      <c r="AS58" s="65"/>
      <c r="AT58" s="65"/>
      <c r="AU58" s="65"/>
      <c r="AV58" s="65"/>
      <c r="AW58" s="65"/>
      <c r="AX58" s="65"/>
      <c r="AY58" s="65"/>
      <c r="AZ58" s="65"/>
      <c r="BA58" s="65"/>
      <c r="BB58" s="66"/>
      <c r="BC58" s="65"/>
      <c r="BD58" s="65"/>
      <c r="BE58" s="66"/>
      <c r="BF58" s="66"/>
      <c r="BG58" s="65"/>
      <c r="BH58" s="65"/>
      <c r="BI58" s="65"/>
      <c r="BJ58" s="65"/>
      <c r="BK58" s="65"/>
      <c r="BL58" s="65"/>
      <c r="BM58" s="66"/>
      <c r="BN58" s="65"/>
      <c r="BO58" s="65"/>
      <c r="BP58" s="65"/>
      <c r="BQ58" s="65"/>
      <c r="BR58" s="65"/>
      <c r="BS58" s="65"/>
      <c r="BT58" s="65"/>
      <c r="BU58" s="66"/>
      <c r="BV58" s="64" t="str">
        <f aca="true">IF(BE58="","",DATEDIF(BE58,TODAY(),"y"))</f>
        <v/>
      </c>
      <c r="BW58" s="64" t="n">
        <f aca="false">COUNTIF(tbl_Beneficiaires_Activites[ID Beneficiaire],A58)</f>
        <v>40</v>
      </c>
      <c r="BX58" s="64" t="n">
        <f aca="false">COUNTIF(tbl_Beneficiaires_Appuis[ID Beneficiaire],A58)</f>
        <v>40</v>
      </c>
      <c r="BY58" s="64" t="str">
        <f aca="false">IF(D58="","",IF(COUNTIFS($D$56:$D$115,D58,$F$56:$F$115,F58,$I$56:$I$115,I58)&gt;1,"DOUBLON POSSIBLE","OK"))</f>
        <v/>
      </c>
      <c r="BZ58" s="65"/>
    </row>
    <row r="59" customFormat="false" ht="15" hidden="false" customHeight="true" outlineLevel="0" collapsed="false">
      <c r="A59" s="64" t="str">
        <f aca="false">IF(D59="","","BEN"&amp;TEXT(ROW()-55,"00000"))</f>
        <v/>
      </c>
      <c r="B59" s="65"/>
      <c r="C59" s="65"/>
      <c r="D59" s="65"/>
      <c r="E59" s="65"/>
      <c r="F59" s="65"/>
      <c r="G59" s="64" t="str">
        <f aca="false">TRIM(D59&amp;" "&amp;E59&amp;" "&amp;F59)</f>
        <v/>
      </c>
      <c r="H59" s="65"/>
      <c r="I59" s="66"/>
      <c r="J59" s="64" t="str">
        <f aca="true">IF(I59="","",DATEDIF(I59,TODAY(),"y"))</f>
        <v/>
      </c>
      <c r="K59" s="64" t="str">
        <f aca="false">IF(J59="","",IF(J59&lt;5,"0-4 ans",IF(J59&lt;10,"5-9 ans",IF(J59&lt;15,"10-14 ans",IF(J59&lt;18,"15-17 ans",IF(J59&lt;25,"18-24 ans",IF(J59&lt;35,"25-34 ans",IF(J59&lt;45,"35-44 ans",IF(J59&lt;55,"45-54 ans",IF(J59&lt;65,"55-64 ans","65 ans et plus"))))))))))</f>
        <v/>
      </c>
      <c r="L59" s="65"/>
      <c r="M59" s="65"/>
      <c r="N59" s="65"/>
      <c r="O59" s="65"/>
      <c r="P59" s="67"/>
      <c r="Q59" s="65"/>
      <c r="R59" s="67"/>
      <c r="S59" s="67"/>
      <c r="T59" s="67"/>
      <c r="U59" s="67"/>
      <c r="V59" s="65"/>
      <c r="W59" s="65"/>
      <c r="X59" s="65"/>
      <c r="Y59" s="65"/>
      <c r="Z59" s="65"/>
      <c r="AA59" s="65"/>
      <c r="AB59" s="65"/>
      <c r="AC59" s="65"/>
      <c r="AD59" s="65"/>
      <c r="AE59" s="65"/>
      <c r="AF59" s="65"/>
      <c r="AG59" s="65"/>
      <c r="AH59" s="65"/>
      <c r="AI59" s="65"/>
      <c r="AJ59" s="65"/>
      <c r="AK59" s="65"/>
      <c r="AL59" s="65"/>
      <c r="AM59" s="64" t="str">
        <f aca="false">IFERROR(INDEX(PARAMETRES!$B$536:$B$586,MATCH(AL59,PARAMETRES!$J$536:$J$586,0)),"")</f>
        <v/>
      </c>
      <c r="AN59" s="64" t="str">
        <f aca="false">IFERROR(INDEX(PARAMETRES!$D$536:$D$586,MATCH(AL59,PARAMETRES!$J$536:$J$586,0)),"")</f>
        <v/>
      </c>
      <c r="AO59" s="64" t="str">
        <f aca="false">IFERROR(INDEX(PARAMETRES!$F$536:$F$586,MATCH(AL59,PARAMETRES!$J$536:$J$586,0)),"")</f>
        <v/>
      </c>
      <c r="AP59" s="64" t="str">
        <f aca="false">IFERROR(INDEX(PARAMETRES!$G$536:$G$586,MATCH(AL59,PARAMETRES!$J$536:$J$586,0)),"")</f>
        <v/>
      </c>
      <c r="AQ59" s="65"/>
      <c r="AR59" s="65"/>
      <c r="AS59" s="65"/>
      <c r="AT59" s="65"/>
      <c r="AU59" s="65"/>
      <c r="AV59" s="65"/>
      <c r="AW59" s="65"/>
      <c r="AX59" s="65"/>
      <c r="AY59" s="65"/>
      <c r="AZ59" s="65"/>
      <c r="BA59" s="65"/>
      <c r="BB59" s="66"/>
      <c r="BC59" s="65"/>
      <c r="BD59" s="65"/>
      <c r="BE59" s="66"/>
      <c r="BF59" s="66"/>
      <c r="BG59" s="65"/>
      <c r="BH59" s="65"/>
      <c r="BI59" s="65"/>
      <c r="BJ59" s="65"/>
      <c r="BK59" s="65"/>
      <c r="BL59" s="65"/>
      <c r="BM59" s="66"/>
      <c r="BN59" s="65"/>
      <c r="BO59" s="65"/>
      <c r="BP59" s="65"/>
      <c r="BQ59" s="65"/>
      <c r="BR59" s="65"/>
      <c r="BS59" s="65"/>
      <c r="BT59" s="65"/>
      <c r="BU59" s="66"/>
      <c r="BV59" s="64" t="str">
        <f aca="true">IF(BE59="","",DATEDIF(BE59,TODAY(),"y"))</f>
        <v/>
      </c>
      <c r="BW59" s="64" t="n">
        <f aca="false">COUNTIF(tbl_Beneficiaires_Activites[ID Beneficiaire],A59)</f>
        <v>40</v>
      </c>
      <c r="BX59" s="64" t="n">
        <f aca="false">COUNTIF(tbl_Beneficiaires_Appuis[ID Beneficiaire],A59)</f>
        <v>40</v>
      </c>
      <c r="BY59" s="64" t="str">
        <f aca="false">IF(D59="","",IF(COUNTIFS($D$56:$D$115,D59,$F$56:$F$115,F59,$I$56:$I$115,I59)&gt;1,"DOUBLON POSSIBLE","OK"))</f>
        <v/>
      </c>
      <c r="BZ59" s="65"/>
    </row>
    <row r="60" customFormat="false" ht="15" hidden="false" customHeight="true" outlineLevel="0" collapsed="false">
      <c r="A60" s="64" t="str">
        <f aca="false">IF(D60="","","BEN"&amp;TEXT(ROW()-55,"00000"))</f>
        <v/>
      </c>
      <c r="B60" s="65"/>
      <c r="C60" s="65"/>
      <c r="D60" s="65"/>
      <c r="E60" s="65"/>
      <c r="F60" s="65"/>
      <c r="G60" s="64" t="str">
        <f aca="false">TRIM(D60&amp;" "&amp;E60&amp;" "&amp;F60)</f>
        <v/>
      </c>
      <c r="H60" s="65"/>
      <c r="I60" s="66"/>
      <c r="J60" s="64" t="str">
        <f aca="true">IF(I60="","",DATEDIF(I60,TODAY(),"y"))</f>
        <v/>
      </c>
      <c r="K60" s="64" t="str">
        <f aca="false">IF(J60="","",IF(J60&lt;5,"0-4 ans",IF(J60&lt;10,"5-9 ans",IF(J60&lt;15,"10-14 ans",IF(J60&lt;18,"15-17 ans",IF(J60&lt;25,"18-24 ans",IF(J60&lt;35,"25-34 ans",IF(J60&lt;45,"35-44 ans",IF(J60&lt;55,"45-54 ans",IF(J60&lt;65,"55-64 ans","65 ans et plus"))))))))))</f>
        <v/>
      </c>
      <c r="L60" s="65"/>
      <c r="M60" s="65"/>
      <c r="N60" s="65"/>
      <c r="O60" s="65"/>
      <c r="P60" s="67"/>
      <c r="Q60" s="65"/>
      <c r="R60" s="67"/>
      <c r="S60" s="67"/>
      <c r="T60" s="67"/>
      <c r="U60" s="67"/>
      <c r="V60" s="65"/>
      <c r="W60" s="65"/>
      <c r="X60" s="65"/>
      <c r="Y60" s="65"/>
      <c r="Z60" s="65"/>
      <c r="AA60" s="65"/>
      <c r="AB60" s="65"/>
      <c r="AC60" s="65"/>
      <c r="AD60" s="65"/>
      <c r="AE60" s="65"/>
      <c r="AF60" s="65"/>
      <c r="AG60" s="65"/>
      <c r="AH60" s="65"/>
      <c r="AI60" s="65"/>
      <c r="AJ60" s="65"/>
      <c r="AK60" s="65"/>
      <c r="AL60" s="65"/>
      <c r="AM60" s="64" t="str">
        <f aca="false">IFERROR(INDEX(PARAMETRES!$B$536:$B$586,MATCH(AL60,PARAMETRES!$J$536:$J$586,0)),"")</f>
        <v/>
      </c>
      <c r="AN60" s="64" t="str">
        <f aca="false">IFERROR(INDEX(PARAMETRES!$D$536:$D$586,MATCH(AL60,PARAMETRES!$J$536:$J$586,0)),"")</f>
        <v/>
      </c>
      <c r="AO60" s="64" t="str">
        <f aca="false">IFERROR(INDEX(PARAMETRES!$F$536:$F$586,MATCH(AL60,PARAMETRES!$J$536:$J$586,0)),"")</f>
        <v/>
      </c>
      <c r="AP60" s="64" t="str">
        <f aca="false">IFERROR(INDEX(PARAMETRES!$G$536:$G$586,MATCH(AL60,PARAMETRES!$J$536:$J$586,0)),"")</f>
        <v/>
      </c>
      <c r="AQ60" s="65"/>
      <c r="AR60" s="65"/>
      <c r="AS60" s="65"/>
      <c r="AT60" s="65"/>
      <c r="AU60" s="65"/>
      <c r="AV60" s="65"/>
      <c r="AW60" s="65"/>
      <c r="AX60" s="65"/>
      <c r="AY60" s="65"/>
      <c r="AZ60" s="65"/>
      <c r="BA60" s="65"/>
      <c r="BB60" s="66"/>
      <c r="BC60" s="65"/>
      <c r="BD60" s="65"/>
      <c r="BE60" s="66"/>
      <c r="BF60" s="66"/>
      <c r="BG60" s="65"/>
      <c r="BH60" s="65"/>
      <c r="BI60" s="65"/>
      <c r="BJ60" s="65"/>
      <c r="BK60" s="65"/>
      <c r="BL60" s="65"/>
      <c r="BM60" s="66"/>
      <c r="BN60" s="65"/>
      <c r="BO60" s="65"/>
      <c r="BP60" s="65"/>
      <c r="BQ60" s="65"/>
      <c r="BR60" s="65"/>
      <c r="BS60" s="65"/>
      <c r="BT60" s="65"/>
      <c r="BU60" s="66"/>
      <c r="BV60" s="64" t="str">
        <f aca="true">IF(BE60="","",DATEDIF(BE60,TODAY(),"y"))</f>
        <v/>
      </c>
      <c r="BW60" s="64" t="n">
        <f aca="false">COUNTIF(tbl_Beneficiaires_Activites[ID Beneficiaire],A60)</f>
        <v>40</v>
      </c>
      <c r="BX60" s="64" t="n">
        <f aca="false">COUNTIF(tbl_Beneficiaires_Appuis[ID Beneficiaire],A60)</f>
        <v>40</v>
      </c>
      <c r="BY60" s="64" t="str">
        <f aca="false">IF(D60="","",IF(COUNTIFS($D$56:$D$115,D60,$F$56:$F$115,F60,$I$56:$I$115,I60)&gt;1,"DOUBLON POSSIBLE","OK"))</f>
        <v/>
      </c>
      <c r="BZ60" s="65"/>
    </row>
    <row r="61" customFormat="false" ht="15" hidden="false" customHeight="true" outlineLevel="0" collapsed="false">
      <c r="A61" s="64" t="str">
        <f aca="false">IF(D61="","","BEN"&amp;TEXT(ROW()-55,"00000"))</f>
        <v/>
      </c>
      <c r="B61" s="65"/>
      <c r="C61" s="65"/>
      <c r="D61" s="65"/>
      <c r="E61" s="65"/>
      <c r="F61" s="65"/>
      <c r="G61" s="64" t="str">
        <f aca="false">TRIM(D61&amp;" "&amp;E61&amp;" "&amp;F61)</f>
        <v/>
      </c>
      <c r="H61" s="65"/>
      <c r="I61" s="66"/>
      <c r="J61" s="64" t="str">
        <f aca="true">IF(I61="","",DATEDIF(I61,TODAY(),"y"))</f>
        <v/>
      </c>
      <c r="K61" s="64" t="str">
        <f aca="false">IF(J61="","",IF(J61&lt;5,"0-4 ans",IF(J61&lt;10,"5-9 ans",IF(J61&lt;15,"10-14 ans",IF(J61&lt;18,"15-17 ans",IF(J61&lt;25,"18-24 ans",IF(J61&lt;35,"25-34 ans",IF(J61&lt;45,"35-44 ans",IF(J61&lt;55,"45-54 ans",IF(J61&lt;65,"55-64 ans","65 ans et plus"))))))))))</f>
        <v/>
      </c>
      <c r="L61" s="65"/>
      <c r="M61" s="65"/>
      <c r="N61" s="65"/>
      <c r="O61" s="65"/>
      <c r="P61" s="67"/>
      <c r="Q61" s="65"/>
      <c r="R61" s="67"/>
      <c r="S61" s="67"/>
      <c r="T61" s="67"/>
      <c r="U61" s="67"/>
      <c r="V61" s="65"/>
      <c r="W61" s="65"/>
      <c r="X61" s="65"/>
      <c r="Y61" s="65"/>
      <c r="Z61" s="65"/>
      <c r="AA61" s="65"/>
      <c r="AB61" s="65"/>
      <c r="AC61" s="65"/>
      <c r="AD61" s="65"/>
      <c r="AE61" s="65"/>
      <c r="AF61" s="65"/>
      <c r="AG61" s="65"/>
      <c r="AH61" s="65"/>
      <c r="AI61" s="65"/>
      <c r="AJ61" s="65"/>
      <c r="AK61" s="65"/>
      <c r="AL61" s="65"/>
      <c r="AM61" s="64" t="str">
        <f aca="false">IFERROR(INDEX(PARAMETRES!$B$536:$B$586,MATCH(AL61,PARAMETRES!$J$536:$J$586,0)),"")</f>
        <v/>
      </c>
      <c r="AN61" s="64" t="str">
        <f aca="false">IFERROR(INDEX(PARAMETRES!$D$536:$D$586,MATCH(AL61,PARAMETRES!$J$536:$J$586,0)),"")</f>
        <v/>
      </c>
      <c r="AO61" s="64" t="str">
        <f aca="false">IFERROR(INDEX(PARAMETRES!$F$536:$F$586,MATCH(AL61,PARAMETRES!$J$536:$J$586,0)),"")</f>
        <v/>
      </c>
      <c r="AP61" s="64" t="str">
        <f aca="false">IFERROR(INDEX(PARAMETRES!$G$536:$G$586,MATCH(AL61,PARAMETRES!$J$536:$J$586,0)),"")</f>
        <v/>
      </c>
      <c r="AQ61" s="65"/>
      <c r="AR61" s="65"/>
      <c r="AS61" s="65"/>
      <c r="AT61" s="65"/>
      <c r="AU61" s="65"/>
      <c r="AV61" s="65"/>
      <c r="AW61" s="65"/>
      <c r="AX61" s="65"/>
      <c r="AY61" s="65"/>
      <c r="AZ61" s="65"/>
      <c r="BA61" s="65"/>
      <c r="BB61" s="66"/>
      <c r="BC61" s="65"/>
      <c r="BD61" s="65"/>
      <c r="BE61" s="66"/>
      <c r="BF61" s="66"/>
      <c r="BG61" s="65"/>
      <c r="BH61" s="65"/>
      <c r="BI61" s="65"/>
      <c r="BJ61" s="65"/>
      <c r="BK61" s="65"/>
      <c r="BL61" s="65"/>
      <c r="BM61" s="66"/>
      <c r="BN61" s="65"/>
      <c r="BO61" s="65"/>
      <c r="BP61" s="65"/>
      <c r="BQ61" s="65"/>
      <c r="BR61" s="65"/>
      <c r="BS61" s="65"/>
      <c r="BT61" s="65"/>
      <c r="BU61" s="66"/>
      <c r="BV61" s="64" t="str">
        <f aca="true">IF(BE61="","",DATEDIF(BE61,TODAY(),"y"))</f>
        <v/>
      </c>
      <c r="BW61" s="64" t="n">
        <f aca="false">COUNTIF(tbl_Beneficiaires_Activites[ID Beneficiaire],A61)</f>
        <v>40</v>
      </c>
      <c r="BX61" s="64" t="n">
        <f aca="false">COUNTIF(tbl_Beneficiaires_Appuis[ID Beneficiaire],A61)</f>
        <v>40</v>
      </c>
      <c r="BY61" s="64" t="str">
        <f aca="false">IF(D61="","",IF(COUNTIFS($D$56:$D$115,D61,$F$56:$F$115,F61,$I$56:$I$115,I61)&gt;1,"DOUBLON POSSIBLE","OK"))</f>
        <v/>
      </c>
      <c r="BZ61" s="65"/>
    </row>
    <row r="62" customFormat="false" ht="15" hidden="false" customHeight="true" outlineLevel="0" collapsed="false">
      <c r="A62" s="64" t="str">
        <f aca="false">IF(D62="","","BEN"&amp;TEXT(ROW()-55,"00000"))</f>
        <v/>
      </c>
      <c r="B62" s="65"/>
      <c r="C62" s="65"/>
      <c r="D62" s="65"/>
      <c r="E62" s="65"/>
      <c r="F62" s="65"/>
      <c r="G62" s="64" t="str">
        <f aca="false">TRIM(D62&amp;" "&amp;E62&amp;" "&amp;F62)</f>
        <v/>
      </c>
      <c r="H62" s="65"/>
      <c r="I62" s="66"/>
      <c r="J62" s="64" t="str">
        <f aca="true">IF(I62="","",DATEDIF(I62,TODAY(),"y"))</f>
        <v/>
      </c>
      <c r="K62" s="64" t="str">
        <f aca="false">IF(J62="","",IF(J62&lt;5,"0-4 ans",IF(J62&lt;10,"5-9 ans",IF(J62&lt;15,"10-14 ans",IF(J62&lt;18,"15-17 ans",IF(J62&lt;25,"18-24 ans",IF(J62&lt;35,"25-34 ans",IF(J62&lt;45,"35-44 ans",IF(J62&lt;55,"45-54 ans",IF(J62&lt;65,"55-64 ans","65 ans et plus"))))))))))</f>
        <v/>
      </c>
      <c r="L62" s="65"/>
      <c r="M62" s="65"/>
      <c r="N62" s="65"/>
      <c r="O62" s="65"/>
      <c r="P62" s="67"/>
      <c r="Q62" s="65"/>
      <c r="R62" s="67"/>
      <c r="S62" s="67"/>
      <c r="T62" s="67"/>
      <c r="U62" s="67"/>
      <c r="V62" s="65"/>
      <c r="W62" s="65"/>
      <c r="X62" s="65"/>
      <c r="Y62" s="65"/>
      <c r="Z62" s="65"/>
      <c r="AA62" s="65"/>
      <c r="AB62" s="65"/>
      <c r="AC62" s="65"/>
      <c r="AD62" s="65"/>
      <c r="AE62" s="65"/>
      <c r="AF62" s="65"/>
      <c r="AG62" s="65"/>
      <c r="AH62" s="65"/>
      <c r="AI62" s="65"/>
      <c r="AJ62" s="65"/>
      <c r="AK62" s="65"/>
      <c r="AL62" s="65"/>
      <c r="AM62" s="64" t="str">
        <f aca="false">IFERROR(INDEX(PARAMETRES!$B$536:$B$586,MATCH(AL62,PARAMETRES!$J$536:$J$586,0)),"")</f>
        <v/>
      </c>
      <c r="AN62" s="64" t="str">
        <f aca="false">IFERROR(INDEX(PARAMETRES!$D$536:$D$586,MATCH(AL62,PARAMETRES!$J$536:$J$586,0)),"")</f>
        <v/>
      </c>
      <c r="AO62" s="64" t="str">
        <f aca="false">IFERROR(INDEX(PARAMETRES!$F$536:$F$586,MATCH(AL62,PARAMETRES!$J$536:$J$586,0)),"")</f>
        <v/>
      </c>
      <c r="AP62" s="64" t="str">
        <f aca="false">IFERROR(INDEX(PARAMETRES!$G$536:$G$586,MATCH(AL62,PARAMETRES!$J$536:$J$586,0)),"")</f>
        <v/>
      </c>
      <c r="AQ62" s="65"/>
      <c r="AR62" s="65"/>
      <c r="AS62" s="65"/>
      <c r="AT62" s="65"/>
      <c r="AU62" s="65"/>
      <c r="AV62" s="65"/>
      <c r="AW62" s="65"/>
      <c r="AX62" s="65"/>
      <c r="AY62" s="65"/>
      <c r="AZ62" s="65"/>
      <c r="BA62" s="65"/>
      <c r="BB62" s="66"/>
      <c r="BC62" s="65"/>
      <c r="BD62" s="65"/>
      <c r="BE62" s="66"/>
      <c r="BF62" s="66"/>
      <c r="BG62" s="65"/>
      <c r="BH62" s="65"/>
      <c r="BI62" s="65"/>
      <c r="BJ62" s="65"/>
      <c r="BK62" s="65"/>
      <c r="BL62" s="65"/>
      <c r="BM62" s="66"/>
      <c r="BN62" s="65"/>
      <c r="BO62" s="65"/>
      <c r="BP62" s="65"/>
      <c r="BQ62" s="65"/>
      <c r="BR62" s="65"/>
      <c r="BS62" s="65"/>
      <c r="BT62" s="65"/>
      <c r="BU62" s="66"/>
      <c r="BV62" s="64" t="str">
        <f aca="true">IF(BE62="","",DATEDIF(BE62,TODAY(),"y"))</f>
        <v/>
      </c>
      <c r="BW62" s="64" t="n">
        <f aca="false">COUNTIF(tbl_Beneficiaires_Activites[ID Beneficiaire],A62)</f>
        <v>40</v>
      </c>
      <c r="BX62" s="64" t="n">
        <f aca="false">COUNTIF(tbl_Beneficiaires_Appuis[ID Beneficiaire],A62)</f>
        <v>40</v>
      </c>
      <c r="BY62" s="64" t="str">
        <f aca="false">IF(D62="","",IF(COUNTIFS($D$56:$D$115,D62,$F$56:$F$115,F62,$I$56:$I$115,I62)&gt;1,"DOUBLON POSSIBLE","OK"))</f>
        <v/>
      </c>
      <c r="BZ62" s="65"/>
    </row>
    <row r="63" customFormat="false" ht="15" hidden="false" customHeight="true" outlineLevel="0" collapsed="false">
      <c r="A63" s="64" t="str">
        <f aca="false">IF(D63="","","BEN"&amp;TEXT(ROW()-55,"00000"))</f>
        <v/>
      </c>
      <c r="B63" s="65"/>
      <c r="C63" s="65"/>
      <c r="D63" s="65"/>
      <c r="E63" s="65"/>
      <c r="F63" s="65"/>
      <c r="G63" s="64" t="str">
        <f aca="false">TRIM(D63&amp;" "&amp;E63&amp;" "&amp;F63)</f>
        <v/>
      </c>
      <c r="H63" s="65"/>
      <c r="I63" s="66"/>
      <c r="J63" s="64" t="str">
        <f aca="true">IF(I63="","",DATEDIF(I63,TODAY(),"y"))</f>
        <v/>
      </c>
      <c r="K63" s="64" t="str">
        <f aca="false">IF(J63="","",IF(J63&lt;5,"0-4 ans",IF(J63&lt;10,"5-9 ans",IF(J63&lt;15,"10-14 ans",IF(J63&lt;18,"15-17 ans",IF(J63&lt;25,"18-24 ans",IF(J63&lt;35,"25-34 ans",IF(J63&lt;45,"35-44 ans",IF(J63&lt;55,"45-54 ans",IF(J63&lt;65,"55-64 ans","65 ans et plus"))))))))))</f>
        <v/>
      </c>
      <c r="L63" s="65"/>
      <c r="M63" s="65"/>
      <c r="N63" s="65"/>
      <c r="O63" s="65"/>
      <c r="P63" s="67"/>
      <c r="Q63" s="65"/>
      <c r="R63" s="67"/>
      <c r="S63" s="67"/>
      <c r="T63" s="67"/>
      <c r="U63" s="67"/>
      <c r="V63" s="65"/>
      <c r="W63" s="65"/>
      <c r="X63" s="65"/>
      <c r="Y63" s="65"/>
      <c r="Z63" s="65"/>
      <c r="AA63" s="65"/>
      <c r="AB63" s="65"/>
      <c r="AC63" s="65"/>
      <c r="AD63" s="65"/>
      <c r="AE63" s="65"/>
      <c r="AF63" s="65"/>
      <c r="AG63" s="65"/>
      <c r="AH63" s="65"/>
      <c r="AI63" s="65"/>
      <c r="AJ63" s="65"/>
      <c r="AK63" s="65"/>
      <c r="AL63" s="65"/>
      <c r="AM63" s="64" t="str">
        <f aca="false">IFERROR(INDEX(PARAMETRES!$B$536:$B$586,MATCH(AL63,PARAMETRES!$J$536:$J$586,0)),"")</f>
        <v/>
      </c>
      <c r="AN63" s="64" t="str">
        <f aca="false">IFERROR(INDEX(PARAMETRES!$D$536:$D$586,MATCH(AL63,PARAMETRES!$J$536:$J$586,0)),"")</f>
        <v/>
      </c>
      <c r="AO63" s="64" t="str">
        <f aca="false">IFERROR(INDEX(PARAMETRES!$F$536:$F$586,MATCH(AL63,PARAMETRES!$J$536:$J$586,0)),"")</f>
        <v/>
      </c>
      <c r="AP63" s="64" t="str">
        <f aca="false">IFERROR(INDEX(PARAMETRES!$G$536:$G$586,MATCH(AL63,PARAMETRES!$J$536:$J$586,0)),"")</f>
        <v/>
      </c>
      <c r="AQ63" s="65"/>
      <c r="AR63" s="65"/>
      <c r="AS63" s="65"/>
      <c r="AT63" s="65"/>
      <c r="AU63" s="65"/>
      <c r="AV63" s="65"/>
      <c r="AW63" s="65"/>
      <c r="AX63" s="65"/>
      <c r="AY63" s="65"/>
      <c r="AZ63" s="65"/>
      <c r="BA63" s="65"/>
      <c r="BB63" s="66"/>
      <c r="BC63" s="65"/>
      <c r="BD63" s="65"/>
      <c r="BE63" s="66"/>
      <c r="BF63" s="66"/>
      <c r="BG63" s="65"/>
      <c r="BH63" s="65"/>
      <c r="BI63" s="65"/>
      <c r="BJ63" s="65"/>
      <c r="BK63" s="65"/>
      <c r="BL63" s="65"/>
      <c r="BM63" s="66"/>
      <c r="BN63" s="65"/>
      <c r="BO63" s="65"/>
      <c r="BP63" s="65"/>
      <c r="BQ63" s="65"/>
      <c r="BR63" s="65"/>
      <c r="BS63" s="65"/>
      <c r="BT63" s="65"/>
      <c r="BU63" s="66"/>
      <c r="BV63" s="64" t="str">
        <f aca="true">IF(BE63="","",DATEDIF(BE63,TODAY(),"y"))</f>
        <v/>
      </c>
      <c r="BW63" s="64" t="n">
        <f aca="false">COUNTIF(tbl_Beneficiaires_Activites[ID Beneficiaire],A63)</f>
        <v>40</v>
      </c>
      <c r="BX63" s="64" t="n">
        <f aca="false">COUNTIF(tbl_Beneficiaires_Appuis[ID Beneficiaire],A63)</f>
        <v>40</v>
      </c>
      <c r="BY63" s="64" t="str">
        <f aca="false">IF(D63="","",IF(COUNTIFS($D$56:$D$115,D63,$F$56:$F$115,F63,$I$56:$I$115,I63)&gt;1,"DOUBLON POSSIBLE","OK"))</f>
        <v/>
      </c>
      <c r="BZ63" s="65"/>
    </row>
    <row r="64" customFormat="false" ht="15" hidden="false" customHeight="true" outlineLevel="0" collapsed="false">
      <c r="A64" s="64" t="str">
        <f aca="false">IF(D64="","","BEN"&amp;TEXT(ROW()-55,"00000"))</f>
        <v/>
      </c>
      <c r="B64" s="65"/>
      <c r="C64" s="65"/>
      <c r="D64" s="65"/>
      <c r="E64" s="65"/>
      <c r="F64" s="65"/>
      <c r="G64" s="64" t="str">
        <f aca="false">TRIM(D64&amp;" "&amp;E64&amp;" "&amp;F64)</f>
        <v/>
      </c>
      <c r="H64" s="65"/>
      <c r="I64" s="66"/>
      <c r="J64" s="64" t="str">
        <f aca="true">IF(I64="","",DATEDIF(I64,TODAY(),"y"))</f>
        <v/>
      </c>
      <c r="K64" s="64" t="str">
        <f aca="false">IF(J64="","",IF(J64&lt;5,"0-4 ans",IF(J64&lt;10,"5-9 ans",IF(J64&lt;15,"10-14 ans",IF(J64&lt;18,"15-17 ans",IF(J64&lt;25,"18-24 ans",IF(J64&lt;35,"25-34 ans",IF(J64&lt;45,"35-44 ans",IF(J64&lt;55,"45-54 ans",IF(J64&lt;65,"55-64 ans","65 ans et plus"))))))))))</f>
        <v/>
      </c>
      <c r="L64" s="65"/>
      <c r="M64" s="65"/>
      <c r="N64" s="65"/>
      <c r="O64" s="65"/>
      <c r="P64" s="67"/>
      <c r="Q64" s="65"/>
      <c r="R64" s="67"/>
      <c r="S64" s="67"/>
      <c r="T64" s="67"/>
      <c r="U64" s="67"/>
      <c r="V64" s="65"/>
      <c r="W64" s="65"/>
      <c r="X64" s="65"/>
      <c r="Y64" s="65"/>
      <c r="Z64" s="65"/>
      <c r="AA64" s="65"/>
      <c r="AB64" s="65"/>
      <c r="AC64" s="65"/>
      <c r="AD64" s="65"/>
      <c r="AE64" s="65"/>
      <c r="AF64" s="65"/>
      <c r="AG64" s="65"/>
      <c r="AH64" s="65"/>
      <c r="AI64" s="65"/>
      <c r="AJ64" s="65"/>
      <c r="AK64" s="65"/>
      <c r="AL64" s="65"/>
      <c r="AM64" s="64" t="str">
        <f aca="false">IFERROR(INDEX(PARAMETRES!$B$536:$B$586,MATCH(AL64,PARAMETRES!$J$536:$J$586,0)),"")</f>
        <v/>
      </c>
      <c r="AN64" s="64" t="str">
        <f aca="false">IFERROR(INDEX(PARAMETRES!$D$536:$D$586,MATCH(AL64,PARAMETRES!$J$536:$J$586,0)),"")</f>
        <v/>
      </c>
      <c r="AO64" s="64" t="str">
        <f aca="false">IFERROR(INDEX(PARAMETRES!$F$536:$F$586,MATCH(AL64,PARAMETRES!$J$536:$J$586,0)),"")</f>
        <v/>
      </c>
      <c r="AP64" s="64" t="str">
        <f aca="false">IFERROR(INDEX(PARAMETRES!$G$536:$G$586,MATCH(AL64,PARAMETRES!$J$536:$J$586,0)),"")</f>
        <v/>
      </c>
      <c r="AQ64" s="65"/>
      <c r="AR64" s="65"/>
      <c r="AS64" s="65"/>
      <c r="AT64" s="65"/>
      <c r="AU64" s="65"/>
      <c r="AV64" s="65"/>
      <c r="AW64" s="65"/>
      <c r="AX64" s="65"/>
      <c r="AY64" s="65"/>
      <c r="AZ64" s="65"/>
      <c r="BA64" s="65"/>
      <c r="BB64" s="66"/>
      <c r="BC64" s="65"/>
      <c r="BD64" s="65"/>
      <c r="BE64" s="66"/>
      <c r="BF64" s="66"/>
      <c r="BG64" s="65"/>
      <c r="BH64" s="65"/>
      <c r="BI64" s="65"/>
      <c r="BJ64" s="65"/>
      <c r="BK64" s="65"/>
      <c r="BL64" s="65"/>
      <c r="BM64" s="66"/>
      <c r="BN64" s="65"/>
      <c r="BO64" s="65"/>
      <c r="BP64" s="65"/>
      <c r="BQ64" s="65"/>
      <c r="BR64" s="65"/>
      <c r="BS64" s="65"/>
      <c r="BT64" s="65"/>
      <c r="BU64" s="66"/>
      <c r="BV64" s="64" t="str">
        <f aca="true">IF(BE64="","",DATEDIF(BE64,TODAY(),"y"))</f>
        <v/>
      </c>
      <c r="BW64" s="64" t="n">
        <f aca="false">COUNTIF(tbl_Beneficiaires_Activites[ID Beneficiaire],A64)</f>
        <v>40</v>
      </c>
      <c r="BX64" s="64" t="n">
        <f aca="false">COUNTIF(tbl_Beneficiaires_Appuis[ID Beneficiaire],A64)</f>
        <v>40</v>
      </c>
      <c r="BY64" s="64" t="str">
        <f aca="false">IF(D64="","",IF(COUNTIFS($D$56:$D$115,D64,$F$56:$F$115,F64,$I$56:$I$115,I64)&gt;1,"DOUBLON POSSIBLE","OK"))</f>
        <v/>
      </c>
      <c r="BZ64" s="65"/>
    </row>
    <row r="65" customFormat="false" ht="15" hidden="false" customHeight="true" outlineLevel="0" collapsed="false">
      <c r="A65" s="64" t="str">
        <f aca="false">IF(D65="","","BEN"&amp;TEXT(ROW()-55,"00000"))</f>
        <v/>
      </c>
      <c r="B65" s="65"/>
      <c r="C65" s="65"/>
      <c r="D65" s="65"/>
      <c r="E65" s="65"/>
      <c r="F65" s="65"/>
      <c r="G65" s="64" t="str">
        <f aca="false">TRIM(D65&amp;" "&amp;E65&amp;" "&amp;F65)</f>
        <v/>
      </c>
      <c r="H65" s="65"/>
      <c r="I65" s="66"/>
      <c r="J65" s="64" t="str">
        <f aca="true">IF(I65="","",DATEDIF(I65,TODAY(),"y"))</f>
        <v/>
      </c>
      <c r="K65" s="64" t="str">
        <f aca="false">IF(J65="","",IF(J65&lt;5,"0-4 ans",IF(J65&lt;10,"5-9 ans",IF(J65&lt;15,"10-14 ans",IF(J65&lt;18,"15-17 ans",IF(J65&lt;25,"18-24 ans",IF(J65&lt;35,"25-34 ans",IF(J65&lt;45,"35-44 ans",IF(J65&lt;55,"45-54 ans",IF(J65&lt;65,"55-64 ans","65 ans et plus"))))))))))</f>
        <v/>
      </c>
      <c r="L65" s="65"/>
      <c r="M65" s="65"/>
      <c r="N65" s="65"/>
      <c r="O65" s="65"/>
      <c r="P65" s="67"/>
      <c r="Q65" s="65"/>
      <c r="R65" s="67"/>
      <c r="S65" s="67"/>
      <c r="T65" s="67"/>
      <c r="U65" s="67"/>
      <c r="V65" s="65"/>
      <c r="W65" s="65"/>
      <c r="X65" s="65"/>
      <c r="Y65" s="65"/>
      <c r="Z65" s="65"/>
      <c r="AA65" s="65"/>
      <c r="AB65" s="65"/>
      <c r="AC65" s="65"/>
      <c r="AD65" s="65"/>
      <c r="AE65" s="65"/>
      <c r="AF65" s="65"/>
      <c r="AG65" s="65"/>
      <c r="AH65" s="65"/>
      <c r="AI65" s="65"/>
      <c r="AJ65" s="65"/>
      <c r="AK65" s="65"/>
      <c r="AL65" s="65"/>
      <c r="AM65" s="64" t="str">
        <f aca="false">IFERROR(INDEX(PARAMETRES!$B$536:$B$586,MATCH(AL65,PARAMETRES!$J$536:$J$586,0)),"")</f>
        <v/>
      </c>
      <c r="AN65" s="64" t="str">
        <f aca="false">IFERROR(INDEX(PARAMETRES!$D$536:$D$586,MATCH(AL65,PARAMETRES!$J$536:$J$586,0)),"")</f>
        <v/>
      </c>
      <c r="AO65" s="64" t="str">
        <f aca="false">IFERROR(INDEX(PARAMETRES!$F$536:$F$586,MATCH(AL65,PARAMETRES!$J$536:$J$586,0)),"")</f>
        <v/>
      </c>
      <c r="AP65" s="64" t="str">
        <f aca="false">IFERROR(INDEX(PARAMETRES!$G$536:$G$586,MATCH(AL65,PARAMETRES!$J$536:$J$586,0)),"")</f>
        <v/>
      </c>
      <c r="AQ65" s="65"/>
      <c r="AR65" s="65"/>
      <c r="AS65" s="65"/>
      <c r="AT65" s="65"/>
      <c r="AU65" s="65"/>
      <c r="AV65" s="65"/>
      <c r="AW65" s="65"/>
      <c r="AX65" s="65"/>
      <c r="AY65" s="65"/>
      <c r="AZ65" s="65"/>
      <c r="BA65" s="65"/>
      <c r="BB65" s="66"/>
      <c r="BC65" s="65"/>
      <c r="BD65" s="65"/>
      <c r="BE65" s="66"/>
      <c r="BF65" s="66"/>
      <c r="BG65" s="65"/>
      <c r="BH65" s="65"/>
      <c r="BI65" s="65"/>
      <c r="BJ65" s="65"/>
      <c r="BK65" s="65"/>
      <c r="BL65" s="65"/>
      <c r="BM65" s="66"/>
      <c r="BN65" s="65"/>
      <c r="BO65" s="65"/>
      <c r="BP65" s="65"/>
      <c r="BQ65" s="65"/>
      <c r="BR65" s="65"/>
      <c r="BS65" s="65"/>
      <c r="BT65" s="65"/>
      <c r="BU65" s="66"/>
      <c r="BV65" s="64" t="str">
        <f aca="true">IF(BE65="","",DATEDIF(BE65,TODAY(),"y"))</f>
        <v/>
      </c>
      <c r="BW65" s="64" t="n">
        <f aca="false">COUNTIF(tbl_Beneficiaires_Activites[ID Beneficiaire],A65)</f>
        <v>40</v>
      </c>
      <c r="BX65" s="64" t="n">
        <f aca="false">COUNTIF(tbl_Beneficiaires_Appuis[ID Beneficiaire],A65)</f>
        <v>40</v>
      </c>
      <c r="BY65" s="64" t="str">
        <f aca="false">IF(D65="","",IF(COUNTIFS($D$56:$D$115,D65,$F$56:$F$115,F65,$I$56:$I$115,I65)&gt;1,"DOUBLON POSSIBLE","OK"))</f>
        <v/>
      </c>
      <c r="BZ65" s="65"/>
    </row>
    <row r="66" customFormat="false" ht="15" hidden="false" customHeight="true" outlineLevel="0" collapsed="false">
      <c r="A66" s="64" t="str">
        <f aca="false">IF(D66="","","BEN"&amp;TEXT(ROW()-55,"00000"))</f>
        <v/>
      </c>
      <c r="B66" s="65"/>
      <c r="C66" s="65"/>
      <c r="D66" s="65"/>
      <c r="E66" s="65"/>
      <c r="F66" s="65"/>
      <c r="G66" s="64" t="str">
        <f aca="false">TRIM(D66&amp;" "&amp;E66&amp;" "&amp;F66)</f>
        <v/>
      </c>
      <c r="H66" s="65"/>
      <c r="I66" s="66"/>
      <c r="J66" s="64" t="str">
        <f aca="true">IF(I66="","",DATEDIF(I66,TODAY(),"y"))</f>
        <v/>
      </c>
      <c r="K66" s="64" t="str">
        <f aca="false">IF(J66="","",IF(J66&lt;5,"0-4 ans",IF(J66&lt;10,"5-9 ans",IF(J66&lt;15,"10-14 ans",IF(J66&lt;18,"15-17 ans",IF(J66&lt;25,"18-24 ans",IF(J66&lt;35,"25-34 ans",IF(J66&lt;45,"35-44 ans",IF(J66&lt;55,"45-54 ans",IF(J66&lt;65,"55-64 ans","65 ans et plus"))))))))))</f>
        <v/>
      </c>
      <c r="L66" s="65"/>
      <c r="M66" s="65"/>
      <c r="N66" s="65"/>
      <c r="O66" s="65"/>
      <c r="P66" s="67"/>
      <c r="Q66" s="65"/>
      <c r="R66" s="67"/>
      <c r="S66" s="67"/>
      <c r="T66" s="67"/>
      <c r="U66" s="67"/>
      <c r="V66" s="65"/>
      <c r="W66" s="65"/>
      <c r="X66" s="65"/>
      <c r="Y66" s="65"/>
      <c r="Z66" s="65"/>
      <c r="AA66" s="65"/>
      <c r="AB66" s="65"/>
      <c r="AC66" s="65"/>
      <c r="AD66" s="65"/>
      <c r="AE66" s="65"/>
      <c r="AF66" s="65"/>
      <c r="AG66" s="65"/>
      <c r="AH66" s="65"/>
      <c r="AI66" s="65"/>
      <c r="AJ66" s="65"/>
      <c r="AK66" s="65"/>
      <c r="AL66" s="65"/>
      <c r="AM66" s="64" t="str">
        <f aca="false">IFERROR(INDEX(PARAMETRES!$B$536:$B$586,MATCH(AL66,PARAMETRES!$J$536:$J$586,0)),"")</f>
        <v/>
      </c>
      <c r="AN66" s="64" t="str">
        <f aca="false">IFERROR(INDEX(PARAMETRES!$D$536:$D$586,MATCH(AL66,PARAMETRES!$J$536:$J$586,0)),"")</f>
        <v/>
      </c>
      <c r="AO66" s="64" t="str">
        <f aca="false">IFERROR(INDEX(PARAMETRES!$F$536:$F$586,MATCH(AL66,PARAMETRES!$J$536:$J$586,0)),"")</f>
        <v/>
      </c>
      <c r="AP66" s="64" t="str">
        <f aca="false">IFERROR(INDEX(PARAMETRES!$G$536:$G$586,MATCH(AL66,PARAMETRES!$J$536:$J$586,0)),"")</f>
        <v/>
      </c>
      <c r="AQ66" s="65"/>
      <c r="AR66" s="65"/>
      <c r="AS66" s="65"/>
      <c r="AT66" s="65"/>
      <c r="AU66" s="65"/>
      <c r="AV66" s="65"/>
      <c r="AW66" s="65"/>
      <c r="AX66" s="65"/>
      <c r="AY66" s="65"/>
      <c r="AZ66" s="65"/>
      <c r="BA66" s="65"/>
      <c r="BB66" s="66"/>
      <c r="BC66" s="65"/>
      <c r="BD66" s="65"/>
      <c r="BE66" s="66"/>
      <c r="BF66" s="66"/>
      <c r="BG66" s="65"/>
      <c r="BH66" s="65"/>
      <c r="BI66" s="65"/>
      <c r="BJ66" s="65"/>
      <c r="BK66" s="65"/>
      <c r="BL66" s="65"/>
      <c r="BM66" s="66"/>
      <c r="BN66" s="65"/>
      <c r="BO66" s="65"/>
      <c r="BP66" s="65"/>
      <c r="BQ66" s="65"/>
      <c r="BR66" s="65"/>
      <c r="BS66" s="65"/>
      <c r="BT66" s="65"/>
      <c r="BU66" s="66"/>
      <c r="BV66" s="64" t="str">
        <f aca="true">IF(BE66="","",DATEDIF(BE66,TODAY(),"y"))</f>
        <v/>
      </c>
      <c r="BW66" s="64" t="n">
        <f aca="false">COUNTIF(tbl_Beneficiaires_Activites[ID Beneficiaire],A66)</f>
        <v>40</v>
      </c>
      <c r="BX66" s="64" t="n">
        <f aca="false">COUNTIF(tbl_Beneficiaires_Appuis[ID Beneficiaire],A66)</f>
        <v>40</v>
      </c>
      <c r="BY66" s="64" t="str">
        <f aca="false">IF(D66="","",IF(COUNTIFS($D$56:$D$115,D66,$F$56:$F$115,F66,$I$56:$I$115,I66)&gt;1,"DOUBLON POSSIBLE","OK"))</f>
        <v/>
      </c>
      <c r="BZ66" s="65"/>
    </row>
    <row r="67" customFormat="false" ht="15" hidden="false" customHeight="true" outlineLevel="0" collapsed="false">
      <c r="A67" s="64" t="str">
        <f aca="false">IF(D67="","","BEN"&amp;TEXT(ROW()-55,"00000"))</f>
        <v/>
      </c>
      <c r="B67" s="65"/>
      <c r="C67" s="65"/>
      <c r="D67" s="65"/>
      <c r="E67" s="65"/>
      <c r="F67" s="65"/>
      <c r="G67" s="64" t="str">
        <f aca="false">TRIM(D67&amp;" "&amp;E67&amp;" "&amp;F67)</f>
        <v/>
      </c>
      <c r="H67" s="65"/>
      <c r="I67" s="66"/>
      <c r="J67" s="64" t="str">
        <f aca="true">IF(I67="","",DATEDIF(I67,TODAY(),"y"))</f>
        <v/>
      </c>
      <c r="K67" s="64" t="str">
        <f aca="false">IF(J67="","",IF(J67&lt;5,"0-4 ans",IF(J67&lt;10,"5-9 ans",IF(J67&lt;15,"10-14 ans",IF(J67&lt;18,"15-17 ans",IF(J67&lt;25,"18-24 ans",IF(J67&lt;35,"25-34 ans",IF(J67&lt;45,"35-44 ans",IF(J67&lt;55,"45-54 ans",IF(J67&lt;65,"55-64 ans","65 ans et plus"))))))))))</f>
        <v/>
      </c>
      <c r="L67" s="65"/>
      <c r="M67" s="65"/>
      <c r="N67" s="65"/>
      <c r="O67" s="65"/>
      <c r="P67" s="67"/>
      <c r="Q67" s="65"/>
      <c r="R67" s="67"/>
      <c r="S67" s="67"/>
      <c r="T67" s="67"/>
      <c r="U67" s="67"/>
      <c r="V67" s="65"/>
      <c r="W67" s="65"/>
      <c r="X67" s="65"/>
      <c r="Y67" s="65"/>
      <c r="Z67" s="65"/>
      <c r="AA67" s="65"/>
      <c r="AB67" s="65"/>
      <c r="AC67" s="65"/>
      <c r="AD67" s="65"/>
      <c r="AE67" s="65"/>
      <c r="AF67" s="65"/>
      <c r="AG67" s="65"/>
      <c r="AH67" s="65"/>
      <c r="AI67" s="65"/>
      <c r="AJ67" s="65"/>
      <c r="AK67" s="65"/>
      <c r="AL67" s="65"/>
      <c r="AM67" s="64" t="str">
        <f aca="false">IFERROR(INDEX(PARAMETRES!$B$536:$B$586,MATCH(AL67,PARAMETRES!$J$536:$J$586,0)),"")</f>
        <v/>
      </c>
      <c r="AN67" s="64" t="str">
        <f aca="false">IFERROR(INDEX(PARAMETRES!$D$536:$D$586,MATCH(AL67,PARAMETRES!$J$536:$J$586,0)),"")</f>
        <v/>
      </c>
      <c r="AO67" s="64" t="str">
        <f aca="false">IFERROR(INDEX(PARAMETRES!$F$536:$F$586,MATCH(AL67,PARAMETRES!$J$536:$J$586,0)),"")</f>
        <v/>
      </c>
      <c r="AP67" s="64" t="str">
        <f aca="false">IFERROR(INDEX(PARAMETRES!$G$536:$G$586,MATCH(AL67,PARAMETRES!$J$536:$J$586,0)),"")</f>
        <v/>
      </c>
      <c r="AQ67" s="65"/>
      <c r="AR67" s="65"/>
      <c r="AS67" s="65"/>
      <c r="AT67" s="65"/>
      <c r="AU67" s="65"/>
      <c r="AV67" s="65"/>
      <c r="AW67" s="65"/>
      <c r="AX67" s="65"/>
      <c r="AY67" s="65"/>
      <c r="AZ67" s="65"/>
      <c r="BA67" s="65"/>
      <c r="BB67" s="66"/>
      <c r="BC67" s="65"/>
      <c r="BD67" s="65"/>
      <c r="BE67" s="66"/>
      <c r="BF67" s="66"/>
      <c r="BG67" s="65"/>
      <c r="BH67" s="65"/>
      <c r="BI67" s="65"/>
      <c r="BJ67" s="65"/>
      <c r="BK67" s="65"/>
      <c r="BL67" s="65"/>
      <c r="BM67" s="66"/>
      <c r="BN67" s="65"/>
      <c r="BO67" s="65"/>
      <c r="BP67" s="65"/>
      <c r="BQ67" s="65"/>
      <c r="BR67" s="65"/>
      <c r="BS67" s="65"/>
      <c r="BT67" s="65"/>
      <c r="BU67" s="66"/>
      <c r="BV67" s="64" t="str">
        <f aca="true">IF(BE67="","",DATEDIF(BE67,TODAY(),"y"))</f>
        <v/>
      </c>
      <c r="BW67" s="64" t="n">
        <f aca="false">COUNTIF(tbl_Beneficiaires_Activites[ID Beneficiaire],A67)</f>
        <v>40</v>
      </c>
      <c r="BX67" s="64" t="n">
        <f aca="false">COUNTIF(tbl_Beneficiaires_Appuis[ID Beneficiaire],A67)</f>
        <v>40</v>
      </c>
      <c r="BY67" s="64" t="str">
        <f aca="false">IF(D67="","",IF(COUNTIFS($D$56:$D$115,D67,$F$56:$F$115,F67,$I$56:$I$115,I67)&gt;1,"DOUBLON POSSIBLE","OK"))</f>
        <v/>
      </c>
      <c r="BZ67" s="65"/>
    </row>
    <row r="68" customFormat="false" ht="15" hidden="false" customHeight="true" outlineLevel="0" collapsed="false">
      <c r="A68" s="64" t="str">
        <f aca="false">IF(D68="","","BEN"&amp;TEXT(ROW()-55,"00000"))</f>
        <v/>
      </c>
      <c r="B68" s="65"/>
      <c r="C68" s="65"/>
      <c r="D68" s="65"/>
      <c r="E68" s="65"/>
      <c r="F68" s="65"/>
      <c r="G68" s="64" t="str">
        <f aca="false">TRIM(D68&amp;" "&amp;E68&amp;" "&amp;F68)</f>
        <v/>
      </c>
      <c r="H68" s="65"/>
      <c r="I68" s="66"/>
      <c r="J68" s="64" t="str">
        <f aca="true">IF(I68="","",DATEDIF(I68,TODAY(),"y"))</f>
        <v/>
      </c>
      <c r="K68" s="64" t="str">
        <f aca="false">IF(J68="","",IF(J68&lt;5,"0-4 ans",IF(J68&lt;10,"5-9 ans",IF(J68&lt;15,"10-14 ans",IF(J68&lt;18,"15-17 ans",IF(J68&lt;25,"18-24 ans",IF(J68&lt;35,"25-34 ans",IF(J68&lt;45,"35-44 ans",IF(J68&lt;55,"45-54 ans",IF(J68&lt;65,"55-64 ans","65 ans et plus"))))))))))</f>
        <v/>
      </c>
      <c r="L68" s="65"/>
      <c r="M68" s="65"/>
      <c r="N68" s="65"/>
      <c r="O68" s="65"/>
      <c r="P68" s="67"/>
      <c r="Q68" s="65"/>
      <c r="R68" s="67"/>
      <c r="S68" s="67"/>
      <c r="T68" s="67"/>
      <c r="U68" s="67"/>
      <c r="V68" s="65"/>
      <c r="W68" s="65"/>
      <c r="X68" s="65"/>
      <c r="Y68" s="65"/>
      <c r="Z68" s="65"/>
      <c r="AA68" s="65"/>
      <c r="AB68" s="65"/>
      <c r="AC68" s="65"/>
      <c r="AD68" s="65"/>
      <c r="AE68" s="65"/>
      <c r="AF68" s="65"/>
      <c r="AG68" s="65"/>
      <c r="AH68" s="65"/>
      <c r="AI68" s="65"/>
      <c r="AJ68" s="65"/>
      <c r="AK68" s="65"/>
      <c r="AL68" s="65"/>
      <c r="AM68" s="64" t="str">
        <f aca="false">IFERROR(INDEX(PARAMETRES!$B$536:$B$586,MATCH(AL68,PARAMETRES!$J$536:$J$586,0)),"")</f>
        <v/>
      </c>
      <c r="AN68" s="64" t="str">
        <f aca="false">IFERROR(INDEX(PARAMETRES!$D$536:$D$586,MATCH(AL68,PARAMETRES!$J$536:$J$586,0)),"")</f>
        <v/>
      </c>
      <c r="AO68" s="64" t="str">
        <f aca="false">IFERROR(INDEX(PARAMETRES!$F$536:$F$586,MATCH(AL68,PARAMETRES!$J$536:$J$586,0)),"")</f>
        <v/>
      </c>
      <c r="AP68" s="64" t="str">
        <f aca="false">IFERROR(INDEX(PARAMETRES!$G$536:$G$586,MATCH(AL68,PARAMETRES!$J$536:$J$586,0)),"")</f>
        <v/>
      </c>
      <c r="AQ68" s="65"/>
      <c r="AR68" s="65"/>
      <c r="AS68" s="65"/>
      <c r="AT68" s="65"/>
      <c r="AU68" s="65"/>
      <c r="AV68" s="65"/>
      <c r="AW68" s="65"/>
      <c r="AX68" s="65"/>
      <c r="AY68" s="65"/>
      <c r="AZ68" s="65"/>
      <c r="BA68" s="65"/>
      <c r="BB68" s="66"/>
      <c r="BC68" s="65"/>
      <c r="BD68" s="65"/>
      <c r="BE68" s="66"/>
      <c r="BF68" s="66"/>
      <c r="BG68" s="65"/>
      <c r="BH68" s="65"/>
      <c r="BI68" s="65"/>
      <c r="BJ68" s="65"/>
      <c r="BK68" s="65"/>
      <c r="BL68" s="65"/>
      <c r="BM68" s="66"/>
      <c r="BN68" s="65"/>
      <c r="BO68" s="65"/>
      <c r="BP68" s="65"/>
      <c r="BQ68" s="65"/>
      <c r="BR68" s="65"/>
      <c r="BS68" s="65"/>
      <c r="BT68" s="65"/>
      <c r="BU68" s="66"/>
      <c r="BV68" s="64" t="str">
        <f aca="true">IF(BE68="","",DATEDIF(BE68,TODAY(),"y"))</f>
        <v/>
      </c>
      <c r="BW68" s="64" t="n">
        <f aca="false">COUNTIF(tbl_Beneficiaires_Activites[ID Beneficiaire],A68)</f>
        <v>40</v>
      </c>
      <c r="BX68" s="64" t="n">
        <f aca="false">COUNTIF(tbl_Beneficiaires_Appuis[ID Beneficiaire],A68)</f>
        <v>40</v>
      </c>
      <c r="BY68" s="64" t="str">
        <f aca="false">IF(D68="","",IF(COUNTIFS($D$56:$D$115,D68,$F$56:$F$115,F68,$I$56:$I$115,I68)&gt;1,"DOUBLON POSSIBLE","OK"))</f>
        <v/>
      </c>
      <c r="BZ68" s="65"/>
    </row>
    <row r="69" customFormat="false" ht="15" hidden="false" customHeight="true" outlineLevel="0" collapsed="false">
      <c r="A69" s="64" t="str">
        <f aca="false">IF(D69="","","BEN"&amp;TEXT(ROW()-55,"00000"))</f>
        <v/>
      </c>
      <c r="B69" s="65"/>
      <c r="C69" s="65"/>
      <c r="D69" s="65"/>
      <c r="E69" s="65"/>
      <c r="F69" s="65"/>
      <c r="G69" s="64" t="str">
        <f aca="false">TRIM(D69&amp;" "&amp;E69&amp;" "&amp;F69)</f>
        <v/>
      </c>
      <c r="H69" s="65"/>
      <c r="I69" s="66"/>
      <c r="J69" s="64" t="str">
        <f aca="true">IF(I69="","",DATEDIF(I69,TODAY(),"y"))</f>
        <v/>
      </c>
      <c r="K69" s="64" t="str">
        <f aca="false">IF(J69="","",IF(J69&lt;5,"0-4 ans",IF(J69&lt;10,"5-9 ans",IF(J69&lt;15,"10-14 ans",IF(J69&lt;18,"15-17 ans",IF(J69&lt;25,"18-24 ans",IF(J69&lt;35,"25-34 ans",IF(J69&lt;45,"35-44 ans",IF(J69&lt;55,"45-54 ans",IF(J69&lt;65,"55-64 ans","65 ans et plus"))))))))))</f>
        <v/>
      </c>
      <c r="L69" s="65"/>
      <c r="M69" s="65"/>
      <c r="N69" s="65"/>
      <c r="O69" s="65"/>
      <c r="P69" s="67"/>
      <c r="Q69" s="65"/>
      <c r="R69" s="67"/>
      <c r="S69" s="67"/>
      <c r="T69" s="67"/>
      <c r="U69" s="67"/>
      <c r="V69" s="65"/>
      <c r="W69" s="65"/>
      <c r="X69" s="65"/>
      <c r="Y69" s="65"/>
      <c r="Z69" s="65"/>
      <c r="AA69" s="65"/>
      <c r="AB69" s="65"/>
      <c r="AC69" s="65"/>
      <c r="AD69" s="65"/>
      <c r="AE69" s="65"/>
      <c r="AF69" s="65"/>
      <c r="AG69" s="65"/>
      <c r="AH69" s="65"/>
      <c r="AI69" s="65"/>
      <c r="AJ69" s="65"/>
      <c r="AK69" s="65"/>
      <c r="AL69" s="65"/>
      <c r="AM69" s="64" t="str">
        <f aca="false">IFERROR(INDEX(PARAMETRES!$B$536:$B$586,MATCH(AL69,PARAMETRES!$J$536:$J$586,0)),"")</f>
        <v/>
      </c>
      <c r="AN69" s="64" t="str">
        <f aca="false">IFERROR(INDEX(PARAMETRES!$D$536:$D$586,MATCH(AL69,PARAMETRES!$J$536:$J$586,0)),"")</f>
        <v/>
      </c>
      <c r="AO69" s="64" t="str">
        <f aca="false">IFERROR(INDEX(PARAMETRES!$F$536:$F$586,MATCH(AL69,PARAMETRES!$J$536:$J$586,0)),"")</f>
        <v/>
      </c>
      <c r="AP69" s="64" t="str">
        <f aca="false">IFERROR(INDEX(PARAMETRES!$G$536:$G$586,MATCH(AL69,PARAMETRES!$J$536:$J$586,0)),"")</f>
        <v/>
      </c>
      <c r="AQ69" s="65"/>
      <c r="AR69" s="65"/>
      <c r="AS69" s="65"/>
      <c r="AT69" s="65"/>
      <c r="AU69" s="65"/>
      <c r="AV69" s="65"/>
      <c r="AW69" s="65"/>
      <c r="AX69" s="65"/>
      <c r="AY69" s="65"/>
      <c r="AZ69" s="65"/>
      <c r="BA69" s="65"/>
      <c r="BB69" s="66"/>
      <c r="BC69" s="65"/>
      <c r="BD69" s="65"/>
      <c r="BE69" s="66"/>
      <c r="BF69" s="66"/>
      <c r="BG69" s="65"/>
      <c r="BH69" s="65"/>
      <c r="BI69" s="65"/>
      <c r="BJ69" s="65"/>
      <c r="BK69" s="65"/>
      <c r="BL69" s="65"/>
      <c r="BM69" s="66"/>
      <c r="BN69" s="65"/>
      <c r="BO69" s="65"/>
      <c r="BP69" s="65"/>
      <c r="BQ69" s="65"/>
      <c r="BR69" s="65"/>
      <c r="BS69" s="65"/>
      <c r="BT69" s="65"/>
      <c r="BU69" s="66"/>
      <c r="BV69" s="64" t="str">
        <f aca="true">IF(BE69="","",DATEDIF(BE69,TODAY(),"y"))</f>
        <v/>
      </c>
      <c r="BW69" s="64" t="n">
        <f aca="false">COUNTIF(tbl_Beneficiaires_Activites[ID Beneficiaire],A69)</f>
        <v>40</v>
      </c>
      <c r="BX69" s="64" t="n">
        <f aca="false">COUNTIF(tbl_Beneficiaires_Appuis[ID Beneficiaire],A69)</f>
        <v>40</v>
      </c>
      <c r="BY69" s="64" t="str">
        <f aca="false">IF(D69="","",IF(COUNTIFS($D$56:$D$115,D69,$F$56:$F$115,F69,$I$56:$I$115,I69)&gt;1,"DOUBLON POSSIBLE","OK"))</f>
        <v/>
      </c>
      <c r="BZ69" s="65"/>
    </row>
    <row r="70" customFormat="false" ht="15" hidden="false" customHeight="true" outlineLevel="0" collapsed="false">
      <c r="A70" s="64" t="str">
        <f aca="false">IF(D70="","","BEN"&amp;TEXT(ROW()-55,"00000"))</f>
        <v/>
      </c>
      <c r="B70" s="65"/>
      <c r="C70" s="65"/>
      <c r="D70" s="65"/>
      <c r="E70" s="65"/>
      <c r="F70" s="65"/>
      <c r="G70" s="64" t="str">
        <f aca="false">TRIM(D70&amp;" "&amp;E70&amp;" "&amp;F70)</f>
        <v/>
      </c>
      <c r="H70" s="65"/>
      <c r="I70" s="66"/>
      <c r="J70" s="64" t="str">
        <f aca="true">IF(I70="","",DATEDIF(I70,TODAY(),"y"))</f>
        <v/>
      </c>
      <c r="K70" s="64" t="str">
        <f aca="false">IF(J70="","",IF(J70&lt;5,"0-4 ans",IF(J70&lt;10,"5-9 ans",IF(J70&lt;15,"10-14 ans",IF(J70&lt;18,"15-17 ans",IF(J70&lt;25,"18-24 ans",IF(J70&lt;35,"25-34 ans",IF(J70&lt;45,"35-44 ans",IF(J70&lt;55,"45-54 ans",IF(J70&lt;65,"55-64 ans","65 ans et plus"))))))))))</f>
        <v/>
      </c>
      <c r="L70" s="65"/>
      <c r="M70" s="65"/>
      <c r="N70" s="65"/>
      <c r="O70" s="65"/>
      <c r="P70" s="67"/>
      <c r="Q70" s="65"/>
      <c r="R70" s="67"/>
      <c r="S70" s="67"/>
      <c r="T70" s="67"/>
      <c r="U70" s="67"/>
      <c r="V70" s="65"/>
      <c r="W70" s="65"/>
      <c r="X70" s="65"/>
      <c r="Y70" s="65"/>
      <c r="Z70" s="65"/>
      <c r="AA70" s="65"/>
      <c r="AB70" s="65"/>
      <c r="AC70" s="65"/>
      <c r="AD70" s="65"/>
      <c r="AE70" s="65"/>
      <c r="AF70" s="65"/>
      <c r="AG70" s="65"/>
      <c r="AH70" s="65"/>
      <c r="AI70" s="65"/>
      <c r="AJ70" s="65"/>
      <c r="AK70" s="65"/>
      <c r="AL70" s="65"/>
      <c r="AM70" s="64" t="str">
        <f aca="false">IFERROR(INDEX(PARAMETRES!$B$536:$B$586,MATCH(AL70,PARAMETRES!$J$536:$J$586,0)),"")</f>
        <v/>
      </c>
      <c r="AN70" s="64" t="str">
        <f aca="false">IFERROR(INDEX(PARAMETRES!$D$536:$D$586,MATCH(AL70,PARAMETRES!$J$536:$J$586,0)),"")</f>
        <v/>
      </c>
      <c r="AO70" s="64" t="str">
        <f aca="false">IFERROR(INDEX(PARAMETRES!$F$536:$F$586,MATCH(AL70,PARAMETRES!$J$536:$J$586,0)),"")</f>
        <v/>
      </c>
      <c r="AP70" s="64" t="str">
        <f aca="false">IFERROR(INDEX(PARAMETRES!$G$536:$G$586,MATCH(AL70,PARAMETRES!$J$536:$J$586,0)),"")</f>
        <v/>
      </c>
      <c r="AQ70" s="65"/>
      <c r="AR70" s="65"/>
      <c r="AS70" s="65"/>
      <c r="AT70" s="65"/>
      <c r="AU70" s="65"/>
      <c r="AV70" s="65"/>
      <c r="AW70" s="65"/>
      <c r="AX70" s="65"/>
      <c r="AY70" s="65"/>
      <c r="AZ70" s="65"/>
      <c r="BA70" s="65"/>
      <c r="BB70" s="66"/>
      <c r="BC70" s="65"/>
      <c r="BD70" s="65"/>
      <c r="BE70" s="66"/>
      <c r="BF70" s="66"/>
      <c r="BG70" s="65"/>
      <c r="BH70" s="65"/>
      <c r="BI70" s="65"/>
      <c r="BJ70" s="65"/>
      <c r="BK70" s="65"/>
      <c r="BL70" s="65"/>
      <c r="BM70" s="66"/>
      <c r="BN70" s="65"/>
      <c r="BO70" s="65"/>
      <c r="BP70" s="65"/>
      <c r="BQ70" s="65"/>
      <c r="BR70" s="65"/>
      <c r="BS70" s="65"/>
      <c r="BT70" s="65"/>
      <c r="BU70" s="66"/>
      <c r="BV70" s="64" t="str">
        <f aca="true">IF(BE70="","",DATEDIF(BE70,TODAY(),"y"))</f>
        <v/>
      </c>
      <c r="BW70" s="64" t="n">
        <f aca="false">COUNTIF(tbl_Beneficiaires_Activites[ID Beneficiaire],A70)</f>
        <v>40</v>
      </c>
      <c r="BX70" s="64" t="n">
        <f aca="false">COUNTIF(tbl_Beneficiaires_Appuis[ID Beneficiaire],A70)</f>
        <v>40</v>
      </c>
      <c r="BY70" s="64" t="str">
        <f aca="false">IF(D70="","",IF(COUNTIFS($D$56:$D$115,D70,$F$56:$F$115,F70,$I$56:$I$115,I70)&gt;1,"DOUBLON POSSIBLE","OK"))</f>
        <v/>
      </c>
      <c r="BZ70" s="65"/>
    </row>
    <row r="71" customFormat="false" ht="15" hidden="false" customHeight="true" outlineLevel="0" collapsed="false">
      <c r="A71" s="64" t="str">
        <f aca="false">IF(D71="","","BEN"&amp;TEXT(ROW()-55,"00000"))</f>
        <v/>
      </c>
      <c r="B71" s="65"/>
      <c r="C71" s="65"/>
      <c r="D71" s="65"/>
      <c r="E71" s="65"/>
      <c r="F71" s="65"/>
      <c r="G71" s="64" t="str">
        <f aca="false">TRIM(D71&amp;" "&amp;E71&amp;" "&amp;F71)</f>
        <v/>
      </c>
      <c r="H71" s="65"/>
      <c r="I71" s="66"/>
      <c r="J71" s="64" t="str">
        <f aca="true">IF(I71="","",DATEDIF(I71,TODAY(),"y"))</f>
        <v/>
      </c>
      <c r="K71" s="64" t="str">
        <f aca="false">IF(J71="","",IF(J71&lt;5,"0-4 ans",IF(J71&lt;10,"5-9 ans",IF(J71&lt;15,"10-14 ans",IF(J71&lt;18,"15-17 ans",IF(J71&lt;25,"18-24 ans",IF(J71&lt;35,"25-34 ans",IF(J71&lt;45,"35-44 ans",IF(J71&lt;55,"45-54 ans",IF(J71&lt;65,"55-64 ans","65 ans et plus"))))))))))</f>
        <v/>
      </c>
      <c r="L71" s="65"/>
      <c r="M71" s="65"/>
      <c r="N71" s="65"/>
      <c r="O71" s="65"/>
      <c r="P71" s="67"/>
      <c r="Q71" s="65"/>
      <c r="R71" s="67"/>
      <c r="S71" s="67"/>
      <c r="T71" s="67"/>
      <c r="U71" s="67"/>
      <c r="V71" s="65"/>
      <c r="W71" s="65"/>
      <c r="X71" s="65"/>
      <c r="Y71" s="65"/>
      <c r="Z71" s="65"/>
      <c r="AA71" s="65"/>
      <c r="AB71" s="65"/>
      <c r="AC71" s="65"/>
      <c r="AD71" s="65"/>
      <c r="AE71" s="65"/>
      <c r="AF71" s="65"/>
      <c r="AG71" s="65"/>
      <c r="AH71" s="65"/>
      <c r="AI71" s="65"/>
      <c r="AJ71" s="65"/>
      <c r="AK71" s="65"/>
      <c r="AL71" s="65"/>
      <c r="AM71" s="64" t="str">
        <f aca="false">IFERROR(INDEX(PARAMETRES!$B$536:$B$586,MATCH(AL71,PARAMETRES!$J$536:$J$586,0)),"")</f>
        <v/>
      </c>
      <c r="AN71" s="64" t="str">
        <f aca="false">IFERROR(INDEX(PARAMETRES!$D$536:$D$586,MATCH(AL71,PARAMETRES!$J$536:$J$586,0)),"")</f>
        <v/>
      </c>
      <c r="AO71" s="64" t="str">
        <f aca="false">IFERROR(INDEX(PARAMETRES!$F$536:$F$586,MATCH(AL71,PARAMETRES!$J$536:$J$586,0)),"")</f>
        <v/>
      </c>
      <c r="AP71" s="64" t="str">
        <f aca="false">IFERROR(INDEX(PARAMETRES!$G$536:$G$586,MATCH(AL71,PARAMETRES!$J$536:$J$586,0)),"")</f>
        <v/>
      </c>
      <c r="AQ71" s="65"/>
      <c r="AR71" s="65"/>
      <c r="AS71" s="65"/>
      <c r="AT71" s="65"/>
      <c r="AU71" s="65"/>
      <c r="AV71" s="65"/>
      <c r="AW71" s="65"/>
      <c r="AX71" s="65"/>
      <c r="AY71" s="65"/>
      <c r="AZ71" s="65"/>
      <c r="BA71" s="65"/>
      <c r="BB71" s="66"/>
      <c r="BC71" s="65"/>
      <c r="BD71" s="65"/>
      <c r="BE71" s="66"/>
      <c r="BF71" s="66"/>
      <c r="BG71" s="65"/>
      <c r="BH71" s="65"/>
      <c r="BI71" s="65"/>
      <c r="BJ71" s="65"/>
      <c r="BK71" s="65"/>
      <c r="BL71" s="65"/>
      <c r="BM71" s="66"/>
      <c r="BN71" s="65"/>
      <c r="BO71" s="65"/>
      <c r="BP71" s="65"/>
      <c r="BQ71" s="65"/>
      <c r="BR71" s="65"/>
      <c r="BS71" s="65"/>
      <c r="BT71" s="65"/>
      <c r="BU71" s="66"/>
      <c r="BV71" s="64" t="str">
        <f aca="true">IF(BE71="","",DATEDIF(BE71,TODAY(),"y"))</f>
        <v/>
      </c>
      <c r="BW71" s="64" t="n">
        <f aca="false">COUNTIF(tbl_Beneficiaires_Activites[ID Beneficiaire],A71)</f>
        <v>40</v>
      </c>
      <c r="BX71" s="64" t="n">
        <f aca="false">COUNTIF(tbl_Beneficiaires_Appuis[ID Beneficiaire],A71)</f>
        <v>40</v>
      </c>
      <c r="BY71" s="64" t="str">
        <f aca="false">IF(D71="","",IF(COUNTIFS($D$56:$D$115,D71,$F$56:$F$115,F71,$I$56:$I$115,I71)&gt;1,"DOUBLON POSSIBLE","OK"))</f>
        <v/>
      </c>
      <c r="BZ71" s="65"/>
    </row>
    <row r="72" customFormat="false" ht="15" hidden="false" customHeight="true" outlineLevel="0" collapsed="false">
      <c r="A72" s="64" t="str">
        <f aca="false">IF(D72="","","BEN"&amp;TEXT(ROW()-55,"00000"))</f>
        <v/>
      </c>
      <c r="B72" s="65"/>
      <c r="C72" s="65"/>
      <c r="D72" s="65"/>
      <c r="E72" s="65"/>
      <c r="F72" s="65"/>
      <c r="G72" s="64" t="str">
        <f aca="false">TRIM(D72&amp;" "&amp;E72&amp;" "&amp;F72)</f>
        <v/>
      </c>
      <c r="H72" s="65"/>
      <c r="I72" s="66"/>
      <c r="J72" s="64" t="str">
        <f aca="true">IF(I72="","",DATEDIF(I72,TODAY(),"y"))</f>
        <v/>
      </c>
      <c r="K72" s="64" t="str">
        <f aca="false">IF(J72="","",IF(J72&lt;5,"0-4 ans",IF(J72&lt;10,"5-9 ans",IF(J72&lt;15,"10-14 ans",IF(J72&lt;18,"15-17 ans",IF(J72&lt;25,"18-24 ans",IF(J72&lt;35,"25-34 ans",IF(J72&lt;45,"35-44 ans",IF(J72&lt;55,"45-54 ans",IF(J72&lt;65,"55-64 ans","65 ans et plus"))))))))))</f>
        <v/>
      </c>
      <c r="L72" s="65"/>
      <c r="M72" s="65"/>
      <c r="N72" s="65"/>
      <c r="O72" s="65"/>
      <c r="P72" s="67"/>
      <c r="Q72" s="65"/>
      <c r="R72" s="67"/>
      <c r="S72" s="67"/>
      <c r="T72" s="67"/>
      <c r="U72" s="67"/>
      <c r="V72" s="65"/>
      <c r="W72" s="65"/>
      <c r="X72" s="65"/>
      <c r="Y72" s="65"/>
      <c r="Z72" s="65"/>
      <c r="AA72" s="65"/>
      <c r="AB72" s="65"/>
      <c r="AC72" s="65"/>
      <c r="AD72" s="65"/>
      <c r="AE72" s="65"/>
      <c r="AF72" s="65"/>
      <c r="AG72" s="65"/>
      <c r="AH72" s="65"/>
      <c r="AI72" s="65"/>
      <c r="AJ72" s="65"/>
      <c r="AK72" s="65"/>
      <c r="AL72" s="65"/>
      <c r="AM72" s="64" t="str">
        <f aca="false">IFERROR(INDEX(PARAMETRES!$B$536:$B$586,MATCH(AL72,PARAMETRES!$J$536:$J$586,0)),"")</f>
        <v/>
      </c>
      <c r="AN72" s="64" t="str">
        <f aca="false">IFERROR(INDEX(PARAMETRES!$D$536:$D$586,MATCH(AL72,PARAMETRES!$J$536:$J$586,0)),"")</f>
        <v/>
      </c>
      <c r="AO72" s="64" t="str">
        <f aca="false">IFERROR(INDEX(PARAMETRES!$F$536:$F$586,MATCH(AL72,PARAMETRES!$J$536:$J$586,0)),"")</f>
        <v/>
      </c>
      <c r="AP72" s="64" t="str">
        <f aca="false">IFERROR(INDEX(PARAMETRES!$G$536:$G$586,MATCH(AL72,PARAMETRES!$J$536:$J$586,0)),"")</f>
        <v/>
      </c>
      <c r="AQ72" s="65"/>
      <c r="AR72" s="65"/>
      <c r="AS72" s="65"/>
      <c r="AT72" s="65"/>
      <c r="AU72" s="65"/>
      <c r="AV72" s="65"/>
      <c r="AW72" s="65"/>
      <c r="AX72" s="65"/>
      <c r="AY72" s="65"/>
      <c r="AZ72" s="65"/>
      <c r="BA72" s="65"/>
      <c r="BB72" s="66"/>
      <c r="BC72" s="65"/>
      <c r="BD72" s="65"/>
      <c r="BE72" s="66"/>
      <c r="BF72" s="66"/>
      <c r="BG72" s="65"/>
      <c r="BH72" s="65"/>
      <c r="BI72" s="65"/>
      <c r="BJ72" s="65"/>
      <c r="BK72" s="65"/>
      <c r="BL72" s="65"/>
      <c r="BM72" s="66"/>
      <c r="BN72" s="65"/>
      <c r="BO72" s="65"/>
      <c r="BP72" s="65"/>
      <c r="BQ72" s="65"/>
      <c r="BR72" s="65"/>
      <c r="BS72" s="65"/>
      <c r="BT72" s="65"/>
      <c r="BU72" s="66"/>
      <c r="BV72" s="64" t="str">
        <f aca="true">IF(BE72="","",DATEDIF(BE72,TODAY(),"y"))</f>
        <v/>
      </c>
      <c r="BW72" s="64" t="n">
        <f aca="false">COUNTIF(tbl_Beneficiaires_Activites[ID Beneficiaire],A72)</f>
        <v>40</v>
      </c>
      <c r="BX72" s="64" t="n">
        <f aca="false">COUNTIF(tbl_Beneficiaires_Appuis[ID Beneficiaire],A72)</f>
        <v>40</v>
      </c>
      <c r="BY72" s="64" t="str">
        <f aca="false">IF(D72="","",IF(COUNTIFS($D$56:$D$115,D72,$F$56:$F$115,F72,$I$56:$I$115,I72)&gt;1,"DOUBLON POSSIBLE","OK"))</f>
        <v/>
      </c>
      <c r="BZ72" s="65"/>
    </row>
    <row r="73" customFormat="false" ht="15" hidden="false" customHeight="true" outlineLevel="0" collapsed="false">
      <c r="A73" s="64" t="str">
        <f aca="false">IF(D73="","","BEN"&amp;TEXT(ROW()-55,"00000"))</f>
        <v/>
      </c>
      <c r="B73" s="65"/>
      <c r="C73" s="65"/>
      <c r="D73" s="65"/>
      <c r="E73" s="65"/>
      <c r="F73" s="65"/>
      <c r="G73" s="64" t="str">
        <f aca="false">TRIM(D73&amp;" "&amp;E73&amp;" "&amp;F73)</f>
        <v/>
      </c>
      <c r="H73" s="65"/>
      <c r="I73" s="66"/>
      <c r="J73" s="64" t="str">
        <f aca="true">IF(I73="","",DATEDIF(I73,TODAY(),"y"))</f>
        <v/>
      </c>
      <c r="K73" s="64" t="str">
        <f aca="false">IF(J73="","",IF(J73&lt;5,"0-4 ans",IF(J73&lt;10,"5-9 ans",IF(J73&lt;15,"10-14 ans",IF(J73&lt;18,"15-17 ans",IF(J73&lt;25,"18-24 ans",IF(J73&lt;35,"25-34 ans",IF(J73&lt;45,"35-44 ans",IF(J73&lt;55,"45-54 ans",IF(J73&lt;65,"55-64 ans","65 ans et plus"))))))))))</f>
        <v/>
      </c>
      <c r="L73" s="65"/>
      <c r="M73" s="65"/>
      <c r="N73" s="65"/>
      <c r="O73" s="65"/>
      <c r="P73" s="67"/>
      <c r="Q73" s="65"/>
      <c r="R73" s="67"/>
      <c r="S73" s="67"/>
      <c r="T73" s="67"/>
      <c r="U73" s="67"/>
      <c r="V73" s="65"/>
      <c r="W73" s="65"/>
      <c r="X73" s="65"/>
      <c r="Y73" s="65"/>
      <c r="Z73" s="65"/>
      <c r="AA73" s="65"/>
      <c r="AB73" s="65"/>
      <c r="AC73" s="65"/>
      <c r="AD73" s="65"/>
      <c r="AE73" s="65"/>
      <c r="AF73" s="65"/>
      <c r="AG73" s="65"/>
      <c r="AH73" s="65"/>
      <c r="AI73" s="65"/>
      <c r="AJ73" s="65"/>
      <c r="AK73" s="65"/>
      <c r="AL73" s="65"/>
      <c r="AM73" s="64" t="str">
        <f aca="false">IFERROR(INDEX(PARAMETRES!$B$536:$B$586,MATCH(AL73,PARAMETRES!$J$536:$J$586,0)),"")</f>
        <v/>
      </c>
      <c r="AN73" s="64" t="str">
        <f aca="false">IFERROR(INDEX(PARAMETRES!$D$536:$D$586,MATCH(AL73,PARAMETRES!$J$536:$J$586,0)),"")</f>
        <v/>
      </c>
      <c r="AO73" s="64" t="str">
        <f aca="false">IFERROR(INDEX(PARAMETRES!$F$536:$F$586,MATCH(AL73,PARAMETRES!$J$536:$J$586,0)),"")</f>
        <v/>
      </c>
      <c r="AP73" s="64" t="str">
        <f aca="false">IFERROR(INDEX(PARAMETRES!$G$536:$G$586,MATCH(AL73,PARAMETRES!$J$536:$J$586,0)),"")</f>
        <v/>
      </c>
      <c r="AQ73" s="65"/>
      <c r="AR73" s="65"/>
      <c r="AS73" s="65"/>
      <c r="AT73" s="65"/>
      <c r="AU73" s="65"/>
      <c r="AV73" s="65"/>
      <c r="AW73" s="65"/>
      <c r="AX73" s="65"/>
      <c r="AY73" s="65"/>
      <c r="AZ73" s="65"/>
      <c r="BA73" s="65"/>
      <c r="BB73" s="66"/>
      <c r="BC73" s="65"/>
      <c r="BD73" s="65"/>
      <c r="BE73" s="66"/>
      <c r="BF73" s="66"/>
      <c r="BG73" s="65"/>
      <c r="BH73" s="65"/>
      <c r="BI73" s="65"/>
      <c r="BJ73" s="65"/>
      <c r="BK73" s="65"/>
      <c r="BL73" s="65"/>
      <c r="BM73" s="66"/>
      <c r="BN73" s="65"/>
      <c r="BO73" s="65"/>
      <c r="BP73" s="65"/>
      <c r="BQ73" s="65"/>
      <c r="BR73" s="65"/>
      <c r="BS73" s="65"/>
      <c r="BT73" s="65"/>
      <c r="BU73" s="66"/>
      <c r="BV73" s="64" t="str">
        <f aca="true">IF(BE73="","",DATEDIF(BE73,TODAY(),"y"))</f>
        <v/>
      </c>
      <c r="BW73" s="64" t="n">
        <f aca="false">COUNTIF(tbl_Beneficiaires_Activites[ID Beneficiaire],A73)</f>
        <v>40</v>
      </c>
      <c r="BX73" s="64" t="n">
        <f aca="false">COUNTIF(tbl_Beneficiaires_Appuis[ID Beneficiaire],A73)</f>
        <v>40</v>
      </c>
      <c r="BY73" s="64" t="str">
        <f aca="false">IF(D73="","",IF(COUNTIFS($D$56:$D$115,D73,$F$56:$F$115,F73,$I$56:$I$115,I73)&gt;1,"DOUBLON POSSIBLE","OK"))</f>
        <v/>
      </c>
      <c r="BZ73" s="65"/>
    </row>
    <row r="74" customFormat="false" ht="15" hidden="false" customHeight="true" outlineLevel="0" collapsed="false">
      <c r="A74" s="64" t="str">
        <f aca="false">IF(D74="","","BEN"&amp;TEXT(ROW()-55,"00000"))</f>
        <v/>
      </c>
      <c r="B74" s="65"/>
      <c r="C74" s="65"/>
      <c r="D74" s="65"/>
      <c r="E74" s="65"/>
      <c r="F74" s="65"/>
      <c r="G74" s="64" t="str">
        <f aca="false">TRIM(D74&amp;" "&amp;E74&amp;" "&amp;F74)</f>
        <v/>
      </c>
      <c r="H74" s="65"/>
      <c r="I74" s="66"/>
      <c r="J74" s="64" t="str">
        <f aca="true">IF(I74="","",DATEDIF(I74,TODAY(),"y"))</f>
        <v/>
      </c>
      <c r="K74" s="64" t="str">
        <f aca="false">IF(J74="","",IF(J74&lt;5,"0-4 ans",IF(J74&lt;10,"5-9 ans",IF(J74&lt;15,"10-14 ans",IF(J74&lt;18,"15-17 ans",IF(J74&lt;25,"18-24 ans",IF(J74&lt;35,"25-34 ans",IF(J74&lt;45,"35-44 ans",IF(J74&lt;55,"45-54 ans",IF(J74&lt;65,"55-64 ans","65 ans et plus"))))))))))</f>
        <v/>
      </c>
      <c r="L74" s="65"/>
      <c r="M74" s="65"/>
      <c r="N74" s="65"/>
      <c r="O74" s="65"/>
      <c r="P74" s="67"/>
      <c r="Q74" s="65"/>
      <c r="R74" s="67"/>
      <c r="S74" s="67"/>
      <c r="T74" s="67"/>
      <c r="U74" s="67"/>
      <c r="V74" s="65"/>
      <c r="W74" s="65"/>
      <c r="X74" s="65"/>
      <c r="Y74" s="65"/>
      <c r="Z74" s="65"/>
      <c r="AA74" s="65"/>
      <c r="AB74" s="65"/>
      <c r="AC74" s="65"/>
      <c r="AD74" s="65"/>
      <c r="AE74" s="65"/>
      <c r="AF74" s="65"/>
      <c r="AG74" s="65"/>
      <c r="AH74" s="65"/>
      <c r="AI74" s="65"/>
      <c r="AJ74" s="65"/>
      <c r="AK74" s="65"/>
      <c r="AL74" s="65"/>
      <c r="AM74" s="64" t="str">
        <f aca="false">IFERROR(INDEX(PARAMETRES!$B$536:$B$586,MATCH(AL74,PARAMETRES!$J$536:$J$586,0)),"")</f>
        <v/>
      </c>
      <c r="AN74" s="64" t="str">
        <f aca="false">IFERROR(INDEX(PARAMETRES!$D$536:$D$586,MATCH(AL74,PARAMETRES!$J$536:$J$586,0)),"")</f>
        <v/>
      </c>
      <c r="AO74" s="64" t="str">
        <f aca="false">IFERROR(INDEX(PARAMETRES!$F$536:$F$586,MATCH(AL74,PARAMETRES!$J$536:$J$586,0)),"")</f>
        <v/>
      </c>
      <c r="AP74" s="64" t="str">
        <f aca="false">IFERROR(INDEX(PARAMETRES!$G$536:$G$586,MATCH(AL74,PARAMETRES!$J$536:$J$586,0)),"")</f>
        <v/>
      </c>
      <c r="AQ74" s="65"/>
      <c r="AR74" s="65"/>
      <c r="AS74" s="65"/>
      <c r="AT74" s="65"/>
      <c r="AU74" s="65"/>
      <c r="AV74" s="65"/>
      <c r="AW74" s="65"/>
      <c r="AX74" s="65"/>
      <c r="AY74" s="65"/>
      <c r="AZ74" s="65"/>
      <c r="BA74" s="65"/>
      <c r="BB74" s="66"/>
      <c r="BC74" s="65"/>
      <c r="BD74" s="65"/>
      <c r="BE74" s="66"/>
      <c r="BF74" s="66"/>
      <c r="BG74" s="65"/>
      <c r="BH74" s="65"/>
      <c r="BI74" s="65"/>
      <c r="BJ74" s="65"/>
      <c r="BK74" s="65"/>
      <c r="BL74" s="65"/>
      <c r="BM74" s="66"/>
      <c r="BN74" s="65"/>
      <c r="BO74" s="65"/>
      <c r="BP74" s="65"/>
      <c r="BQ74" s="65"/>
      <c r="BR74" s="65"/>
      <c r="BS74" s="65"/>
      <c r="BT74" s="65"/>
      <c r="BU74" s="66"/>
      <c r="BV74" s="64" t="str">
        <f aca="true">IF(BE74="","",DATEDIF(BE74,TODAY(),"y"))</f>
        <v/>
      </c>
      <c r="BW74" s="64" t="n">
        <f aca="false">COUNTIF(tbl_Beneficiaires_Activites[ID Beneficiaire],A74)</f>
        <v>40</v>
      </c>
      <c r="BX74" s="64" t="n">
        <f aca="false">COUNTIF(tbl_Beneficiaires_Appuis[ID Beneficiaire],A74)</f>
        <v>40</v>
      </c>
      <c r="BY74" s="64" t="str">
        <f aca="false">IF(D74="","",IF(COUNTIFS($D$56:$D$115,D74,$F$56:$F$115,F74,$I$56:$I$115,I74)&gt;1,"DOUBLON POSSIBLE","OK"))</f>
        <v/>
      </c>
      <c r="BZ74" s="65"/>
    </row>
    <row r="75" customFormat="false" ht="15" hidden="false" customHeight="true" outlineLevel="0" collapsed="false">
      <c r="A75" s="64" t="str">
        <f aca="false">IF(D75="","","BEN"&amp;TEXT(ROW()-55,"00000"))</f>
        <v/>
      </c>
      <c r="B75" s="65"/>
      <c r="C75" s="65"/>
      <c r="D75" s="65"/>
      <c r="E75" s="65"/>
      <c r="F75" s="65"/>
      <c r="G75" s="64" t="str">
        <f aca="false">TRIM(D75&amp;" "&amp;E75&amp;" "&amp;F75)</f>
        <v/>
      </c>
      <c r="H75" s="65"/>
      <c r="I75" s="66"/>
      <c r="J75" s="64" t="str">
        <f aca="true">IF(I75="","",DATEDIF(I75,TODAY(),"y"))</f>
        <v/>
      </c>
      <c r="K75" s="64" t="str">
        <f aca="false">IF(J75="","",IF(J75&lt;5,"0-4 ans",IF(J75&lt;10,"5-9 ans",IF(J75&lt;15,"10-14 ans",IF(J75&lt;18,"15-17 ans",IF(J75&lt;25,"18-24 ans",IF(J75&lt;35,"25-34 ans",IF(J75&lt;45,"35-44 ans",IF(J75&lt;55,"45-54 ans",IF(J75&lt;65,"55-64 ans","65 ans et plus"))))))))))</f>
        <v/>
      </c>
      <c r="L75" s="65"/>
      <c r="M75" s="65"/>
      <c r="N75" s="65"/>
      <c r="O75" s="65"/>
      <c r="P75" s="67"/>
      <c r="Q75" s="65"/>
      <c r="R75" s="67"/>
      <c r="S75" s="67"/>
      <c r="T75" s="67"/>
      <c r="U75" s="67"/>
      <c r="V75" s="65"/>
      <c r="W75" s="65"/>
      <c r="X75" s="65"/>
      <c r="Y75" s="65"/>
      <c r="Z75" s="65"/>
      <c r="AA75" s="65"/>
      <c r="AB75" s="65"/>
      <c r="AC75" s="65"/>
      <c r="AD75" s="65"/>
      <c r="AE75" s="65"/>
      <c r="AF75" s="65"/>
      <c r="AG75" s="65"/>
      <c r="AH75" s="65"/>
      <c r="AI75" s="65"/>
      <c r="AJ75" s="65"/>
      <c r="AK75" s="65"/>
      <c r="AL75" s="65"/>
      <c r="AM75" s="64" t="str">
        <f aca="false">IFERROR(INDEX(PARAMETRES!$B$536:$B$586,MATCH(AL75,PARAMETRES!$J$536:$J$586,0)),"")</f>
        <v/>
      </c>
      <c r="AN75" s="64" t="str">
        <f aca="false">IFERROR(INDEX(PARAMETRES!$D$536:$D$586,MATCH(AL75,PARAMETRES!$J$536:$J$586,0)),"")</f>
        <v/>
      </c>
      <c r="AO75" s="64" t="str">
        <f aca="false">IFERROR(INDEX(PARAMETRES!$F$536:$F$586,MATCH(AL75,PARAMETRES!$J$536:$J$586,0)),"")</f>
        <v/>
      </c>
      <c r="AP75" s="64" t="str">
        <f aca="false">IFERROR(INDEX(PARAMETRES!$G$536:$G$586,MATCH(AL75,PARAMETRES!$J$536:$J$586,0)),"")</f>
        <v/>
      </c>
      <c r="AQ75" s="65"/>
      <c r="AR75" s="65"/>
      <c r="AS75" s="65"/>
      <c r="AT75" s="65"/>
      <c r="AU75" s="65"/>
      <c r="AV75" s="65"/>
      <c r="AW75" s="65"/>
      <c r="AX75" s="65"/>
      <c r="AY75" s="65"/>
      <c r="AZ75" s="65"/>
      <c r="BA75" s="65"/>
      <c r="BB75" s="66"/>
      <c r="BC75" s="65"/>
      <c r="BD75" s="65"/>
      <c r="BE75" s="66"/>
      <c r="BF75" s="66"/>
      <c r="BG75" s="65"/>
      <c r="BH75" s="65"/>
      <c r="BI75" s="65"/>
      <c r="BJ75" s="65"/>
      <c r="BK75" s="65"/>
      <c r="BL75" s="65"/>
      <c r="BM75" s="66"/>
      <c r="BN75" s="65"/>
      <c r="BO75" s="65"/>
      <c r="BP75" s="65"/>
      <c r="BQ75" s="65"/>
      <c r="BR75" s="65"/>
      <c r="BS75" s="65"/>
      <c r="BT75" s="65"/>
      <c r="BU75" s="66"/>
      <c r="BV75" s="64" t="str">
        <f aca="true">IF(BE75="","",DATEDIF(BE75,TODAY(),"y"))</f>
        <v/>
      </c>
      <c r="BW75" s="64" t="n">
        <f aca="false">COUNTIF(tbl_Beneficiaires_Activites[ID Beneficiaire],A75)</f>
        <v>40</v>
      </c>
      <c r="BX75" s="64" t="n">
        <f aca="false">COUNTIF(tbl_Beneficiaires_Appuis[ID Beneficiaire],A75)</f>
        <v>40</v>
      </c>
      <c r="BY75" s="64" t="str">
        <f aca="false">IF(D75="","",IF(COUNTIFS($D$56:$D$115,D75,$F$56:$F$115,F75,$I$56:$I$115,I75)&gt;1,"DOUBLON POSSIBLE","OK"))</f>
        <v/>
      </c>
      <c r="BZ75" s="65"/>
    </row>
    <row r="76" customFormat="false" ht="15" hidden="false" customHeight="true" outlineLevel="0" collapsed="false">
      <c r="A76" s="64" t="str">
        <f aca="false">IF(D76="","","BEN"&amp;TEXT(ROW()-55,"00000"))</f>
        <v/>
      </c>
      <c r="B76" s="65"/>
      <c r="C76" s="65"/>
      <c r="D76" s="65"/>
      <c r="E76" s="65"/>
      <c r="F76" s="65"/>
      <c r="G76" s="64" t="str">
        <f aca="false">TRIM(D76&amp;" "&amp;E76&amp;" "&amp;F76)</f>
        <v/>
      </c>
      <c r="H76" s="65"/>
      <c r="I76" s="66"/>
      <c r="J76" s="64" t="str">
        <f aca="true">IF(I76="","",DATEDIF(I76,TODAY(),"y"))</f>
        <v/>
      </c>
      <c r="K76" s="64" t="str">
        <f aca="false">IF(J76="","",IF(J76&lt;5,"0-4 ans",IF(J76&lt;10,"5-9 ans",IF(J76&lt;15,"10-14 ans",IF(J76&lt;18,"15-17 ans",IF(J76&lt;25,"18-24 ans",IF(J76&lt;35,"25-34 ans",IF(J76&lt;45,"35-44 ans",IF(J76&lt;55,"45-54 ans",IF(J76&lt;65,"55-64 ans","65 ans et plus"))))))))))</f>
        <v/>
      </c>
      <c r="L76" s="65"/>
      <c r="M76" s="65"/>
      <c r="N76" s="65"/>
      <c r="O76" s="65"/>
      <c r="P76" s="67"/>
      <c r="Q76" s="65"/>
      <c r="R76" s="67"/>
      <c r="S76" s="67"/>
      <c r="T76" s="67"/>
      <c r="U76" s="67"/>
      <c r="V76" s="65"/>
      <c r="W76" s="65"/>
      <c r="X76" s="65"/>
      <c r="Y76" s="65"/>
      <c r="Z76" s="65"/>
      <c r="AA76" s="65"/>
      <c r="AB76" s="65"/>
      <c r="AC76" s="65"/>
      <c r="AD76" s="65"/>
      <c r="AE76" s="65"/>
      <c r="AF76" s="65"/>
      <c r="AG76" s="65"/>
      <c r="AH76" s="65"/>
      <c r="AI76" s="65"/>
      <c r="AJ76" s="65"/>
      <c r="AK76" s="65"/>
      <c r="AL76" s="65"/>
      <c r="AM76" s="64" t="str">
        <f aca="false">IFERROR(INDEX(PARAMETRES!$B$536:$B$586,MATCH(AL76,PARAMETRES!$J$536:$J$586,0)),"")</f>
        <v/>
      </c>
      <c r="AN76" s="64" t="str">
        <f aca="false">IFERROR(INDEX(PARAMETRES!$D$536:$D$586,MATCH(AL76,PARAMETRES!$J$536:$J$586,0)),"")</f>
        <v/>
      </c>
      <c r="AO76" s="64" t="str">
        <f aca="false">IFERROR(INDEX(PARAMETRES!$F$536:$F$586,MATCH(AL76,PARAMETRES!$J$536:$J$586,0)),"")</f>
        <v/>
      </c>
      <c r="AP76" s="64" t="str">
        <f aca="false">IFERROR(INDEX(PARAMETRES!$G$536:$G$586,MATCH(AL76,PARAMETRES!$J$536:$J$586,0)),"")</f>
        <v/>
      </c>
      <c r="AQ76" s="65"/>
      <c r="AR76" s="65"/>
      <c r="AS76" s="65"/>
      <c r="AT76" s="65"/>
      <c r="AU76" s="65"/>
      <c r="AV76" s="65"/>
      <c r="AW76" s="65"/>
      <c r="AX76" s="65"/>
      <c r="AY76" s="65"/>
      <c r="AZ76" s="65"/>
      <c r="BA76" s="65"/>
      <c r="BB76" s="66"/>
      <c r="BC76" s="65"/>
      <c r="BD76" s="65"/>
      <c r="BE76" s="66"/>
      <c r="BF76" s="66"/>
      <c r="BG76" s="65"/>
      <c r="BH76" s="65"/>
      <c r="BI76" s="65"/>
      <c r="BJ76" s="65"/>
      <c r="BK76" s="65"/>
      <c r="BL76" s="65"/>
      <c r="BM76" s="66"/>
      <c r="BN76" s="65"/>
      <c r="BO76" s="65"/>
      <c r="BP76" s="65"/>
      <c r="BQ76" s="65"/>
      <c r="BR76" s="65"/>
      <c r="BS76" s="65"/>
      <c r="BT76" s="65"/>
      <c r="BU76" s="66"/>
      <c r="BV76" s="64" t="str">
        <f aca="true">IF(BE76="","",DATEDIF(BE76,TODAY(),"y"))</f>
        <v/>
      </c>
      <c r="BW76" s="64" t="n">
        <f aca="false">COUNTIF(tbl_Beneficiaires_Activites[ID Beneficiaire],A76)</f>
        <v>40</v>
      </c>
      <c r="BX76" s="64" t="n">
        <f aca="false">COUNTIF(tbl_Beneficiaires_Appuis[ID Beneficiaire],A76)</f>
        <v>40</v>
      </c>
      <c r="BY76" s="64" t="str">
        <f aca="false">IF(D76="","",IF(COUNTIFS($D$56:$D$115,D76,$F$56:$F$115,F76,$I$56:$I$115,I76)&gt;1,"DOUBLON POSSIBLE","OK"))</f>
        <v/>
      </c>
      <c r="BZ76" s="65"/>
    </row>
    <row r="77" customFormat="false" ht="15" hidden="false" customHeight="true" outlineLevel="0" collapsed="false">
      <c r="A77" s="64" t="str">
        <f aca="false">IF(D77="","","BEN"&amp;TEXT(ROW()-55,"00000"))</f>
        <v/>
      </c>
      <c r="B77" s="65"/>
      <c r="C77" s="65"/>
      <c r="D77" s="65"/>
      <c r="E77" s="65"/>
      <c r="F77" s="65"/>
      <c r="G77" s="64" t="str">
        <f aca="false">TRIM(D77&amp;" "&amp;E77&amp;" "&amp;F77)</f>
        <v/>
      </c>
      <c r="H77" s="65"/>
      <c r="I77" s="66"/>
      <c r="J77" s="64" t="str">
        <f aca="true">IF(I77="","",DATEDIF(I77,TODAY(),"y"))</f>
        <v/>
      </c>
      <c r="K77" s="64" t="str">
        <f aca="false">IF(J77="","",IF(J77&lt;5,"0-4 ans",IF(J77&lt;10,"5-9 ans",IF(J77&lt;15,"10-14 ans",IF(J77&lt;18,"15-17 ans",IF(J77&lt;25,"18-24 ans",IF(J77&lt;35,"25-34 ans",IF(J77&lt;45,"35-44 ans",IF(J77&lt;55,"45-54 ans",IF(J77&lt;65,"55-64 ans","65 ans et plus"))))))))))</f>
        <v/>
      </c>
      <c r="L77" s="65"/>
      <c r="M77" s="65"/>
      <c r="N77" s="65"/>
      <c r="O77" s="65"/>
      <c r="P77" s="67"/>
      <c r="Q77" s="65"/>
      <c r="R77" s="67"/>
      <c r="S77" s="67"/>
      <c r="T77" s="67"/>
      <c r="U77" s="67"/>
      <c r="V77" s="65"/>
      <c r="W77" s="65"/>
      <c r="X77" s="65"/>
      <c r="Y77" s="65"/>
      <c r="Z77" s="65"/>
      <c r="AA77" s="65"/>
      <c r="AB77" s="65"/>
      <c r="AC77" s="65"/>
      <c r="AD77" s="65"/>
      <c r="AE77" s="65"/>
      <c r="AF77" s="65"/>
      <c r="AG77" s="65"/>
      <c r="AH77" s="65"/>
      <c r="AI77" s="65"/>
      <c r="AJ77" s="65"/>
      <c r="AK77" s="65"/>
      <c r="AL77" s="65"/>
      <c r="AM77" s="64" t="str">
        <f aca="false">IFERROR(INDEX(PARAMETRES!$B$536:$B$586,MATCH(AL77,PARAMETRES!$J$536:$J$586,0)),"")</f>
        <v/>
      </c>
      <c r="AN77" s="64" t="str">
        <f aca="false">IFERROR(INDEX(PARAMETRES!$D$536:$D$586,MATCH(AL77,PARAMETRES!$J$536:$J$586,0)),"")</f>
        <v/>
      </c>
      <c r="AO77" s="64" t="str">
        <f aca="false">IFERROR(INDEX(PARAMETRES!$F$536:$F$586,MATCH(AL77,PARAMETRES!$J$536:$J$586,0)),"")</f>
        <v/>
      </c>
      <c r="AP77" s="64" t="str">
        <f aca="false">IFERROR(INDEX(PARAMETRES!$G$536:$G$586,MATCH(AL77,PARAMETRES!$J$536:$J$586,0)),"")</f>
        <v/>
      </c>
      <c r="AQ77" s="65"/>
      <c r="AR77" s="65"/>
      <c r="AS77" s="65"/>
      <c r="AT77" s="65"/>
      <c r="AU77" s="65"/>
      <c r="AV77" s="65"/>
      <c r="AW77" s="65"/>
      <c r="AX77" s="65"/>
      <c r="AY77" s="65"/>
      <c r="AZ77" s="65"/>
      <c r="BA77" s="65"/>
      <c r="BB77" s="66"/>
      <c r="BC77" s="65"/>
      <c r="BD77" s="65"/>
      <c r="BE77" s="66"/>
      <c r="BF77" s="66"/>
      <c r="BG77" s="65"/>
      <c r="BH77" s="65"/>
      <c r="BI77" s="65"/>
      <c r="BJ77" s="65"/>
      <c r="BK77" s="65"/>
      <c r="BL77" s="65"/>
      <c r="BM77" s="66"/>
      <c r="BN77" s="65"/>
      <c r="BO77" s="65"/>
      <c r="BP77" s="65"/>
      <c r="BQ77" s="65"/>
      <c r="BR77" s="65"/>
      <c r="BS77" s="65"/>
      <c r="BT77" s="65"/>
      <c r="BU77" s="66"/>
      <c r="BV77" s="64" t="str">
        <f aca="true">IF(BE77="","",DATEDIF(BE77,TODAY(),"y"))</f>
        <v/>
      </c>
      <c r="BW77" s="64" t="n">
        <f aca="false">COUNTIF(tbl_Beneficiaires_Activites[ID Beneficiaire],A77)</f>
        <v>40</v>
      </c>
      <c r="BX77" s="64" t="n">
        <f aca="false">COUNTIF(tbl_Beneficiaires_Appuis[ID Beneficiaire],A77)</f>
        <v>40</v>
      </c>
      <c r="BY77" s="64" t="str">
        <f aca="false">IF(D77="","",IF(COUNTIFS($D$56:$D$115,D77,$F$56:$F$115,F77,$I$56:$I$115,I77)&gt;1,"DOUBLON POSSIBLE","OK"))</f>
        <v/>
      </c>
      <c r="BZ77" s="65"/>
    </row>
    <row r="78" customFormat="false" ht="15" hidden="false" customHeight="true" outlineLevel="0" collapsed="false">
      <c r="A78" s="64" t="str">
        <f aca="false">IF(D78="","","BEN"&amp;TEXT(ROW()-55,"00000"))</f>
        <v/>
      </c>
      <c r="B78" s="65"/>
      <c r="C78" s="65"/>
      <c r="D78" s="65"/>
      <c r="E78" s="65"/>
      <c r="F78" s="65"/>
      <c r="G78" s="64" t="str">
        <f aca="false">TRIM(D78&amp;" "&amp;E78&amp;" "&amp;F78)</f>
        <v/>
      </c>
      <c r="H78" s="65"/>
      <c r="I78" s="66"/>
      <c r="J78" s="64" t="str">
        <f aca="true">IF(I78="","",DATEDIF(I78,TODAY(),"y"))</f>
        <v/>
      </c>
      <c r="K78" s="64" t="str">
        <f aca="false">IF(J78="","",IF(J78&lt;5,"0-4 ans",IF(J78&lt;10,"5-9 ans",IF(J78&lt;15,"10-14 ans",IF(J78&lt;18,"15-17 ans",IF(J78&lt;25,"18-24 ans",IF(J78&lt;35,"25-34 ans",IF(J78&lt;45,"35-44 ans",IF(J78&lt;55,"45-54 ans",IF(J78&lt;65,"55-64 ans","65 ans et plus"))))))))))</f>
        <v/>
      </c>
      <c r="L78" s="65"/>
      <c r="M78" s="65"/>
      <c r="N78" s="65"/>
      <c r="O78" s="65"/>
      <c r="P78" s="67"/>
      <c r="Q78" s="65"/>
      <c r="R78" s="67"/>
      <c r="S78" s="67"/>
      <c r="T78" s="67"/>
      <c r="U78" s="67"/>
      <c r="V78" s="65"/>
      <c r="W78" s="65"/>
      <c r="X78" s="65"/>
      <c r="Y78" s="65"/>
      <c r="Z78" s="65"/>
      <c r="AA78" s="65"/>
      <c r="AB78" s="65"/>
      <c r="AC78" s="65"/>
      <c r="AD78" s="65"/>
      <c r="AE78" s="65"/>
      <c r="AF78" s="65"/>
      <c r="AG78" s="65"/>
      <c r="AH78" s="65"/>
      <c r="AI78" s="65"/>
      <c r="AJ78" s="65"/>
      <c r="AK78" s="65"/>
      <c r="AL78" s="65"/>
      <c r="AM78" s="64" t="str">
        <f aca="false">IFERROR(INDEX(PARAMETRES!$B$536:$B$586,MATCH(AL78,PARAMETRES!$J$536:$J$586,0)),"")</f>
        <v/>
      </c>
      <c r="AN78" s="64" t="str">
        <f aca="false">IFERROR(INDEX(PARAMETRES!$D$536:$D$586,MATCH(AL78,PARAMETRES!$J$536:$J$586,0)),"")</f>
        <v/>
      </c>
      <c r="AO78" s="64" t="str">
        <f aca="false">IFERROR(INDEX(PARAMETRES!$F$536:$F$586,MATCH(AL78,PARAMETRES!$J$536:$J$586,0)),"")</f>
        <v/>
      </c>
      <c r="AP78" s="64" t="str">
        <f aca="false">IFERROR(INDEX(PARAMETRES!$G$536:$G$586,MATCH(AL78,PARAMETRES!$J$536:$J$586,0)),"")</f>
        <v/>
      </c>
      <c r="AQ78" s="65"/>
      <c r="AR78" s="65"/>
      <c r="AS78" s="65"/>
      <c r="AT78" s="65"/>
      <c r="AU78" s="65"/>
      <c r="AV78" s="65"/>
      <c r="AW78" s="65"/>
      <c r="AX78" s="65"/>
      <c r="AY78" s="65"/>
      <c r="AZ78" s="65"/>
      <c r="BA78" s="65"/>
      <c r="BB78" s="66"/>
      <c r="BC78" s="65"/>
      <c r="BD78" s="65"/>
      <c r="BE78" s="66"/>
      <c r="BF78" s="66"/>
      <c r="BG78" s="65"/>
      <c r="BH78" s="65"/>
      <c r="BI78" s="65"/>
      <c r="BJ78" s="65"/>
      <c r="BK78" s="65"/>
      <c r="BL78" s="65"/>
      <c r="BM78" s="66"/>
      <c r="BN78" s="65"/>
      <c r="BO78" s="65"/>
      <c r="BP78" s="65"/>
      <c r="BQ78" s="65"/>
      <c r="BR78" s="65"/>
      <c r="BS78" s="65"/>
      <c r="BT78" s="65"/>
      <c r="BU78" s="66"/>
      <c r="BV78" s="64" t="str">
        <f aca="true">IF(BE78="","",DATEDIF(BE78,TODAY(),"y"))</f>
        <v/>
      </c>
      <c r="BW78" s="64" t="n">
        <f aca="false">COUNTIF(tbl_Beneficiaires_Activites[ID Beneficiaire],A78)</f>
        <v>40</v>
      </c>
      <c r="BX78" s="64" t="n">
        <f aca="false">COUNTIF(tbl_Beneficiaires_Appuis[ID Beneficiaire],A78)</f>
        <v>40</v>
      </c>
      <c r="BY78" s="64" t="str">
        <f aca="false">IF(D78="","",IF(COUNTIFS($D$56:$D$115,D78,$F$56:$F$115,F78,$I$56:$I$115,I78)&gt;1,"DOUBLON POSSIBLE","OK"))</f>
        <v/>
      </c>
      <c r="BZ78" s="65"/>
    </row>
    <row r="79" customFormat="false" ht="15" hidden="false" customHeight="true" outlineLevel="0" collapsed="false">
      <c r="A79" s="64" t="str">
        <f aca="false">IF(D79="","","BEN"&amp;TEXT(ROW()-55,"00000"))</f>
        <v/>
      </c>
      <c r="B79" s="65"/>
      <c r="C79" s="65"/>
      <c r="D79" s="65"/>
      <c r="E79" s="65"/>
      <c r="F79" s="65"/>
      <c r="G79" s="64" t="str">
        <f aca="false">TRIM(D79&amp;" "&amp;E79&amp;" "&amp;F79)</f>
        <v/>
      </c>
      <c r="H79" s="65"/>
      <c r="I79" s="66"/>
      <c r="J79" s="64" t="str">
        <f aca="true">IF(I79="","",DATEDIF(I79,TODAY(),"y"))</f>
        <v/>
      </c>
      <c r="K79" s="64" t="str">
        <f aca="false">IF(J79="","",IF(J79&lt;5,"0-4 ans",IF(J79&lt;10,"5-9 ans",IF(J79&lt;15,"10-14 ans",IF(J79&lt;18,"15-17 ans",IF(J79&lt;25,"18-24 ans",IF(J79&lt;35,"25-34 ans",IF(J79&lt;45,"35-44 ans",IF(J79&lt;55,"45-54 ans",IF(J79&lt;65,"55-64 ans","65 ans et plus"))))))))))</f>
        <v/>
      </c>
      <c r="L79" s="65"/>
      <c r="M79" s="65"/>
      <c r="N79" s="65"/>
      <c r="O79" s="65"/>
      <c r="P79" s="67"/>
      <c r="Q79" s="65"/>
      <c r="R79" s="67"/>
      <c r="S79" s="67"/>
      <c r="T79" s="67"/>
      <c r="U79" s="67"/>
      <c r="V79" s="65"/>
      <c r="W79" s="65"/>
      <c r="X79" s="65"/>
      <c r="Y79" s="65"/>
      <c r="Z79" s="65"/>
      <c r="AA79" s="65"/>
      <c r="AB79" s="65"/>
      <c r="AC79" s="65"/>
      <c r="AD79" s="65"/>
      <c r="AE79" s="65"/>
      <c r="AF79" s="65"/>
      <c r="AG79" s="65"/>
      <c r="AH79" s="65"/>
      <c r="AI79" s="65"/>
      <c r="AJ79" s="65"/>
      <c r="AK79" s="65"/>
      <c r="AL79" s="65"/>
      <c r="AM79" s="64" t="str">
        <f aca="false">IFERROR(INDEX(PARAMETRES!$B$536:$B$586,MATCH(AL79,PARAMETRES!$J$536:$J$586,0)),"")</f>
        <v/>
      </c>
      <c r="AN79" s="64" t="str">
        <f aca="false">IFERROR(INDEX(PARAMETRES!$D$536:$D$586,MATCH(AL79,PARAMETRES!$J$536:$J$586,0)),"")</f>
        <v/>
      </c>
      <c r="AO79" s="64" t="str">
        <f aca="false">IFERROR(INDEX(PARAMETRES!$F$536:$F$586,MATCH(AL79,PARAMETRES!$J$536:$J$586,0)),"")</f>
        <v/>
      </c>
      <c r="AP79" s="64" t="str">
        <f aca="false">IFERROR(INDEX(PARAMETRES!$G$536:$G$586,MATCH(AL79,PARAMETRES!$J$536:$J$586,0)),"")</f>
        <v/>
      </c>
      <c r="AQ79" s="65"/>
      <c r="AR79" s="65"/>
      <c r="AS79" s="65"/>
      <c r="AT79" s="65"/>
      <c r="AU79" s="65"/>
      <c r="AV79" s="65"/>
      <c r="AW79" s="65"/>
      <c r="AX79" s="65"/>
      <c r="AY79" s="65"/>
      <c r="AZ79" s="65"/>
      <c r="BA79" s="65"/>
      <c r="BB79" s="66"/>
      <c r="BC79" s="65"/>
      <c r="BD79" s="65"/>
      <c r="BE79" s="66"/>
      <c r="BF79" s="66"/>
      <c r="BG79" s="65"/>
      <c r="BH79" s="65"/>
      <c r="BI79" s="65"/>
      <c r="BJ79" s="65"/>
      <c r="BK79" s="65"/>
      <c r="BL79" s="65"/>
      <c r="BM79" s="66"/>
      <c r="BN79" s="65"/>
      <c r="BO79" s="65"/>
      <c r="BP79" s="65"/>
      <c r="BQ79" s="65"/>
      <c r="BR79" s="65"/>
      <c r="BS79" s="65"/>
      <c r="BT79" s="65"/>
      <c r="BU79" s="66"/>
      <c r="BV79" s="64" t="str">
        <f aca="true">IF(BE79="","",DATEDIF(BE79,TODAY(),"y"))</f>
        <v/>
      </c>
      <c r="BW79" s="64" t="n">
        <f aca="false">COUNTIF(tbl_Beneficiaires_Activites[ID Beneficiaire],A79)</f>
        <v>40</v>
      </c>
      <c r="BX79" s="64" t="n">
        <f aca="false">COUNTIF(tbl_Beneficiaires_Appuis[ID Beneficiaire],A79)</f>
        <v>40</v>
      </c>
      <c r="BY79" s="64" t="str">
        <f aca="false">IF(D79="","",IF(COUNTIFS($D$56:$D$115,D79,$F$56:$F$115,F79,$I$56:$I$115,I79)&gt;1,"DOUBLON POSSIBLE","OK"))</f>
        <v/>
      </c>
      <c r="BZ79" s="65"/>
    </row>
    <row r="80" customFormat="false" ht="15" hidden="false" customHeight="true" outlineLevel="0" collapsed="false">
      <c r="A80" s="64" t="str">
        <f aca="false">IF(D80="","","BEN"&amp;TEXT(ROW()-55,"00000"))</f>
        <v/>
      </c>
      <c r="B80" s="65"/>
      <c r="C80" s="65"/>
      <c r="D80" s="65"/>
      <c r="E80" s="65"/>
      <c r="F80" s="65"/>
      <c r="G80" s="64" t="str">
        <f aca="false">TRIM(D80&amp;" "&amp;E80&amp;" "&amp;F80)</f>
        <v/>
      </c>
      <c r="H80" s="65"/>
      <c r="I80" s="66"/>
      <c r="J80" s="64" t="str">
        <f aca="true">IF(I80="","",DATEDIF(I80,TODAY(),"y"))</f>
        <v/>
      </c>
      <c r="K80" s="64" t="str">
        <f aca="false">IF(J80="","",IF(J80&lt;5,"0-4 ans",IF(J80&lt;10,"5-9 ans",IF(J80&lt;15,"10-14 ans",IF(J80&lt;18,"15-17 ans",IF(J80&lt;25,"18-24 ans",IF(J80&lt;35,"25-34 ans",IF(J80&lt;45,"35-44 ans",IF(J80&lt;55,"45-54 ans",IF(J80&lt;65,"55-64 ans","65 ans et plus"))))))))))</f>
        <v/>
      </c>
      <c r="L80" s="65"/>
      <c r="M80" s="65"/>
      <c r="N80" s="65"/>
      <c r="O80" s="65"/>
      <c r="P80" s="67"/>
      <c r="Q80" s="65"/>
      <c r="R80" s="67"/>
      <c r="S80" s="67"/>
      <c r="T80" s="67"/>
      <c r="U80" s="67"/>
      <c r="V80" s="65"/>
      <c r="W80" s="65"/>
      <c r="X80" s="65"/>
      <c r="Y80" s="65"/>
      <c r="Z80" s="65"/>
      <c r="AA80" s="65"/>
      <c r="AB80" s="65"/>
      <c r="AC80" s="65"/>
      <c r="AD80" s="65"/>
      <c r="AE80" s="65"/>
      <c r="AF80" s="65"/>
      <c r="AG80" s="65"/>
      <c r="AH80" s="65"/>
      <c r="AI80" s="65"/>
      <c r="AJ80" s="65"/>
      <c r="AK80" s="65"/>
      <c r="AL80" s="65"/>
      <c r="AM80" s="64" t="str">
        <f aca="false">IFERROR(INDEX(PARAMETRES!$B$536:$B$586,MATCH(AL80,PARAMETRES!$J$536:$J$586,0)),"")</f>
        <v/>
      </c>
      <c r="AN80" s="64" t="str">
        <f aca="false">IFERROR(INDEX(PARAMETRES!$D$536:$D$586,MATCH(AL80,PARAMETRES!$J$536:$J$586,0)),"")</f>
        <v/>
      </c>
      <c r="AO80" s="64" t="str">
        <f aca="false">IFERROR(INDEX(PARAMETRES!$F$536:$F$586,MATCH(AL80,PARAMETRES!$J$536:$J$586,0)),"")</f>
        <v/>
      </c>
      <c r="AP80" s="64" t="str">
        <f aca="false">IFERROR(INDEX(PARAMETRES!$G$536:$G$586,MATCH(AL80,PARAMETRES!$J$536:$J$586,0)),"")</f>
        <v/>
      </c>
      <c r="AQ80" s="65"/>
      <c r="AR80" s="65"/>
      <c r="AS80" s="65"/>
      <c r="AT80" s="65"/>
      <c r="AU80" s="65"/>
      <c r="AV80" s="65"/>
      <c r="AW80" s="65"/>
      <c r="AX80" s="65"/>
      <c r="AY80" s="65"/>
      <c r="AZ80" s="65"/>
      <c r="BA80" s="65"/>
      <c r="BB80" s="66"/>
      <c r="BC80" s="65"/>
      <c r="BD80" s="65"/>
      <c r="BE80" s="66"/>
      <c r="BF80" s="66"/>
      <c r="BG80" s="65"/>
      <c r="BH80" s="65"/>
      <c r="BI80" s="65"/>
      <c r="BJ80" s="65"/>
      <c r="BK80" s="65"/>
      <c r="BL80" s="65"/>
      <c r="BM80" s="66"/>
      <c r="BN80" s="65"/>
      <c r="BO80" s="65"/>
      <c r="BP80" s="65"/>
      <c r="BQ80" s="65"/>
      <c r="BR80" s="65"/>
      <c r="BS80" s="65"/>
      <c r="BT80" s="65"/>
      <c r="BU80" s="66"/>
      <c r="BV80" s="64" t="str">
        <f aca="true">IF(BE80="","",DATEDIF(BE80,TODAY(),"y"))</f>
        <v/>
      </c>
      <c r="BW80" s="64" t="n">
        <f aca="false">COUNTIF(tbl_Beneficiaires_Activites[ID Beneficiaire],A80)</f>
        <v>40</v>
      </c>
      <c r="BX80" s="64" t="n">
        <f aca="false">COUNTIF(tbl_Beneficiaires_Appuis[ID Beneficiaire],A80)</f>
        <v>40</v>
      </c>
      <c r="BY80" s="64" t="str">
        <f aca="false">IF(D80="","",IF(COUNTIFS($D$56:$D$115,D80,$F$56:$F$115,F80,$I$56:$I$115,I80)&gt;1,"DOUBLON POSSIBLE","OK"))</f>
        <v/>
      </c>
      <c r="BZ80" s="65"/>
    </row>
    <row r="81" customFormat="false" ht="15" hidden="false" customHeight="true" outlineLevel="0" collapsed="false">
      <c r="A81" s="64" t="str">
        <f aca="false">IF(D81="","","BEN"&amp;TEXT(ROW()-55,"00000"))</f>
        <v/>
      </c>
      <c r="B81" s="65"/>
      <c r="C81" s="65"/>
      <c r="D81" s="65"/>
      <c r="E81" s="65"/>
      <c r="F81" s="65"/>
      <c r="G81" s="64" t="str">
        <f aca="false">TRIM(D81&amp;" "&amp;E81&amp;" "&amp;F81)</f>
        <v/>
      </c>
      <c r="H81" s="65"/>
      <c r="I81" s="66"/>
      <c r="J81" s="64" t="str">
        <f aca="true">IF(I81="","",DATEDIF(I81,TODAY(),"y"))</f>
        <v/>
      </c>
      <c r="K81" s="64" t="str">
        <f aca="false">IF(J81="","",IF(J81&lt;5,"0-4 ans",IF(J81&lt;10,"5-9 ans",IF(J81&lt;15,"10-14 ans",IF(J81&lt;18,"15-17 ans",IF(J81&lt;25,"18-24 ans",IF(J81&lt;35,"25-34 ans",IF(J81&lt;45,"35-44 ans",IF(J81&lt;55,"45-54 ans",IF(J81&lt;65,"55-64 ans","65 ans et plus"))))))))))</f>
        <v/>
      </c>
      <c r="L81" s="65"/>
      <c r="M81" s="65"/>
      <c r="N81" s="65"/>
      <c r="O81" s="65"/>
      <c r="P81" s="67"/>
      <c r="Q81" s="65"/>
      <c r="R81" s="67"/>
      <c r="S81" s="67"/>
      <c r="T81" s="67"/>
      <c r="U81" s="67"/>
      <c r="V81" s="65"/>
      <c r="W81" s="65"/>
      <c r="X81" s="65"/>
      <c r="Y81" s="65"/>
      <c r="Z81" s="65"/>
      <c r="AA81" s="65"/>
      <c r="AB81" s="65"/>
      <c r="AC81" s="65"/>
      <c r="AD81" s="65"/>
      <c r="AE81" s="65"/>
      <c r="AF81" s="65"/>
      <c r="AG81" s="65"/>
      <c r="AH81" s="65"/>
      <c r="AI81" s="65"/>
      <c r="AJ81" s="65"/>
      <c r="AK81" s="65"/>
      <c r="AL81" s="65"/>
      <c r="AM81" s="64" t="str">
        <f aca="false">IFERROR(INDEX(PARAMETRES!$B$536:$B$586,MATCH(AL81,PARAMETRES!$J$536:$J$586,0)),"")</f>
        <v/>
      </c>
      <c r="AN81" s="64" t="str">
        <f aca="false">IFERROR(INDEX(PARAMETRES!$D$536:$D$586,MATCH(AL81,PARAMETRES!$J$536:$J$586,0)),"")</f>
        <v/>
      </c>
      <c r="AO81" s="64" t="str">
        <f aca="false">IFERROR(INDEX(PARAMETRES!$F$536:$F$586,MATCH(AL81,PARAMETRES!$J$536:$J$586,0)),"")</f>
        <v/>
      </c>
      <c r="AP81" s="64" t="str">
        <f aca="false">IFERROR(INDEX(PARAMETRES!$G$536:$G$586,MATCH(AL81,PARAMETRES!$J$536:$J$586,0)),"")</f>
        <v/>
      </c>
      <c r="AQ81" s="65"/>
      <c r="AR81" s="65"/>
      <c r="AS81" s="65"/>
      <c r="AT81" s="65"/>
      <c r="AU81" s="65"/>
      <c r="AV81" s="65"/>
      <c r="AW81" s="65"/>
      <c r="AX81" s="65"/>
      <c r="AY81" s="65"/>
      <c r="AZ81" s="65"/>
      <c r="BA81" s="65"/>
      <c r="BB81" s="66"/>
      <c r="BC81" s="65"/>
      <c r="BD81" s="65"/>
      <c r="BE81" s="66"/>
      <c r="BF81" s="66"/>
      <c r="BG81" s="65"/>
      <c r="BH81" s="65"/>
      <c r="BI81" s="65"/>
      <c r="BJ81" s="65"/>
      <c r="BK81" s="65"/>
      <c r="BL81" s="65"/>
      <c r="BM81" s="66"/>
      <c r="BN81" s="65"/>
      <c r="BO81" s="65"/>
      <c r="BP81" s="65"/>
      <c r="BQ81" s="65"/>
      <c r="BR81" s="65"/>
      <c r="BS81" s="65"/>
      <c r="BT81" s="65"/>
      <c r="BU81" s="66"/>
      <c r="BV81" s="64" t="str">
        <f aca="true">IF(BE81="","",DATEDIF(BE81,TODAY(),"y"))</f>
        <v/>
      </c>
      <c r="BW81" s="64" t="n">
        <f aca="false">COUNTIF(tbl_Beneficiaires_Activites[ID Beneficiaire],A81)</f>
        <v>40</v>
      </c>
      <c r="BX81" s="64" t="n">
        <f aca="false">COUNTIF(tbl_Beneficiaires_Appuis[ID Beneficiaire],A81)</f>
        <v>40</v>
      </c>
      <c r="BY81" s="64" t="str">
        <f aca="false">IF(D81="","",IF(COUNTIFS($D$56:$D$115,D81,$F$56:$F$115,F81,$I$56:$I$115,I81)&gt;1,"DOUBLON POSSIBLE","OK"))</f>
        <v/>
      </c>
      <c r="BZ81" s="65"/>
    </row>
    <row r="82" customFormat="false" ht="15" hidden="false" customHeight="true" outlineLevel="0" collapsed="false">
      <c r="A82" s="64" t="str">
        <f aca="false">IF(D82="","","BEN"&amp;TEXT(ROW()-55,"00000"))</f>
        <v/>
      </c>
      <c r="B82" s="65"/>
      <c r="C82" s="65"/>
      <c r="D82" s="65"/>
      <c r="E82" s="65"/>
      <c r="F82" s="65"/>
      <c r="G82" s="64" t="str">
        <f aca="false">TRIM(D82&amp;" "&amp;E82&amp;" "&amp;F82)</f>
        <v/>
      </c>
      <c r="H82" s="65"/>
      <c r="I82" s="66"/>
      <c r="J82" s="64" t="str">
        <f aca="true">IF(I82="","",DATEDIF(I82,TODAY(),"y"))</f>
        <v/>
      </c>
      <c r="K82" s="64" t="str">
        <f aca="false">IF(J82="","",IF(J82&lt;5,"0-4 ans",IF(J82&lt;10,"5-9 ans",IF(J82&lt;15,"10-14 ans",IF(J82&lt;18,"15-17 ans",IF(J82&lt;25,"18-24 ans",IF(J82&lt;35,"25-34 ans",IF(J82&lt;45,"35-44 ans",IF(J82&lt;55,"45-54 ans",IF(J82&lt;65,"55-64 ans","65 ans et plus"))))))))))</f>
        <v/>
      </c>
      <c r="L82" s="65"/>
      <c r="M82" s="65"/>
      <c r="N82" s="65"/>
      <c r="O82" s="65"/>
      <c r="P82" s="67"/>
      <c r="Q82" s="65"/>
      <c r="R82" s="67"/>
      <c r="S82" s="67"/>
      <c r="T82" s="67"/>
      <c r="U82" s="67"/>
      <c r="V82" s="65"/>
      <c r="W82" s="65"/>
      <c r="X82" s="65"/>
      <c r="Y82" s="65"/>
      <c r="Z82" s="65"/>
      <c r="AA82" s="65"/>
      <c r="AB82" s="65"/>
      <c r="AC82" s="65"/>
      <c r="AD82" s="65"/>
      <c r="AE82" s="65"/>
      <c r="AF82" s="65"/>
      <c r="AG82" s="65"/>
      <c r="AH82" s="65"/>
      <c r="AI82" s="65"/>
      <c r="AJ82" s="65"/>
      <c r="AK82" s="65"/>
      <c r="AL82" s="65"/>
      <c r="AM82" s="64" t="str">
        <f aca="false">IFERROR(INDEX(PARAMETRES!$B$536:$B$586,MATCH(AL82,PARAMETRES!$J$536:$J$586,0)),"")</f>
        <v/>
      </c>
      <c r="AN82" s="64" t="str">
        <f aca="false">IFERROR(INDEX(PARAMETRES!$D$536:$D$586,MATCH(AL82,PARAMETRES!$J$536:$J$586,0)),"")</f>
        <v/>
      </c>
      <c r="AO82" s="64" t="str">
        <f aca="false">IFERROR(INDEX(PARAMETRES!$F$536:$F$586,MATCH(AL82,PARAMETRES!$J$536:$J$586,0)),"")</f>
        <v/>
      </c>
      <c r="AP82" s="64" t="str">
        <f aca="false">IFERROR(INDEX(PARAMETRES!$G$536:$G$586,MATCH(AL82,PARAMETRES!$J$536:$J$586,0)),"")</f>
        <v/>
      </c>
      <c r="AQ82" s="65"/>
      <c r="AR82" s="65"/>
      <c r="AS82" s="65"/>
      <c r="AT82" s="65"/>
      <c r="AU82" s="65"/>
      <c r="AV82" s="65"/>
      <c r="AW82" s="65"/>
      <c r="AX82" s="65"/>
      <c r="AY82" s="65"/>
      <c r="AZ82" s="65"/>
      <c r="BA82" s="65"/>
      <c r="BB82" s="66"/>
      <c r="BC82" s="65"/>
      <c r="BD82" s="65"/>
      <c r="BE82" s="66"/>
      <c r="BF82" s="66"/>
      <c r="BG82" s="65"/>
      <c r="BH82" s="65"/>
      <c r="BI82" s="65"/>
      <c r="BJ82" s="65"/>
      <c r="BK82" s="65"/>
      <c r="BL82" s="65"/>
      <c r="BM82" s="66"/>
      <c r="BN82" s="65"/>
      <c r="BO82" s="65"/>
      <c r="BP82" s="65"/>
      <c r="BQ82" s="65"/>
      <c r="BR82" s="65"/>
      <c r="BS82" s="65"/>
      <c r="BT82" s="65"/>
      <c r="BU82" s="66"/>
      <c r="BV82" s="64" t="str">
        <f aca="true">IF(BE82="","",DATEDIF(BE82,TODAY(),"y"))</f>
        <v/>
      </c>
      <c r="BW82" s="64" t="n">
        <f aca="false">COUNTIF(tbl_Beneficiaires_Activites[ID Beneficiaire],A82)</f>
        <v>40</v>
      </c>
      <c r="BX82" s="64" t="n">
        <f aca="false">COUNTIF(tbl_Beneficiaires_Appuis[ID Beneficiaire],A82)</f>
        <v>40</v>
      </c>
      <c r="BY82" s="64" t="str">
        <f aca="false">IF(D82="","",IF(COUNTIFS($D$56:$D$115,D82,$F$56:$F$115,F82,$I$56:$I$115,I82)&gt;1,"DOUBLON POSSIBLE","OK"))</f>
        <v/>
      </c>
      <c r="BZ82" s="65"/>
    </row>
    <row r="83" customFormat="false" ht="15" hidden="false" customHeight="true" outlineLevel="0" collapsed="false">
      <c r="A83" s="64" t="str">
        <f aca="false">IF(D83="","","BEN"&amp;TEXT(ROW()-55,"00000"))</f>
        <v/>
      </c>
      <c r="B83" s="65"/>
      <c r="C83" s="65"/>
      <c r="D83" s="65"/>
      <c r="E83" s="65"/>
      <c r="F83" s="65"/>
      <c r="G83" s="64" t="str">
        <f aca="false">TRIM(D83&amp;" "&amp;E83&amp;" "&amp;F83)</f>
        <v/>
      </c>
      <c r="H83" s="65"/>
      <c r="I83" s="66"/>
      <c r="J83" s="64" t="str">
        <f aca="true">IF(I83="","",DATEDIF(I83,TODAY(),"y"))</f>
        <v/>
      </c>
      <c r="K83" s="64" t="str">
        <f aca="false">IF(J83="","",IF(J83&lt;5,"0-4 ans",IF(J83&lt;10,"5-9 ans",IF(J83&lt;15,"10-14 ans",IF(J83&lt;18,"15-17 ans",IF(J83&lt;25,"18-24 ans",IF(J83&lt;35,"25-34 ans",IF(J83&lt;45,"35-44 ans",IF(J83&lt;55,"45-54 ans",IF(J83&lt;65,"55-64 ans","65 ans et plus"))))))))))</f>
        <v/>
      </c>
      <c r="L83" s="65"/>
      <c r="M83" s="65"/>
      <c r="N83" s="65"/>
      <c r="O83" s="65"/>
      <c r="P83" s="67"/>
      <c r="Q83" s="65"/>
      <c r="R83" s="67"/>
      <c r="S83" s="67"/>
      <c r="T83" s="67"/>
      <c r="U83" s="67"/>
      <c r="V83" s="65"/>
      <c r="W83" s="65"/>
      <c r="X83" s="65"/>
      <c r="Y83" s="65"/>
      <c r="Z83" s="65"/>
      <c r="AA83" s="65"/>
      <c r="AB83" s="65"/>
      <c r="AC83" s="65"/>
      <c r="AD83" s="65"/>
      <c r="AE83" s="65"/>
      <c r="AF83" s="65"/>
      <c r="AG83" s="65"/>
      <c r="AH83" s="65"/>
      <c r="AI83" s="65"/>
      <c r="AJ83" s="65"/>
      <c r="AK83" s="65"/>
      <c r="AL83" s="65"/>
      <c r="AM83" s="64" t="str">
        <f aca="false">IFERROR(INDEX(PARAMETRES!$B$536:$B$586,MATCH(AL83,PARAMETRES!$J$536:$J$586,0)),"")</f>
        <v/>
      </c>
      <c r="AN83" s="64" t="str">
        <f aca="false">IFERROR(INDEX(PARAMETRES!$D$536:$D$586,MATCH(AL83,PARAMETRES!$J$536:$J$586,0)),"")</f>
        <v/>
      </c>
      <c r="AO83" s="64" t="str">
        <f aca="false">IFERROR(INDEX(PARAMETRES!$F$536:$F$586,MATCH(AL83,PARAMETRES!$J$536:$J$586,0)),"")</f>
        <v/>
      </c>
      <c r="AP83" s="64" t="str">
        <f aca="false">IFERROR(INDEX(PARAMETRES!$G$536:$G$586,MATCH(AL83,PARAMETRES!$J$536:$J$586,0)),"")</f>
        <v/>
      </c>
      <c r="AQ83" s="65"/>
      <c r="AR83" s="65"/>
      <c r="AS83" s="65"/>
      <c r="AT83" s="65"/>
      <c r="AU83" s="65"/>
      <c r="AV83" s="65"/>
      <c r="AW83" s="65"/>
      <c r="AX83" s="65"/>
      <c r="AY83" s="65"/>
      <c r="AZ83" s="65"/>
      <c r="BA83" s="65"/>
      <c r="BB83" s="66"/>
      <c r="BC83" s="65"/>
      <c r="BD83" s="65"/>
      <c r="BE83" s="66"/>
      <c r="BF83" s="66"/>
      <c r="BG83" s="65"/>
      <c r="BH83" s="65"/>
      <c r="BI83" s="65"/>
      <c r="BJ83" s="65"/>
      <c r="BK83" s="65"/>
      <c r="BL83" s="65"/>
      <c r="BM83" s="66"/>
      <c r="BN83" s="65"/>
      <c r="BO83" s="65"/>
      <c r="BP83" s="65"/>
      <c r="BQ83" s="65"/>
      <c r="BR83" s="65"/>
      <c r="BS83" s="65"/>
      <c r="BT83" s="65"/>
      <c r="BU83" s="66"/>
      <c r="BV83" s="64" t="str">
        <f aca="true">IF(BE83="","",DATEDIF(BE83,TODAY(),"y"))</f>
        <v/>
      </c>
      <c r="BW83" s="64" t="n">
        <f aca="false">COUNTIF(tbl_Beneficiaires_Activites[ID Beneficiaire],A83)</f>
        <v>40</v>
      </c>
      <c r="BX83" s="64" t="n">
        <f aca="false">COUNTIF(tbl_Beneficiaires_Appuis[ID Beneficiaire],A83)</f>
        <v>40</v>
      </c>
      <c r="BY83" s="64" t="str">
        <f aca="false">IF(D83="","",IF(COUNTIFS($D$56:$D$115,D83,$F$56:$F$115,F83,$I$56:$I$115,I83)&gt;1,"DOUBLON POSSIBLE","OK"))</f>
        <v/>
      </c>
      <c r="BZ83" s="65"/>
    </row>
    <row r="84" customFormat="false" ht="15" hidden="false" customHeight="true" outlineLevel="0" collapsed="false">
      <c r="A84" s="64" t="str">
        <f aca="false">IF(D84="","","BEN"&amp;TEXT(ROW()-55,"00000"))</f>
        <v/>
      </c>
      <c r="B84" s="65"/>
      <c r="C84" s="65"/>
      <c r="D84" s="65"/>
      <c r="E84" s="65"/>
      <c r="F84" s="65"/>
      <c r="G84" s="64" t="str">
        <f aca="false">TRIM(D84&amp;" "&amp;E84&amp;" "&amp;F84)</f>
        <v/>
      </c>
      <c r="H84" s="65"/>
      <c r="I84" s="66"/>
      <c r="J84" s="64" t="str">
        <f aca="true">IF(I84="","",DATEDIF(I84,TODAY(),"y"))</f>
        <v/>
      </c>
      <c r="K84" s="64" t="str">
        <f aca="false">IF(J84="","",IF(J84&lt;5,"0-4 ans",IF(J84&lt;10,"5-9 ans",IF(J84&lt;15,"10-14 ans",IF(J84&lt;18,"15-17 ans",IF(J84&lt;25,"18-24 ans",IF(J84&lt;35,"25-34 ans",IF(J84&lt;45,"35-44 ans",IF(J84&lt;55,"45-54 ans",IF(J84&lt;65,"55-64 ans","65 ans et plus"))))))))))</f>
        <v/>
      </c>
      <c r="L84" s="65"/>
      <c r="M84" s="65"/>
      <c r="N84" s="65"/>
      <c r="O84" s="65"/>
      <c r="P84" s="67"/>
      <c r="Q84" s="65"/>
      <c r="R84" s="67"/>
      <c r="S84" s="67"/>
      <c r="T84" s="67"/>
      <c r="U84" s="67"/>
      <c r="V84" s="65"/>
      <c r="W84" s="65"/>
      <c r="X84" s="65"/>
      <c r="Y84" s="65"/>
      <c r="Z84" s="65"/>
      <c r="AA84" s="65"/>
      <c r="AB84" s="65"/>
      <c r="AC84" s="65"/>
      <c r="AD84" s="65"/>
      <c r="AE84" s="65"/>
      <c r="AF84" s="65"/>
      <c r="AG84" s="65"/>
      <c r="AH84" s="65"/>
      <c r="AI84" s="65"/>
      <c r="AJ84" s="65"/>
      <c r="AK84" s="65"/>
      <c r="AL84" s="65"/>
      <c r="AM84" s="64" t="str">
        <f aca="false">IFERROR(INDEX(PARAMETRES!$B$536:$B$586,MATCH(AL84,PARAMETRES!$J$536:$J$586,0)),"")</f>
        <v/>
      </c>
      <c r="AN84" s="64" t="str">
        <f aca="false">IFERROR(INDEX(PARAMETRES!$D$536:$D$586,MATCH(AL84,PARAMETRES!$J$536:$J$586,0)),"")</f>
        <v/>
      </c>
      <c r="AO84" s="64" t="str">
        <f aca="false">IFERROR(INDEX(PARAMETRES!$F$536:$F$586,MATCH(AL84,PARAMETRES!$J$536:$J$586,0)),"")</f>
        <v/>
      </c>
      <c r="AP84" s="64" t="str">
        <f aca="false">IFERROR(INDEX(PARAMETRES!$G$536:$G$586,MATCH(AL84,PARAMETRES!$J$536:$J$586,0)),"")</f>
        <v/>
      </c>
      <c r="AQ84" s="65"/>
      <c r="AR84" s="65"/>
      <c r="AS84" s="65"/>
      <c r="AT84" s="65"/>
      <c r="AU84" s="65"/>
      <c r="AV84" s="65"/>
      <c r="AW84" s="65"/>
      <c r="AX84" s="65"/>
      <c r="AY84" s="65"/>
      <c r="AZ84" s="65"/>
      <c r="BA84" s="65"/>
      <c r="BB84" s="66"/>
      <c r="BC84" s="65"/>
      <c r="BD84" s="65"/>
      <c r="BE84" s="66"/>
      <c r="BF84" s="66"/>
      <c r="BG84" s="65"/>
      <c r="BH84" s="65"/>
      <c r="BI84" s="65"/>
      <c r="BJ84" s="65"/>
      <c r="BK84" s="65"/>
      <c r="BL84" s="65"/>
      <c r="BM84" s="66"/>
      <c r="BN84" s="65"/>
      <c r="BO84" s="65"/>
      <c r="BP84" s="65"/>
      <c r="BQ84" s="65"/>
      <c r="BR84" s="65"/>
      <c r="BS84" s="65"/>
      <c r="BT84" s="65"/>
      <c r="BU84" s="66"/>
      <c r="BV84" s="64" t="str">
        <f aca="true">IF(BE84="","",DATEDIF(BE84,TODAY(),"y"))</f>
        <v/>
      </c>
      <c r="BW84" s="64" t="n">
        <f aca="false">COUNTIF(tbl_Beneficiaires_Activites[ID Beneficiaire],A84)</f>
        <v>40</v>
      </c>
      <c r="BX84" s="64" t="n">
        <f aca="false">COUNTIF(tbl_Beneficiaires_Appuis[ID Beneficiaire],A84)</f>
        <v>40</v>
      </c>
      <c r="BY84" s="64" t="str">
        <f aca="false">IF(D84="","",IF(COUNTIFS($D$56:$D$115,D84,$F$56:$F$115,F84,$I$56:$I$115,I84)&gt;1,"DOUBLON POSSIBLE","OK"))</f>
        <v/>
      </c>
      <c r="BZ84" s="65"/>
    </row>
    <row r="85" customFormat="false" ht="15" hidden="false" customHeight="true" outlineLevel="0" collapsed="false">
      <c r="A85" s="64" t="str">
        <f aca="false">IF(D85="","","BEN"&amp;TEXT(ROW()-55,"00000"))</f>
        <v/>
      </c>
      <c r="B85" s="65"/>
      <c r="C85" s="65"/>
      <c r="D85" s="65"/>
      <c r="E85" s="65"/>
      <c r="F85" s="65"/>
      <c r="G85" s="64" t="str">
        <f aca="false">TRIM(D85&amp;" "&amp;E85&amp;" "&amp;F85)</f>
        <v/>
      </c>
      <c r="H85" s="65"/>
      <c r="I85" s="66"/>
      <c r="J85" s="64" t="str">
        <f aca="true">IF(I85="","",DATEDIF(I85,TODAY(),"y"))</f>
        <v/>
      </c>
      <c r="K85" s="64" t="str">
        <f aca="false">IF(J85="","",IF(J85&lt;5,"0-4 ans",IF(J85&lt;10,"5-9 ans",IF(J85&lt;15,"10-14 ans",IF(J85&lt;18,"15-17 ans",IF(J85&lt;25,"18-24 ans",IF(J85&lt;35,"25-34 ans",IF(J85&lt;45,"35-44 ans",IF(J85&lt;55,"45-54 ans",IF(J85&lt;65,"55-64 ans","65 ans et plus"))))))))))</f>
        <v/>
      </c>
      <c r="L85" s="65"/>
      <c r="M85" s="65"/>
      <c r="N85" s="65"/>
      <c r="O85" s="65"/>
      <c r="P85" s="67"/>
      <c r="Q85" s="65"/>
      <c r="R85" s="67"/>
      <c r="S85" s="67"/>
      <c r="T85" s="67"/>
      <c r="U85" s="67"/>
      <c r="V85" s="65"/>
      <c r="W85" s="65"/>
      <c r="X85" s="65"/>
      <c r="Y85" s="65"/>
      <c r="Z85" s="65"/>
      <c r="AA85" s="65"/>
      <c r="AB85" s="65"/>
      <c r="AC85" s="65"/>
      <c r="AD85" s="65"/>
      <c r="AE85" s="65"/>
      <c r="AF85" s="65"/>
      <c r="AG85" s="65"/>
      <c r="AH85" s="65"/>
      <c r="AI85" s="65"/>
      <c r="AJ85" s="65"/>
      <c r="AK85" s="65"/>
      <c r="AL85" s="65"/>
      <c r="AM85" s="64" t="str">
        <f aca="false">IFERROR(INDEX(PARAMETRES!$B$536:$B$586,MATCH(AL85,PARAMETRES!$J$536:$J$586,0)),"")</f>
        <v/>
      </c>
      <c r="AN85" s="64" t="str">
        <f aca="false">IFERROR(INDEX(PARAMETRES!$D$536:$D$586,MATCH(AL85,PARAMETRES!$J$536:$J$586,0)),"")</f>
        <v/>
      </c>
      <c r="AO85" s="64" t="str">
        <f aca="false">IFERROR(INDEX(PARAMETRES!$F$536:$F$586,MATCH(AL85,PARAMETRES!$J$536:$J$586,0)),"")</f>
        <v/>
      </c>
      <c r="AP85" s="64" t="str">
        <f aca="false">IFERROR(INDEX(PARAMETRES!$G$536:$G$586,MATCH(AL85,PARAMETRES!$J$536:$J$586,0)),"")</f>
        <v/>
      </c>
      <c r="AQ85" s="65"/>
      <c r="AR85" s="65"/>
      <c r="AS85" s="65"/>
      <c r="AT85" s="65"/>
      <c r="AU85" s="65"/>
      <c r="AV85" s="65"/>
      <c r="AW85" s="65"/>
      <c r="AX85" s="65"/>
      <c r="AY85" s="65"/>
      <c r="AZ85" s="65"/>
      <c r="BA85" s="65"/>
      <c r="BB85" s="66"/>
      <c r="BC85" s="65"/>
      <c r="BD85" s="65"/>
      <c r="BE85" s="66"/>
      <c r="BF85" s="66"/>
      <c r="BG85" s="65"/>
      <c r="BH85" s="65"/>
      <c r="BI85" s="65"/>
      <c r="BJ85" s="65"/>
      <c r="BK85" s="65"/>
      <c r="BL85" s="65"/>
      <c r="BM85" s="66"/>
      <c r="BN85" s="65"/>
      <c r="BO85" s="65"/>
      <c r="BP85" s="65"/>
      <c r="BQ85" s="65"/>
      <c r="BR85" s="65"/>
      <c r="BS85" s="65"/>
      <c r="BT85" s="65"/>
      <c r="BU85" s="66"/>
      <c r="BV85" s="64" t="str">
        <f aca="true">IF(BE85="","",DATEDIF(BE85,TODAY(),"y"))</f>
        <v/>
      </c>
      <c r="BW85" s="64" t="n">
        <f aca="false">COUNTIF(tbl_Beneficiaires_Activites[ID Beneficiaire],A85)</f>
        <v>40</v>
      </c>
      <c r="BX85" s="64" t="n">
        <f aca="false">COUNTIF(tbl_Beneficiaires_Appuis[ID Beneficiaire],A85)</f>
        <v>40</v>
      </c>
      <c r="BY85" s="64" t="str">
        <f aca="false">IF(D85="","",IF(COUNTIFS($D$56:$D$115,D85,$F$56:$F$115,F85,$I$56:$I$115,I85)&gt;1,"DOUBLON POSSIBLE","OK"))</f>
        <v/>
      </c>
      <c r="BZ85" s="65"/>
    </row>
    <row r="86" customFormat="false" ht="15" hidden="false" customHeight="true" outlineLevel="0" collapsed="false">
      <c r="A86" s="64" t="str">
        <f aca="false">IF(D86="","","BEN"&amp;TEXT(ROW()-55,"00000"))</f>
        <v/>
      </c>
      <c r="B86" s="65"/>
      <c r="C86" s="65"/>
      <c r="D86" s="65"/>
      <c r="E86" s="65"/>
      <c r="F86" s="65"/>
      <c r="G86" s="64" t="str">
        <f aca="false">TRIM(D86&amp;" "&amp;E86&amp;" "&amp;F86)</f>
        <v/>
      </c>
      <c r="H86" s="65"/>
      <c r="I86" s="66"/>
      <c r="J86" s="64" t="str">
        <f aca="true">IF(I86="","",DATEDIF(I86,TODAY(),"y"))</f>
        <v/>
      </c>
      <c r="K86" s="64" t="str">
        <f aca="false">IF(J86="","",IF(J86&lt;5,"0-4 ans",IF(J86&lt;10,"5-9 ans",IF(J86&lt;15,"10-14 ans",IF(J86&lt;18,"15-17 ans",IF(J86&lt;25,"18-24 ans",IF(J86&lt;35,"25-34 ans",IF(J86&lt;45,"35-44 ans",IF(J86&lt;55,"45-54 ans",IF(J86&lt;65,"55-64 ans","65 ans et plus"))))))))))</f>
        <v/>
      </c>
      <c r="L86" s="65"/>
      <c r="M86" s="65"/>
      <c r="N86" s="65"/>
      <c r="O86" s="65"/>
      <c r="P86" s="67"/>
      <c r="Q86" s="65"/>
      <c r="R86" s="67"/>
      <c r="S86" s="67"/>
      <c r="T86" s="67"/>
      <c r="U86" s="67"/>
      <c r="V86" s="65"/>
      <c r="W86" s="65"/>
      <c r="X86" s="65"/>
      <c r="Y86" s="65"/>
      <c r="Z86" s="65"/>
      <c r="AA86" s="65"/>
      <c r="AB86" s="65"/>
      <c r="AC86" s="65"/>
      <c r="AD86" s="65"/>
      <c r="AE86" s="65"/>
      <c r="AF86" s="65"/>
      <c r="AG86" s="65"/>
      <c r="AH86" s="65"/>
      <c r="AI86" s="65"/>
      <c r="AJ86" s="65"/>
      <c r="AK86" s="65"/>
      <c r="AL86" s="65"/>
      <c r="AM86" s="64" t="str">
        <f aca="false">IFERROR(INDEX(PARAMETRES!$B$536:$B$586,MATCH(AL86,PARAMETRES!$J$536:$J$586,0)),"")</f>
        <v/>
      </c>
      <c r="AN86" s="64" t="str">
        <f aca="false">IFERROR(INDEX(PARAMETRES!$D$536:$D$586,MATCH(AL86,PARAMETRES!$J$536:$J$586,0)),"")</f>
        <v/>
      </c>
      <c r="AO86" s="64" t="str">
        <f aca="false">IFERROR(INDEX(PARAMETRES!$F$536:$F$586,MATCH(AL86,PARAMETRES!$J$536:$J$586,0)),"")</f>
        <v/>
      </c>
      <c r="AP86" s="64" t="str">
        <f aca="false">IFERROR(INDEX(PARAMETRES!$G$536:$G$586,MATCH(AL86,PARAMETRES!$J$536:$J$586,0)),"")</f>
        <v/>
      </c>
      <c r="AQ86" s="65"/>
      <c r="AR86" s="65"/>
      <c r="AS86" s="65"/>
      <c r="AT86" s="65"/>
      <c r="AU86" s="65"/>
      <c r="AV86" s="65"/>
      <c r="AW86" s="65"/>
      <c r="AX86" s="65"/>
      <c r="AY86" s="65"/>
      <c r="AZ86" s="65"/>
      <c r="BA86" s="65"/>
      <c r="BB86" s="66"/>
      <c r="BC86" s="65"/>
      <c r="BD86" s="65"/>
      <c r="BE86" s="66"/>
      <c r="BF86" s="66"/>
      <c r="BG86" s="65"/>
      <c r="BH86" s="65"/>
      <c r="BI86" s="65"/>
      <c r="BJ86" s="65"/>
      <c r="BK86" s="65"/>
      <c r="BL86" s="65"/>
      <c r="BM86" s="66"/>
      <c r="BN86" s="65"/>
      <c r="BO86" s="65"/>
      <c r="BP86" s="65"/>
      <c r="BQ86" s="65"/>
      <c r="BR86" s="65"/>
      <c r="BS86" s="65"/>
      <c r="BT86" s="65"/>
      <c r="BU86" s="66"/>
      <c r="BV86" s="64" t="str">
        <f aca="true">IF(BE86="","",DATEDIF(BE86,TODAY(),"y"))</f>
        <v/>
      </c>
      <c r="BW86" s="64" t="n">
        <f aca="false">COUNTIF(tbl_Beneficiaires_Activites[ID Beneficiaire],A86)</f>
        <v>40</v>
      </c>
      <c r="BX86" s="64" t="n">
        <f aca="false">COUNTIF(tbl_Beneficiaires_Appuis[ID Beneficiaire],A86)</f>
        <v>40</v>
      </c>
      <c r="BY86" s="64" t="str">
        <f aca="false">IF(D86="","",IF(COUNTIFS($D$56:$D$115,D86,$F$56:$F$115,F86,$I$56:$I$115,I86)&gt;1,"DOUBLON POSSIBLE","OK"))</f>
        <v/>
      </c>
      <c r="BZ86" s="65"/>
    </row>
    <row r="87" customFormat="false" ht="15" hidden="false" customHeight="true" outlineLevel="0" collapsed="false">
      <c r="A87" s="64" t="str">
        <f aca="false">IF(D87="","","BEN"&amp;TEXT(ROW()-55,"00000"))</f>
        <v/>
      </c>
      <c r="B87" s="65"/>
      <c r="C87" s="65"/>
      <c r="D87" s="65"/>
      <c r="E87" s="65"/>
      <c r="F87" s="65"/>
      <c r="G87" s="64" t="str">
        <f aca="false">TRIM(D87&amp;" "&amp;E87&amp;" "&amp;F87)</f>
        <v/>
      </c>
      <c r="H87" s="65"/>
      <c r="I87" s="66"/>
      <c r="J87" s="64" t="str">
        <f aca="true">IF(I87="","",DATEDIF(I87,TODAY(),"y"))</f>
        <v/>
      </c>
      <c r="K87" s="64" t="str">
        <f aca="false">IF(J87="","",IF(J87&lt;5,"0-4 ans",IF(J87&lt;10,"5-9 ans",IF(J87&lt;15,"10-14 ans",IF(J87&lt;18,"15-17 ans",IF(J87&lt;25,"18-24 ans",IF(J87&lt;35,"25-34 ans",IF(J87&lt;45,"35-44 ans",IF(J87&lt;55,"45-54 ans",IF(J87&lt;65,"55-64 ans","65 ans et plus"))))))))))</f>
        <v/>
      </c>
      <c r="L87" s="65"/>
      <c r="M87" s="65"/>
      <c r="N87" s="65"/>
      <c r="O87" s="65"/>
      <c r="P87" s="67"/>
      <c r="Q87" s="65"/>
      <c r="R87" s="67"/>
      <c r="S87" s="67"/>
      <c r="T87" s="67"/>
      <c r="U87" s="67"/>
      <c r="V87" s="65"/>
      <c r="W87" s="65"/>
      <c r="X87" s="65"/>
      <c r="Y87" s="65"/>
      <c r="Z87" s="65"/>
      <c r="AA87" s="65"/>
      <c r="AB87" s="65"/>
      <c r="AC87" s="65"/>
      <c r="AD87" s="65"/>
      <c r="AE87" s="65"/>
      <c r="AF87" s="65"/>
      <c r="AG87" s="65"/>
      <c r="AH87" s="65"/>
      <c r="AI87" s="65"/>
      <c r="AJ87" s="65"/>
      <c r="AK87" s="65"/>
      <c r="AL87" s="65"/>
      <c r="AM87" s="64" t="str">
        <f aca="false">IFERROR(INDEX(PARAMETRES!$B$536:$B$586,MATCH(AL87,PARAMETRES!$J$536:$J$586,0)),"")</f>
        <v/>
      </c>
      <c r="AN87" s="64" t="str">
        <f aca="false">IFERROR(INDEX(PARAMETRES!$D$536:$D$586,MATCH(AL87,PARAMETRES!$J$536:$J$586,0)),"")</f>
        <v/>
      </c>
      <c r="AO87" s="64" t="str">
        <f aca="false">IFERROR(INDEX(PARAMETRES!$F$536:$F$586,MATCH(AL87,PARAMETRES!$J$536:$J$586,0)),"")</f>
        <v/>
      </c>
      <c r="AP87" s="64" t="str">
        <f aca="false">IFERROR(INDEX(PARAMETRES!$G$536:$G$586,MATCH(AL87,PARAMETRES!$J$536:$J$586,0)),"")</f>
        <v/>
      </c>
      <c r="AQ87" s="65"/>
      <c r="AR87" s="65"/>
      <c r="AS87" s="65"/>
      <c r="AT87" s="65"/>
      <c r="AU87" s="65"/>
      <c r="AV87" s="65"/>
      <c r="AW87" s="65"/>
      <c r="AX87" s="65"/>
      <c r="AY87" s="65"/>
      <c r="AZ87" s="65"/>
      <c r="BA87" s="65"/>
      <c r="BB87" s="66"/>
      <c r="BC87" s="65"/>
      <c r="BD87" s="65"/>
      <c r="BE87" s="66"/>
      <c r="BF87" s="66"/>
      <c r="BG87" s="65"/>
      <c r="BH87" s="65"/>
      <c r="BI87" s="65"/>
      <c r="BJ87" s="65"/>
      <c r="BK87" s="65"/>
      <c r="BL87" s="65"/>
      <c r="BM87" s="66"/>
      <c r="BN87" s="65"/>
      <c r="BO87" s="65"/>
      <c r="BP87" s="65"/>
      <c r="BQ87" s="65"/>
      <c r="BR87" s="65"/>
      <c r="BS87" s="65"/>
      <c r="BT87" s="65"/>
      <c r="BU87" s="66"/>
      <c r="BV87" s="64" t="str">
        <f aca="true">IF(BE87="","",DATEDIF(BE87,TODAY(),"y"))</f>
        <v/>
      </c>
      <c r="BW87" s="64" t="n">
        <f aca="false">COUNTIF(tbl_Beneficiaires_Activites[ID Beneficiaire],A87)</f>
        <v>40</v>
      </c>
      <c r="BX87" s="64" t="n">
        <f aca="false">COUNTIF(tbl_Beneficiaires_Appuis[ID Beneficiaire],A87)</f>
        <v>40</v>
      </c>
      <c r="BY87" s="64" t="str">
        <f aca="false">IF(D87="","",IF(COUNTIFS($D$56:$D$115,D87,$F$56:$F$115,F87,$I$56:$I$115,I87)&gt;1,"DOUBLON POSSIBLE","OK"))</f>
        <v/>
      </c>
      <c r="BZ87" s="65"/>
    </row>
    <row r="88" customFormat="false" ht="15" hidden="false" customHeight="true" outlineLevel="0" collapsed="false">
      <c r="A88" s="64" t="str">
        <f aca="false">IF(D88="","","BEN"&amp;TEXT(ROW()-55,"00000"))</f>
        <v/>
      </c>
      <c r="B88" s="65"/>
      <c r="C88" s="65"/>
      <c r="D88" s="65"/>
      <c r="E88" s="65"/>
      <c r="F88" s="65"/>
      <c r="G88" s="64" t="str">
        <f aca="false">TRIM(D88&amp;" "&amp;E88&amp;" "&amp;F88)</f>
        <v/>
      </c>
      <c r="H88" s="65"/>
      <c r="I88" s="66"/>
      <c r="J88" s="64" t="str">
        <f aca="true">IF(I88="","",DATEDIF(I88,TODAY(),"y"))</f>
        <v/>
      </c>
      <c r="K88" s="64" t="str">
        <f aca="false">IF(J88="","",IF(J88&lt;5,"0-4 ans",IF(J88&lt;10,"5-9 ans",IF(J88&lt;15,"10-14 ans",IF(J88&lt;18,"15-17 ans",IF(J88&lt;25,"18-24 ans",IF(J88&lt;35,"25-34 ans",IF(J88&lt;45,"35-44 ans",IF(J88&lt;55,"45-54 ans",IF(J88&lt;65,"55-64 ans","65 ans et plus"))))))))))</f>
        <v/>
      </c>
      <c r="L88" s="65"/>
      <c r="M88" s="65"/>
      <c r="N88" s="65"/>
      <c r="O88" s="65"/>
      <c r="P88" s="67"/>
      <c r="Q88" s="65"/>
      <c r="R88" s="67"/>
      <c r="S88" s="67"/>
      <c r="T88" s="67"/>
      <c r="U88" s="67"/>
      <c r="V88" s="65"/>
      <c r="W88" s="65"/>
      <c r="X88" s="65"/>
      <c r="Y88" s="65"/>
      <c r="Z88" s="65"/>
      <c r="AA88" s="65"/>
      <c r="AB88" s="65"/>
      <c r="AC88" s="65"/>
      <c r="AD88" s="65"/>
      <c r="AE88" s="65"/>
      <c r="AF88" s="65"/>
      <c r="AG88" s="65"/>
      <c r="AH88" s="65"/>
      <c r="AI88" s="65"/>
      <c r="AJ88" s="65"/>
      <c r="AK88" s="65"/>
      <c r="AL88" s="65"/>
      <c r="AM88" s="64" t="str">
        <f aca="false">IFERROR(INDEX(PARAMETRES!$B$536:$B$586,MATCH(AL88,PARAMETRES!$J$536:$J$586,0)),"")</f>
        <v/>
      </c>
      <c r="AN88" s="64" t="str">
        <f aca="false">IFERROR(INDEX(PARAMETRES!$D$536:$D$586,MATCH(AL88,PARAMETRES!$J$536:$J$586,0)),"")</f>
        <v/>
      </c>
      <c r="AO88" s="64" t="str">
        <f aca="false">IFERROR(INDEX(PARAMETRES!$F$536:$F$586,MATCH(AL88,PARAMETRES!$J$536:$J$586,0)),"")</f>
        <v/>
      </c>
      <c r="AP88" s="64" t="str">
        <f aca="false">IFERROR(INDEX(PARAMETRES!$G$536:$G$586,MATCH(AL88,PARAMETRES!$J$536:$J$586,0)),"")</f>
        <v/>
      </c>
      <c r="AQ88" s="65"/>
      <c r="AR88" s="65"/>
      <c r="AS88" s="65"/>
      <c r="AT88" s="65"/>
      <c r="AU88" s="65"/>
      <c r="AV88" s="65"/>
      <c r="AW88" s="65"/>
      <c r="AX88" s="65"/>
      <c r="AY88" s="65"/>
      <c r="AZ88" s="65"/>
      <c r="BA88" s="65"/>
      <c r="BB88" s="66"/>
      <c r="BC88" s="65"/>
      <c r="BD88" s="65"/>
      <c r="BE88" s="66"/>
      <c r="BF88" s="66"/>
      <c r="BG88" s="65"/>
      <c r="BH88" s="65"/>
      <c r="BI88" s="65"/>
      <c r="BJ88" s="65"/>
      <c r="BK88" s="65"/>
      <c r="BL88" s="65"/>
      <c r="BM88" s="66"/>
      <c r="BN88" s="65"/>
      <c r="BO88" s="65"/>
      <c r="BP88" s="65"/>
      <c r="BQ88" s="65"/>
      <c r="BR88" s="65"/>
      <c r="BS88" s="65"/>
      <c r="BT88" s="65"/>
      <c r="BU88" s="66"/>
      <c r="BV88" s="64" t="str">
        <f aca="true">IF(BE88="","",DATEDIF(BE88,TODAY(),"y"))</f>
        <v/>
      </c>
      <c r="BW88" s="64" t="n">
        <f aca="false">COUNTIF(tbl_Beneficiaires_Activites[ID Beneficiaire],A88)</f>
        <v>40</v>
      </c>
      <c r="BX88" s="64" t="n">
        <f aca="false">COUNTIF(tbl_Beneficiaires_Appuis[ID Beneficiaire],A88)</f>
        <v>40</v>
      </c>
      <c r="BY88" s="64" t="str">
        <f aca="false">IF(D88="","",IF(COUNTIFS($D$56:$D$115,D88,$F$56:$F$115,F88,$I$56:$I$115,I88)&gt;1,"DOUBLON POSSIBLE","OK"))</f>
        <v/>
      </c>
      <c r="BZ88" s="65"/>
    </row>
    <row r="89" customFormat="false" ht="15" hidden="false" customHeight="true" outlineLevel="0" collapsed="false">
      <c r="A89" s="64" t="str">
        <f aca="false">IF(D89="","","BEN"&amp;TEXT(ROW()-55,"00000"))</f>
        <v/>
      </c>
      <c r="B89" s="65"/>
      <c r="C89" s="65"/>
      <c r="D89" s="65"/>
      <c r="E89" s="65"/>
      <c r="F89" s="65"/>
      <c r="G89" s="64" t="str">
        <f aca="false">TRIM(D89&amp;" "&amp;E89&amp;" "&amp;F89)</f>
        <v/>
      </c>
      <c r="H89" s="65"/>
      <c r="I89" s="66"/>
      <c r="J89" s="64" t="str">
        <f aca="true">IF(I89="","",DATEDIF(I89,TODAY(),"y"))</f>
        <v/>
      </c>
      <c r="K89" s="64" t="str">
        <f aca="false">IF(J89="","",IF(J89&lt;5,"0-4 ans",IF(J89&lt;10,"5-9 ans",IF(J89&lt;15,"10-14 ans",IF(J89&lt;18,"15-17 ans",IF(J89&lt;25,"18-24 ans",IF(J89&lt;35,"25-34 ans",IF(J89&lt;45,"35-44 ans",IF(J89&lt;55,"45-54 ans",IF(J89&lt;65,"55-64 ans","65 ans et plus"))))))))))</f>
        <v/>
      </c>
      <c r="L89" s="65"/>
      <c r="M89" s="65"/>
      <c r="N89" s="65"/>
      <c r="O89" s="65"/>
      <c r="P89" s="67"/>
      <c r="Q89" s="65"/>
      <c r="R89" s="67"/>
      <c r="S89" s="67"/>
      <c r="T89" s="67"/>
      <c r="U89" s="67"/>
      <c r="V89" s="65"/>
      <c r="W89" s="65"/>
      <c r="X89" s="65"/>
      <c r="Y89" s="65"/>
      <c r="Z89" s="65"/>
      <c r="AA89" s="65"/>
      <c r="AB89" s="65"/>
      <c r="AC89" s="65"/>
      <c r="AD89" s="65"/>
      <c r="AE89" s="65"/>
      <c r="AF89" s="65"/>
      <c r="AG89" s="65"/>
      <c r="AH89" s="65"/>
      <c r="AI89" s="65"/>
      <c r="AJ89" s="65"/>
      <c r="AK89" s="65"/>
      <c r="AL89" s="65"/>
      <c r="AM89" s="64" t="str">
        <f aca="false">IFERROR(INDEX(PARAMETRES!$B$536:$B$586,MATCH(AL89,PARAMETRES!$J$536:$J$586,0)),"")</f>
        <v/>
      </c>
      <c r="AN89" s="64" t="str">
        <f aca="false">IFERROR(INDEX(PARAMETRES!$D$536:$D$586,MATCH(AL89,PARAMETRES!$J$536:$J$586,0)),"")</f>
        <v/>
      </c>
      <c r="AO89" s="64" t="str">
        <f aca="false">IFERROR(INDEX(PARAMETRES!$F$536:$F$586,MATCH(AL89,PARAMETRES!$J$536:$J$586,0)),"")</f>
        <v/>
      </c>
      <c r="AP89" s="64" t="str">
        <f aca="false">IFERROR(INDEX(PARAMETRES!$G$536:$G$586,MATCH(AL89,PARAMETRES!$J$536:$J$586,0)),"")</f>
        <v/>
      </c>
      <c r="AQ89" s="65"/>
      <c r="AR89" s="65"/>
      <c r="AS89" s="65"/>
      <c r="AT89" s="65"/>
      <c r="AU89" s="65"/>
      <c r="AV89" s="65"/>
      <c r="AW89" s="65"/>
      <c r="AX89" s="65"/>
      <c r="AY89" s="65"/>
      <c r="AZ89" s="65"/>
      <c r="BA89" s="65"/>
      <c r="BB89" s="66"/>
      <c r="BC89" s="65"/>
      <c r="BD89" s="65"/>
      <c r="BE89" s="66"/>
      <c r="BF89" s="66"/>
      <c r="BG89" s="65"/>
      <c r="BH89" s="65"/>
      <c r="BI89" s="65"/>
      <c r="BJ89" s="65"/>
      <c r="BK89" s="65"/>
      <c r="BL89" s="65"/>
      <c r="BM89" s="66"/>
      <c r="BN89" s="65"/>
      <c r="BO89" s="65"/>
      <c r="BP89" s="65"/>
      <c r="BQ89" s="65"/>
      <c r="BR89" s="65"/>
      <c r="BS89" s="65"/>
      <c r="BT89" s="65"/>
      <c r="BU89" s="66"/>
      <c r="BV89" s="64" t="str">
        <f aca="true">IF(BE89="","",DATEDIF(BE89,TODAY(),"y"))</f>
        <v/>
      </c>
      <c r="BW89" s="64" t="n">
        <f aca="false">COUNTIF(tbl_Beneficiaires_Activites[ID Beneficiaire],A89)</f>
        <v>40</v>
      </c>
      <c r="BX89" s="64" t="n">
        <f aca="false">COUNTIF(tbl_Beneficiaires_Appuis[ID Beneficiaire],A89)</f>
        <v>40</v>
      </c>
      <c r="BY89" s="64" t="str">
        <f aca="false">IF(D89="","",IF(COUNTIFS($D$56:$D$115,D89,$F$56:$F$115,F89,$I$56:$I$115,I89)&gt;1,"DOUBLON POSSIBLE","OK"))</f>
        <v/>
      </c>
      <c r="BZ89" s="65"/>
    </row>
    <row r="90" customFormat="false" ht="15" hidden="false" customHeight="true" outlineLevel="0" collapsed="false">
      <c r="A90" s="64" t="str">
        <f aca="false">IF(D90="","","BEN"&amp;TEXT(ROW()-55,"00000"))</f>
        <v/>
      </c>
      <c r="B90" s="65"/>
      <c r="C90" s="65"/>
      <c r="D90" s="65"/>
      <c r="E90" s="65"/>
      <c r="F90" s="65"/>
      <c r="G90" s="64" t="str">
        <f aca="false">TRIM(D90&amp;" "&amp;E90&amp;" "&amp;F90)</f>
        <v/>
      </c>
      <c r="H90" s="65"/>
      <c r="I90" s="66"/>
      <c r="J90" s="64" t="str">
        <f aca="true">IF(I90="","",DATEDIF(I90,TODAY(),"y"))</f>
        <v/>
      </c>
      <c r="K90" s="64" t="str">
        <f aca="false">IF(J90="","",IF(J90&lt;5,"0-4 ans",IF(J90&lt;10,"5-9 ans",IF(J90&lt;15,"10-14 ans",IF(J90&lt;18,"15-17 ans",IF(J90&lt;25,"18-24 ans",IF(J90&lt;35,"25-34 ans",IF(J90&lt;45,"35-44 ans",IF(J90&lt;55,"45-54 ans",IF(J90&lt;65,"55-64 ans","65 ans et plus"))))))))))</f>
        <v/>
      </c>
      <c r="L90" s="65"/>
      <c r="M90" s="65"/>
      <c r="N90" s="65"/>
      <c r="O90" s="65"/>
      <c r="P90" s="67"/>
      <c r="Q90" s="65"/>
      <c r="R90" s="67"/>
      <c r="S90" s="67"/>
      <c r="T90" s="67"/>
      <c r="U90" s="67"/>
      <c r="V90" s="65"/>
      <c r="W90" s="65"/>
      <c r="X90" s="65"/>
      <c r="Y90" s="65"/>
      <c r="Z90" s="65"/>
      <c r="AA90" s="65"/>
      <c r="AB90" s="65"/>
      <c r="AC90" s="65"/>
      <c r="AD90" s="65"/>
      <c r="AE90" s="65"/>
      <c r="AF90" s="65"/>
      <c r="AG90" s="65"/>
      <c r="AH90" s="65"/>
      <c r="AI90" s="65"/>
      <c r="AJ90" s="65"/>
      <c r="AK90" s="65"/>
      <c r="AL90" s="65"/>
      <c r="AM90" s="64" t="str">
        <f aca="false">IFERROR(INDEX(PARAMETRES!$B$536:$B$586,MATCH(AL90,PARAMETRES!$J$536:$J$586,0)),"")</f>
        <v/>
      </c>
      <c r="AN90" s="64" t="str">
        <f aca="false">IFERROR(INDEX(PARAMETRES!$D$536:$D$586,MATCH(AL90,PARAMETRES!$J$536:$J$586,0)),"")</f>
        <v/>
      </c>
      <c r="AO90" s="64" t="str">
        <f aca="false">IFERROR(INDEX(PARAMETRES!$F$536:$F$586,MATCH(AL90,PARAMETRES!$J$536:$J$586,0)),"")</f>
        <v/>
      </c>
      <c r="AP90" s="64" t="str">
        <f aca="false">IFERROR(INDEX(PARAMETRES!$G$536:$G$586,MATCH(AL90,PARAMETRES!$J$536:$J$586,0)),"")</f>
        <v/>
      </c>
      <c r="AQ90" s="65"/>
      <c r="AR90" s="65"/>
      <c r="AS90" s="65"/>
      <c r="AT90" s="65"/>
      <c r="AU90" s="65"/>
      <c r="AV90" s="65"/>
      <c r="AW90" s="65"/>
      <c r="AX90" s="65"/>
      <c r="AY90" s="65"/>
      <c r="AZ90" s="65"/>
      <c r="BA90" s="65"/>
      <c r="BB90" s="66"/>
      <c r="BC90" s="65"/>
      <c r="BD90" s="65"/>
      <c r="BE90" s="66"/>
      <c r="BF90" s="66"/>
      <c r="BG90" s="65"/>
      <c r="BH90" s="65"/>
      <c r="BI90" s="65"/>
      <c r="BJ90" s="65"/>
      <c r="BK90" s="65"/>
      <c r="BL90" s="65"/>
      <c r="BM90" s="66"/>
      <c r="BN90" s="65"/>
      <c r="BO90" s="65"/>
      <c r="BP90" s="65"/>
      <c r="BQ90" s="65"/>
      <c r="BR90" s="65"/>
      <c r="BS90" s="65"/>
      <c r="BT90" s="65"/>
      <c r="BU90" s="66"/>
      <c r="BV90" s="64" t="str">
        <f aca="true">IF(BE90="","",DATEDIF(BE90,TODAY(),"y"))</f>
        <v/>
      </c>
      <c r="BW90" s="64" t="n">
        <f aca="false">COUNTIF(tbl_Beneficiaires_Activites[ID Beneficiaire],A90)</f>
        <v>40</v>
      </c>
      <c r="BX90" s="64" t="n">
        <f aca="false">COUNTIF(tbl_Beneficiaires_Appuis[ID Beneficiaire],A90)</f>
        <v>40</v>
      </c>
      <c r="BY90" s="64" t="str">
        <f aca="false">IF(D90="","",IF(COUNTIFS($D$56:$D$115,D90,$F$56:$F$115,F90,$I$56:$I$115,I90)&gt;1,"DOUBLON POSSIBLE","OK"))</f>
        <v/>
      </c>
      <c r="BZ90" s="65"/>
    </row>
    <row r="91" customFormat="false" ht="15" hidden="false" customHeight="true" outlineLevel="0" collapsed="false">
      <c r="A91" s="64" t="str">
        <f aca="false">IF(D91="","","BEN"&amp;TEXT(ROW()-55,"00000"))</f>
        <v/>
      </c>
      <c r="B91" s="65"/>
      <c r="C91" s="65"/>
      <c r="D91" s="65"/>
      <c r="E91" s="65"/>
      <c r="F91" s="65"/>
      <c r="G91" s="64" t="str">
        <f aca="false">TRIM(D91&amp;" "&amp;E91&amp;" "&amp;F91)</f>
        <v/>
      </c>
      <c r="H91" s="65"/>
      <c r="I91" s="66"/>
      <c r="J91" s="64" t="str">
        <f aca="true">IF(I91="","",DATEDIF(I91,TODAY(),"y"))</f>
        <v/>
      </c>
      <c r="K91" s="64" t="str">
        <f aca="false">IF(J91="","",IF(J91&lt;5,"0-4 ans",IF(J91&lt;10,"5-9 ans",IF(J91&lt;15,"10-14 ans",IF(J91&lt;18,"15-17 ans",IF(J91&lt;25,"18-24 ans",IF(J91&lt;35,"25-34 ans",IF(J91&lt;45,"35-44 ans",IF(J91&lt;55,"45-54 ans",IF(J91&lt;65,"55-64 ans","65 ans et plus"))))))))))</f>
        <v/>
      </c>
      <c r="L91" s="65"/>
      <c r="M91" s="65"/>
      <c r="N91" s="65"/>
      <c r="O91" s="65"/>
      <c r="P91" s="67"/>
      <c r="Q91" s="65"/>
      <c r="R91" s="67"/>
      <c r="S91" s="67"/>
      <c r="T91" s="67"/>
      <c r="U91" s="67"/>
      <c r="V91" s="65"/>
      <c r="W91" s="65"/>
      <c r="X91" s="65"/>
      <c r="Y91" s="65"/>
      <c r="Z91" s="65"/>
      <c r="AA91" s="65"/>
      <c r="AB91" s="65"/>
      <c r="AC91" s="65"/>
      <c r="AD91" s="65"/>
      <c r="AE91" s="65"/>
      <c r="AF91" s="65"/>
      <c r="AG91" s="65"/>
      <c r="AH91" s="65"/>
      <c r="AI91" s="65"/>
      <c r="AJ91" s="65"/>
      <c r="AK91" s="65"/>
      <c r="AL91" s="65"/>
      <c r="AM91" s="64" t="str">
        <f aca="false">IFERROR(INDEX(PARAMETRES!$B$536:$B$586,MATCH(AL91,PARAMETRES!$J$536:$J$586,0)),"")</f>
        <v/>
      </c>
      <c r="AN91" s="64" t="str">
        <f aca="false">IFERROR(INDEX(PARAMETRES!$D$536:$D$586,MATCH(AL91,PARAMETRES!$J$536:$J$586,0)),"")</f>
        <v/>
      </c>
      <c r="AO91" s="64" t="str">
        <f aca="false">IFERROR(INDEX(PARAMETRES!$F$536:$F$586,MATCH(AL91,PARAMETRES!$J$536:$J$586,0)),"")</f>
        <v/>
      </c>
      <c r="AP91" s="64" t="str">
        <f aca="false">IFERROR(INDEX(PARAMETRES!$G$536:$G$586,MATCH(AL91,PARAMETRES!$J$536:$J$586,0)),"")</f>
        <v/>
      </c>
      <c r="AQ91" s="65"/>
      <c r="AR91" s="65"/>
      <c r="AS91" s="65"/>
      <c r="AT91" s="65"/>
      <c r="AU91" s="65"/>
      <c r="AV91" s="65"/>
      <c r="AW91" s="65"/>
      <c r="AX91" s="65"/>
      <c r="AY91" s="65"/>
      <c r="AZ91" s="65"/>
      <c r="BA91" s="65"/>
      <c r="BB91" s="66"/>
      <c r="BC91" s="65"/>
      <c r="BD91" s="65"/>
      <c r="BE91" s="66"/>
      <c r="BF91" s="66"/>
      <c r="BG91" s="65"/>
      <c r="BH91" s="65"/>
      <c r="BI91" s="65"/>
      <c r="BJ91" s="65"/>
      <c r="BK91" s="65"/>
      <c r="BL91" s="65"/>
      <c r="BM91" s="66"/>
      <c r="BN91" s="65"/>
      <c r="BO91" s="65"/>
      <c r="BP91" s="65"/>
      <c r="BQ91" s="65"/>
      <c r="BR91" s="65"/>
      <c r="BS91" s="65"/>
      <c r="BT91" s="65"/>
      <c r="BU91" s="66"/>
      <c r="BV91" s="64" t="str">
        <f aca="true">IF(BE91="","",DATEDIF(BE91,TODAY(),"y"))</f>
        <v/>
      </c>
      <c r="BW91" s="64" t="n">
        <f aca="false">COUNTIF(tbl_Beneficiaires_Activites[ID Beneficiaire],A91)</f>
        <v>40</v>
      </c>
      <c r="BX91" s="64" t="n">
        <f aca="false">COUNTIF(tbl_Beneficiaires_Appuis[ID Beneficiaire],A91)</f>
        <v>40</v>
      </c>
      <c r="BY91" s="64" t="str">
        <f aca="false">IF(D91="","",IF(COUNTIFS($D$56:$D$115,D91,$F$56:$F$115,F91,$I$56:$I$115,I91)&gt;1,"DOUBLON POSSIBLE","OK"))</f>
        <v/>
      </c>
      <c r="BZ91" s="65"/>
    </row>
    <row r="92" customFormat="false" ht="15" hidden="false" customHeight="true" outlineLevel="0" collapsed="false">
      <c r="A92" s="64" t="str">
        <f aca="false">IF(D92="","","BEN"&amp;TEXT(ROW()-55,"00000"))</f>
        <v/>
      </c>
      <c r="B92" s="65"/>
      <c r="C92" s="65"/>
      <c r="D92" s="65"/>
      <c r="E92" s="65"/>
      <c r="F92" s="65"/>
      <c r="G92" s="64" t="str">
        <f aca="false">TRIM(D92&amp;" "&amp;E92&amp;" "&amp;F92)</f>
        <v/>
      </c>
      <c r="H92" s="65"/>
      <c r="I92" s="66"/>
      <c r="J92" s="64" t="str">
        <f aca="true">IF(I92="","",DATEDIF(I92,TODAY(),"y"))</f>
        <v/>
      </c>
      <c r="K92" s="64" t="str">
        <f aca="false">IF(J92="","",IF(J92&lt;5,"0-4 ans",IF(J92&lt;10,"5-9 ans",IF(J92&lt;15,"10-14 ans",IF(J92&lt;18,"15-17 ans",IF(J92&lt;25,"18-24 ans",IF(J92&lt;35,"25-34 ans",IF(J92&lt;45,"35-44 ans",IF(J92&lt;55,"45-54 ans",IF(J92&lt;65,"55-64 ans","65 ans et plus"))))))))))</f>
        <v/>
      </c>
      <c r="L92" s="65"/>
      <c r="M92" s="65"/>
      <c r="N92" s="65"/>
      <c r="O92" s="65"/>
      <c r="P92" s="67"/>
      <c r="Q92" s="65"/>
      <c r="R92" s="67"/>
      <c r="S92" s="67"/>
      <c r="T92" s="67"/>
      <c r="U92" s="67"/>
      <c r="V92" s="65"/>
      <c r="W92" s="65"/>
      <c r="X92" s="65"/>
      <c r="Y92" s="65"/>
      <c r="Z92" s="65"/>
      <c r="AA92" s="65"/>
      <c r="AB92" s="65"/>
      <c r="AC92" s="65"/>
      <c r="AD92" s="65"/>
      <c r="AE92" s="65"/>
      <c r="AF92" s="65"/>
      <c r="AG92" s="65"/>
      <c r="AH92" s="65"/>
      <c r="AI92" s="65"/>
      <c r="AJ92" s="65"/>
      <c r="AK92" s="65"/>
      <c r="AL92" s="65"/>
      <c r="AM92" s="64" t="str">
        <f aca="false">IFERROR(INDEX(PARAMETRES!$B$536:$B$586,MATCH(AL92,PARAMETRES!$J$536:$J$586,0)),"")</f>
        <v/>
      </c>
      <c r="AN92" s="64" t="str">
        <f aca="false">IFERROR(INDEX(PARAMETRES!$D$536:$D$586,MATCH(AL92,PARAMETRES!$J$536:$J$586,0)),"")</f>
        <v/>
      </c>
      <c r="AO92" s="64" t="str">
        <f aca="false">IFERROR(INDEX(PARAMETRES!$F$536:$F$586,MATCH(AL92,PARAMETRES!$J$536:$J$586,0)),"")</f>
        <v/>
      </c>
      <c r="AP92" s="64" t="str">
        <f aca="false">IFERROR(INDEX(PARAMETRES!$G$536:$G$586,MATCH(AL92,PARAMETRES!$J$536:$J$586,0)),"")</f>
        <v/>
      </c>
      <c r="AQ92" s="65"/>
      <c r="AR92" s="65"/>
      <c r="AS92" s="65"/>
      <c r="AT92" s="65"/>
      <c r="AU92" s="65"/>
      <c r="AV92" s="65"/>
      <c r="AW92" s="65"/>
      <c r="AX92" s="65"/>
      <c r="AY92" s="65"/>
      <c r="AZ92" s="65"/>
      <c r="BA92" s="65"/>
      <c r="BB92" s="66"/>
      <c r="BC92" s="65"/>
      <c r="BD92" s="65"/>
      <c r="BE92" s="66"/>
      <c r="BF92" s="66"/>
      <c r="BG92" s="65"/>
      <c r="BH92" s="65"/>
      <c r="BI92" s="65"/>
      <c r="BJ92" s="65"/>
      <c r="BK92" s="65"/>
      <c r="BL92" s="65"/>
      <c r="BM92" s="66"/>
      <c r="BN92" s="65"/>
      <c r="BO92" s="65"/>
      <c r="BP92" s="65"/>
      <c r="BQ92" s="65"/>
      <c r="BR92" s="65"/>
      <c r="BS92" s="65"/>
      <c r="BT92" s="65"/>
      <c r="BU92" s="66"/>
      <c r="BV92" s="64" t="str">
        <f aca="true">IF(BE92="","",DATEDIF(BE92,TODAY(),"y"))</f>
        <v/>
      </c>
      <c r="BW92" s="64" t="n">
        <f aca="false">COUNTIF(tbl_Beneficiaires_Activites[ID Beneficiaire],A92)</f>
        <v>40</v>
      </c>
      <c r="BX92" s="64" t="n">
        <f aca="false">COUNTIF(tbl_Beneficiaires_Appuis[ID Beneficiaire],A92)</f>
        <v>40</v>
      </c>
      <c r="BY92" s="64" t="str">
        <f aca="false">IF(D92="","",IF(COUNTIFS($D$56:$D$115,D92,$F$56:$F$115,F92,$I$56:$I$115,I92)&gt;1,"DOUBLON POSSIBLE","OK"))</f>
        <v/>
      </c>
      <c r="BZ92" s="65"/>
    </row>
    <row r="93" customFormat="false" ht="15" hidden="false" customHeight="true" outlineLevel="0" collapsed="false">
      <c r="A93" s="64" t="str">
        <f aca="false">IF(D93="","","BEN"&amp;TEXT(ROW()-55,"00000"))</f>
        <v/>
      </c>
      <c r="B93" s="65"/>
      <c r="C93" s="65"/>
      <c r="D93" s="65"/>
      <c r="E93" s="65"/>
      <c r="F93" s="65"/>
      <c r="G93" s="64" t="str">
        <f aca="false">TRIM(D93&amp;" "&amp;E93&amp;" "&amp;F93)</f>
        <v/>
      </c>
      <c r="H93" s="65"/>
      <c r="I93" s="66"/>
      <c r="J93" s="64" t="str">
        <f aca="true">IF(I93="","",DATEDIF(I93,TODAY(),"y"))</f>
        <v/>
      </c>
      <c r="K93" s="64" t="str">
        <f aca="false">IF(J93="","",IF(J93&lt;5,"0-4 ans",IF(J93&lt;10,"5-9 ans",IF(J93&lt;15,"10-14 ans",IF(J93&lt;18,"15-17 ans",IF(J93&lt;25,"18-24 ans",IF(J93&lt;35,"25-34 ans",IF(J93&lt;45,"35-44 ans",IF(J93&lt;55,"45-54 ans",IF(J93&lt;65,"55-64 ans","65 ans et plus"))))))))))</f>
        <v/>
      </c>
      <c r="L93" s="65"/>
      <c r="M93" s="65"/>
      <c r="N93" s="65"/>
      <c r="O93" s="65"/>
      <c r="P93" s="67"/>
      <c r="Q93" s="65"/>
      <c r="R93" s="67"/>
      <c r="S93" s="67"/>
      <c r="T93" s="67"/>
      <c r="U93" s="67"/>
      <c r="V93" s="65"/>
      <c r="W93" s="65"/>
      <c r="X93" s="65"/>
      <c r="Y93" s="65"/>
      <c r="Z93" s="65"/>
      <c r="AA93" s="65"/>
      <c r="AB93" s="65"/>
      <c r="AC93" s="65"/>
      <c r="AD93" s="65"/>
      <c r="AE93" s="65"/>
      <c r="AF93" s="65"/>
      <c r="AG93" s="65"/>
      <c r="AH93" s="65"/>
      <c r="AI93" s="65"/>
      <c r="AJ93" s="65"/>
      <c r="AK93" s="65"/>
      <c r="AL93" s="65"/>
      <c r="AM93" s="64" t="str">
        <f aca="false">IFERROR(INDEX(PARAMETRES!$B$536:$B$586,MATCH(AL93,PARAMETRES!$J$536:$J$586,0)),"")</f>
        <v/>
      </c>
      <c r="AN93" s="64" t="str">
        <f aca="false">IFERROR(INDEX(PARAMETRES!$D$536:$D$586,MATCH(AL93,PARAMETRES!$J$536:$J$586,0)),"")</f>
        <v/>
      </c>
      <c r="AO93" s="64" t="str">
        <f aca="false">IFERROR(INDEX(PARAMETRES!$F$536:$F$586,MATCH(AL93,PARAMETRES!$J$536:$J$586,0)),"")</f>
        <v/>
      </c>
      <c r="AP93" s="64" t="str">
        <f aca="false">IFERROR(INDEX(PARAMETRES!$G$536:$G$586,MATCH(AL93,PARAMETRES!$J$536:$J$586,0)),"")</f>
        <v/>
      </c>
      <c r="AQ93" s="65"/>
      <c r="AR93" s="65"/>
      <c r="AS93" s="65"/>
      <c r="AT93" s="65"/>
      <c r="AU93" s="65"/>
      <c r="AV93" s="65"/>
      <c r="AW93" s="65"/>
      <c r="AX93" s="65"/>
      <c r="AY93" s="65"/>
      <c r="AZ93" s="65"/>
      <c r="BA93" s="65"/>
      <c r="BB93" s="66"/>
      <c r="BC93" s="65"/>
      <c r="BD93" s="65"/>
      <c r="BE93" s="66"/>
      <c r="BF93" s="66"/>
      <c r="BG93" s="65"/>
      <c r="BH93" s="65"/>
      <c r="BI93" s="65"/>
      <c r="BJ93" s="65"/>
      <c r="BK93" s="65"/>
      <c r="BL93" s="65"/>
      <c r="BM93" s="66"/>
      <c r="BN93" s="65"/>
      <c r="BO93" s="65"/>
      <c r="BP93" s="65"/>
      <c r="BQ93" s="65"/>
      <c r="BR93" s="65"/>
      <c r="BS93" s="65"/>
      <c r="BT93" s="65"/>
      <c r="BU93" s="66"/>
      <c r="BV93" s="64" t="str">
        <f aca="true">IF(BE93="","",DATEDIF(BE93,TODAY(),"y"))</f>
        <v/>
      </c>
      <c r="BW93" s="64" t="n">
        <f aca="false">COUNTIF(tbl_Beneficiaires_Activites[ID Beneficiaire],A93)</f>
        <v>40</v>
      </c>
      <c r="BX93" s="64" t="n">
        <f aca="false">COUNTIF(tbl_Beneficiaires_Appuis[ID Beneficiaire],A93)</f>
        <v>40</v>
      </c>
      <c r="BY93" s="64" t="str">
        <f aca="false">IF(D93="","",IF(COUNTIFS($D$56:$D$115,D93,$F$56:$F$115,F93,$I$56:$I$115,I93)&gt;1,"DOUBLON POSSIBLE","OK"))</f>
        <v/>
      </c>
      <c r="BZ93" s="65"/>
    </row>
    <row r="94" customFormat="false" ht="15" hidden="false" customHeight="true" outlineLevel="0" collapsed="false">
      <c r="A94" s="64" t="str">
        <f aca="false">IF(D94="","","BEN"&amp;TEXT(ROW()-55,"00000"))</f>
        <v/>
      </c>
      <c r="B94" s="65"/>
      <c r="C94" s="65"/>
      <c r="D94" s="65"/>
      <c r="E94" s="65"/>
      <c r="F94" s="65"/>
      <c r="G94" s="64" t="str">
        <f aca="false">TRIM(D94&amp;" "&amp;E94&amp;" "&amp;F94)</f>
        <v/>
      </c>
      <c r="H94" s="65"/>
      <c r="I94" s="66"/>
      <c r="J94" s="64" t="str">
        <f aca="true">IF(I94="","",DATEDIF(I94,TODAY(),"y"))</f>
        <v/>
      </c>
      <c r="K94" s="64" t="str">
        <f aca="false">IF(J94="","",IF(J94&lt;5,"0-4 ans",IF(J94&lt;10,"5-9 ans",IF(J94&lt;15,"10-14 ans",IF(J94&lt;18,"15-17 ans",IF(J94&lt;25,"18-24 ans",IF(J94&lt;35,"25-34 ans",IF(J94&lt;45,"35-44 ans",IF(J94&lt;55,"45-54 ans",IF(J94&lt;65,"55-64 ans","65 ans et plus"))))))))))</f>
        <v/>
      </c>
      <c r="L94" s="65"/>
      <c r="M94" s="65"/>
      <c r="N94" s="65"/>
      <c r="O94" s="65"/>
      <c r="P94" s="67"/>
      <c r="Q94" s="65"/>
      <c r="R94" s="67"/>
      <c r="S94" s="67"/>
      <c r="T94" s="67"/>
      <c r="U94" s="67"/>
      <c r="V94" s="65"/>
      <c r="W94" s="65"/>
      <c r="X94" s="65"/>
      <c r="Y94" s="65"/>
      <c r="Z94" s="65"/>
      <c r="AA94" s="65"/>
      <c r="AB94" s="65"/>
      <c r="AC94" s="65"/>
      <c r="AD94" s="65"/>
      <c r="AE94" s="65"/>
      <c r="AF94" s="65"/>
      <c r="AG94" s="65"/>
      <c r="AH94" s="65"/>
      <c r="AI94" s="65"/>
      <c r="AJ94" s="65"/>
      <c r="AK94" s="65"/>
      <c r="AL94" s="65"/>
      <c r="AM94" s="64" t="str">
        <f aca="false">IFERROR(INDEX(PARAMETRES!$B$536:$B$586,MATCH(AL94,PARAMETRES!$J$536:$J$586,0)),"")</f>
        <v/>
      </c>
      <c r="AN94" s="64" t="str">
        <f aca="false">IFERROR(INDEX(PARAMETRES!$D$536:$D$586,MATCH(AL94,PARAMETRES!$J$536:$J$586,0)),"")</f>
        <v/>
      </c>
      <c r="AO94" s="64" t="str">
        <f aca="false">IFERROR(INDEX(PARAMETRES!$F$536:$F$586,MATCH(AL94,PARAMETRES!$J$536:$J$586,0)),"")</f>
        <v/>
      </c>
      <c r="AP94" s="64" t="str">
        <f aca="false">IFERROR(INDEX(PARAMETRES!$G$536:$G$586,MATCH(AL94,PARAMETRES!$J$536:$J$586,0)),"")</f>
        <v/>
      </c>
      <c r="AQ94" s="65"/>
      <c r="AR94" s="65"/>
      <c r="AS94" s="65"/>
      <c r="AT94" s="65"/>
      <c r="AU94" s="65"/>
      <c r="AV94" s="65"/>
      <c r="AW94" s="65"/>
      <c r="AX94" s="65"/>
      <c r="AY94" s="65"/>
      <c r="AZ94" s="65"/>
      <c r="BA94" s="65"/>
      <c r="BB94" s="66"/>
      <c r="BC94" s="65"/>
      <c r="BD94" s="65"/>
      <c r="BE94" s="66"/>
      <c r="BF94" s="66"/>
      <c r="BG94" s="65"/>
      <c r="BH94" s="65"/>
      <c r="BI94" s="65"/>
      <c r="BJ94" s="65"/>
      <c r="BK94" s="65"/>
      <c r="BL94" s="65"/>
      <c r="BM94" s="66"/>
      <c r="BN94" s="65"/>
      <c r="BO94" s="65"/>
      <c r="BP94" s="65"/>
      <c r="BQ94" s="65"/>
      <c r="BR94" s="65"/>
      <c r="BS94" s="65"/>
      <c r="BT94" s="65"/>
      <c r="BU94" s="66"/>
      <c r="BV94" s="64" t="str">
        <f aca="true">IF(BE94="","",DATEDIF(BE94,TODAY(),"y"))</f>
        <v/>
      </c>
      <c r="BW94" s="64" t="n">
        <f aca="false">COUNTIF(tbl_Beneficiaires_Activites[ID Beneficiaire],A94)</f>
        <v>40</v>
      </c>
      <c r="BX94" s="64" t="n">
        <f aca="false">COUNTIF(tbl_Beneficiaires_Appuis[ID Beneficiaire],A94)</f>
        <v>40</v>
      </c>
      <c r="BY94" s="64" t="str">
        <f aca="false">IF(D94="","",IF(COUNTIFS($D$56:$D$115,D94,$F$56:$F$115,F94,$I$56:$I$115,I94)&gt;1,"DOUBLON POSSIBLE","OK"))</f>
        <v/>
      </c>
      <c r="BZ94" s="65"/>
    </row>
    <row r="95" customFormat="false" ht="15" hidden="false" customHeight="true" outlineLevel="0" collapsed="false">
      <c r="A95" s="64" t="str">
        <f aca="false">IF(D95="","","BEN"&amp;TEXT(ROW()-55,"00000"))</f>
        <v/>
      </c>
      <c r="B95" s="65"/>
      <c r="C95" s="65"/>
      <c r="D95" s="65"/>
      <c r="E95" s="65"/>
      <c r="F95" s="65"/>
      <c r="G95" s="64" t="str">
        <f aca="false">TRIM(D95&amp;" "&amp;E95&amp;" "&amp;F95)</f>
        <v/>
      </c>
      <c r="H95" s="65"/>
      <c r="I95" s="66"/>
      <c r="J95" s="64" t="str">
        <f aca="true">IF(I95="","",DATEDIF(I95,TODAY(),"y"))</f>
        <v/>
      </c>
      <c r="K95" s="64" t="str">
        <f aca="false">IF(J95="","",IF(J95&lt;5,"0-4 ans",IF(J95&lt;10,"5-9 ans",IF(J95&lt;15,"10-14 ans",IF(J95&lt;18,"15-17 ans",IF(J95&lt;25,"18-24 ans",IF(J95&lt;35,"25-34 ans",IF(J95&lt;45,"35-44 ans",IF(J95&lt;55,"45-54 ans",IF(J95&lt;65,"55-64 ans","65 ans et plus"))))))))))</f>
        <v/>
      </c>
      <c r="L95" s="65"/>
      <c r="M95" s="65"/>
      <c r="N95" s="65"/>
      <c r="O95" s="65"/>
      <c r="P95" s="67"/>
      <c r="Q95" s="65"/>
      <c r="R95" s="67"/>
      <c r="S95" s="67"/>
      <c r="T95" s="67"/>
      <c r="U95" s="67"/>
      <c r="V95" s="65"/>
      <c r="W95" s="65"/>
      <c r="X95" s="65"/>
      <c r="Y95" s="65"/>
      <c r="Z95" s="65"/>
      <c r="AA95" s="65"/>
      <c r="AB95" s="65"/>
      <c r="AC95" s="65"/>
      <c r="AD95" s="65"/>
      <c r="AE95" s="65"/>
      <c r="AF95" s="65"/>
      <c r="AG95" s="65"/>
      <c r="AH95" s="65"/>
      <c r="AI95" s="65"/>
      <c r="AJ95" s="65"/>
      <c r="AK95" s="65"/>
      <c r="AL95" s="65"/>
      <c r="AM95" s="64" t="str">
        <f aca="false">IFERROR(INDEX(PARAMETRES!$B$536:$B$586,MATCH(AL95,PARAMETRES!$J$536:$J$586,0)),"")</f>
        <v/>
      </c>
      <c r="AN95" s="64" t="str">
        <f aca="false">IFERROR(INDEX(PARAMETRES!$D$536:$D$586,MATCH(AL95,PARAMETRES!$J$536:$J$586,0)),"")</f>
        <v/>
      </c>
      <c r="AO95" s="64" t="str">
        <f aca="false">IFERROR(INDEX(PARAMETRES!$F$536:$F$586,MATCH(AL95,PARAMETRES!$J$536:$J$586,0)),"")</f>
        <v/>
      </c>
      <c r="AP95" s="64" t="str">
        <f aca="false">IFERROR(INDEX(PARAMETRES!$G$536:$G$586,MATCH(AL95,PARAMETRES!$J$536:$J$586,0)),"")</f>
        <v/>
      </c>
      <c r="AQ95" s="65"/>
      <c r="AR95" s="65"/>
      <c r="AS95" s="65"/>
      <c r="AT95" s="65"/>
      <c r="AU95" s="65"/>
      <c r="AV95" s="65"/>
      <c r="AW95" s="65"/>
      <c r="AX95" s="65"/>
      <c r="AY95" s="65"/>
      <c r="AZ95" s="65"/>
      <c r="BA95" s="65"/>
      <c r="BB95" s="66"/>
      <c r="BC95" s="65"/>
      <c r="BD95" s="65"/>
      <c r="BE95" s="66"/>
      <c r="BF95" s="66"/>
      <c r="BG95" s="65"/>
      <c r="BH95" s="65"/>
      <c r="BI95" s="65"/>
      <c r="BJ95" s="65"/>
      <c r="BK95" s="65"/>
      <c r="BL95" s="65"/>
      <c r="BM95" s="66"/>
      <c r="BN95" s="65"/>
      <c r="BO95" s="65"/>
      <c r="BP95" s="65"/>
      <c r="BQ95" s="65"/>
      <c r="BR95" s="65"/>
      <c r="BS95" s="65"/>
      <c r="BT95" s="65"/>
      <c r="BU95" s="66"/>
      <c r="BV95" s="64" t="str">
        <f aca="true">IF(BE95="","",DATEDIF(BE95,TODAY(),"y"))</f>
        <v/>
      </c>
      <c r="BW95" s="64" t="n">
        <f aca="false">COUNTIF(tbl_Beneficiaires_Activites[ID Beneficiaire],A95)</f>
        <v>40</v>
      </c>
      <c r="BX95" s="64" t="n">
        <f aca="false">COUNTIF(tbl_Beneficiaires_Appuis[ID Beneficiaire],A95)</f>
        <v>40</v>
      </c>
      <c r="BY95" s="64" t="str">
        <f aca="false">IF(D95="","",IF(COUNTIFS($D$56:$D$115,D95,$F$56:$F$115,F95,$I$56:$I$115,I95)&gt;1,"DOUBLON POSSIBLE","OK"))</f>
        <v/>
      </c>
      <c r="BZ95" s="65"/>
    </row>
    <row r="96" customFormat="false" ht="15" hidden="false" customHeight="true" outlineLevel="0" collapsed="false">
      <c r="A96" s="64" t="str">
        <f aca="false">IF(D96="","","BEN"&amp;TEXT(ROW()-55,"00000"))</f>
        <v/>
      </c>
      <c r="B96" s="65"/>
      <c r="C96" s="65"/>
      <c r="D96" s="65"/>
      <c r="E96" s="65"/>
      <c r="F96" s="65"/>
      <c r="G96" s="64" t="str">
        <f aca="false">TRIM(D96&amp;" "&amp;E96&amp;" "&amp;F96)</f>
        <v/>
      </c>
      <c r="H96" s="65"/>
      <c r="I96" s="66"/>
      <c r="J96" s="64" t="str">
        <f aca="true">IF(I96="","",DATEDIF(I96,TODAY(),"y"))</f>
        <v/>
      </c>
      <c r="K96" s="64" t="str">
        <f aca="false">IF(J96="","",IF(J96&lt;5,"0-4 ans",IF(J96&lt;10,"5-9 ans",IF(J96&lt;15,"10-14 ans",IF(J96&lt;18,"15-17 ans",IF(J96&lt;25,"18-24 ans",IF(J96&lt;35,"25-34 ans",IF(J96&lt;45,"35-44 ans",IF(J96&lt;55,"45-54 ans",IF(J96&lt;65,"55-64 ans","65 ans et plus"))))))))))</f>
        <v/>
      </c>
      <c r="L96" s="65"/>
      <c r="M96" s="65"/>
      <c r="N96" s="65"/>
      <c r="O96" s="65"/>
      <c r="P96" s="67"/>
      <c r="Q96" s="65"/>
      <c r="R96" s="67"/>
      <c r="S96" s="67"/>
      <c r="T96" s="67"/>
      <c r="U96" s="67"/>
      <c r="V96" s="65"/>
      <c r="W96" s="65"/>
      <c r="X96" s="65"/>
      <c r="Y96" s="65"/>
      <c r="Z96" s="65"/>
      <c r="AA96" s="65"/>
      <c r="AB96" s="65"/>
      <c r="AC96" s="65"/>
      <c r="AD96" s="65"/>
      <c r="AE96" s="65"/>
      <c r="AF96" s="65"/>
      <c r="AG96" s="65"/>
      <c r="AH96" s="65"/>
      <c r="AI96" s="65"/>
      <c r="AJ96" s="65"/>
      <c r="AK96" s="65"/>
      <c r="AL96" s="65"/>
      <c r="AM96" s="64" t="str">
        <f aca="false">IFERROR(INDEX(PARAMETRES!$B$536:$B$586,MATCH(AL96,PARAMETRES!$J$536:$J$586,0)),"")</f>
        <v/>
      </c>
      <c r="AN96" s="64" t="str">
        <f aca="false">IFERROR(INDEX(PARAMETRES!$D$536:$D$586,MATCH(AL96,PARAMETRES!$J$536:$J$586,0)),"")</f>
        <v/>
      </c>
      <c r="AO96" s="64" t="str">
        <f aca="false">IFERROR(INDEX(PARAMETRES!$F$536:$F$586,MATCH(AL96,PARAMETRES!$J$536:$J$586,0)),"")</f>
        <v/>
      </c>
      <c r="AP96" s="64" t="str">
        <f aca="false">IFERROR(INDEX(PARAMETRES!$G$536:$G$586,MATCH(AL96,PARAMETRES!$J$536:$J$586,0)),"")</f>
        <v/>
      </c>
      <c r="AQ96" s="65"/>
      <c r="AR96" s="65"/>
      <c r="AS96" s="65"/>
      <c r="AT96" s="65"/>
      <c r="AU96" s="65"/>
      <c r="AV96" s="65"/>
      <c r="AW96" s="65"/>
      <c r="AX96" s="65"/>
      <c r="AY96" s="65"/>
      <c r="AZ96" s="65"/>
      <c r="BA96" s="65"/>
      <c r="BB96" s="66"/>
      <c r="BC96" s="65"/>
      <c r="BD96" s="65"/>
      <c r="BE96" s="66"/>
      <c r="BF96" s="66"/>
      <c r="BG96" s="65"/>
      <c r="BH96" s="65"/>
      <c r="BI96" s="65"/>
      <c r="BJ96" s="65"/>
      <c r="BK96" s="65"/>
      <c r="BL96" s="65"/>
      <c r="BM96" s="66"/>
      <c r="BN96" s="65"/>
      <c r="BO96" s="65"/>
      <c r="BP96" s="65"/>
      <c r="BQ96" s="65"/>
      <c r="BR96" s="65"/>
      <c r="BS96" s="65"/>
      <c r="BT96" s="65"/>
      <c r="BU96" s="66"/>
      <c r="BV96" s="64" t="str">
        <f aca="true">IF(BE96="","",DATEDIF(BE96,TODAY(),"y"))</f>
        <v/>
      </c>
      <c r="BW96" s="64" t="n">
        <f aca="false">COUNTIF(tbl_Beneficiaires_Activites[ID Beneficiaire],A96)</f>
        <v>40</v>
      </c>
      <c r="BX96" s="64" t="n">
        <f aca="false">COUNTIF(tbl_Beneficiaires_Appuis[ID Beneficiaire],A96)</f>
        <v>40</v>
      </c>
      <c r="BY96" s="64" t="str">
        <f aca="false">IF(D96="","",IF(COUNTIFS($D$56:$D$115,D96,$F$56:$F$115,F96,$I$56:$I$115,I96)&gt;1,"DOUBLON POSSIBLE","OK"))</f>
        <v/>
      </c>
      <c r="BZ96" s="65"/>
    </row>
    <row r="97" customFormat="false" ht="15" hidden="false" customHeight="true" outlineLevel="0" collapsed="false">
      <c r="A97" s="64" t="str">
        <f aca="false">IF(D97="","","BEN"&amp;TEXT(ROW()-55,"00000"))</f>
        <v/>
      </c>
      <c r="B97" s="65"/>
      <c r="C97" s="65"/>
      <c r="D97" s="65"/>
      <c r="E97" s="65"/>
      <c r="F97" s="65"/>
      <c r="G97" s="64" t="str">
        <f aca="false">TRIM(D97&amp;" "&amp;E97&amp;" "&amp;F97)</f>
        <v/>
      </c>
      <c r="H97" s="65"/>
      <c r="I97" s="66"/>
      <c r="J97" s="64" t="str">
        <f aca="true">IF(I97="","",DATEDIF(I97,TODAY(),"y"))</f>
        <v/>
      </c>
      <c r="K97" s="64" t="str">
        <f aca="false">IF(J97="","",IF(J97&lt;5,"0-4 ans",IF(J97&lt;10,"5-9 ans",IF(J97&lt;15,"10-14 ans",IF(J97&lt;18,"15-17 ans",IF(J97&lt;25,"18-24 ans",IF(J97&lt;35,"25-34 ans",IF(J97&lt;45,"35-44 ans",IF(J97&lt;55,"45-54 ans",IF(J97&lt;65,"55-64 ans","65 ans et plus"))))))))))</f>
        <v/>
      </c>
      <c r="L97" s="65"/>
      <c r="M97" s="65"/>
      <c r="N97" s="65"/>
      <c r="O97" s="65"/>
      <c r="P97" s="67"/>
      <c r="Q97" s="65"/>
      <c r="R97" s="67"/>
      <c r="S97" s="67"/>
      <c r="T97" s="67"/>
      <c r="U97" s="67"/>
      <c r="V97" s="65"/>
      <c r="W97" s="65"/>
      <c r="X97" s="65"/>
      <c r="Y97" s="65"/>
      <c r="Z97" s="65"/>
      <c r="AA97" s="65"/>
      <c r="AB97" s="65"/>
      <c r="AC97" s="65"/>
      <c r="AD97" s="65"/>
      <c r="AE97" s="65"/>
      <c r="AF97" s="65"/>
      <c r="AG97" s="65"/>
      <c r="AH97" s="65"/>
      <c r="AI97" s="65"/>
      <c r="AJ97" s="65"/>
      <c r="AK97" s="65"/>
      <c r="AL97" s="65"/>
      <c r="AM97" s="64" t="str">
        <f aca="false">IFERROR(INDEX(PARAMETRES!$B$536:$B$586,MATCH(AL97,PARAMETRES!$J$536:$J$586,0)),"")</f>
        <v/>
      </c>
      <c r="AN97" s="64" t="str">
        <f aca="false">IFERROR(INDEX(PARAMETRES!$D$536:$D$586,MATCH(AL97,PARAMETRES!$J$536:$J$586,0)),"")</f>
        <v/>
      </c>
      <c r="AO97" s="64" t="str">
        <f aca="false">IFERROR(INDEX(PARAMETRES!$F$536:$F$586,MATCH(AL97,PARAMETRES!$J$536:$J$586,0)),"")</f>
        <v/>
      </c>
      <c r="AP97" s="64" t="str">
        <f aca="false">IFERROR(INDEX(PARAMETRES!$G$536:$G$586,MATCH(AL97,PARAMETRES!$J$536:$J$586,0)),"")</f>
        <v/>
      </c>
      <c r="AQ97" s="65"/>
      <c r="AR97" s="65"/>
      <c r="AS97" s="65"/>
      <c r="AT97" s="65"/>
      <c r="AU97" s="65"/>
      <c r="AV97" s="65"/>
      <c r="AW97" s="65"/>
      <c r="AX97" s="65"/>
      <c r="AY97" s="65"/>
      <c r="AZ97" s="65"/>
      <c r="BA97" s="65"/>
      <c r="BB97" s="66"/>
      <c r="BC97" s="65"/>
      <c r="BD97" s="65"/>
      <c r="BE97" s="66"/>
      <c r="BF97" s="66"/>
      <c r="BG97" s="65"/>
      <c r="BH97" s="65"/>
      <c r="BI97" s="65"/>
      <c r="BJ97" s="65"/>
      <c r="BK97" s="65"/>
      <c r="BL97" s="65"/>
      <c r="BM97" s="66"/>
      <c r="BN97" s="65"/>
      <c r="BO97" s="65"/>
      <c r="BP97" s="65"/>
      <c r="BQ97" s="65"/>
      <c r="BR97" s="65"/>
      <c r="BS97" s="65"/>
      <c r="BT97" s="65"/>
      <c r="BU97" s="66"/>
      <c r="BV97" s="64" t="str">
        <f aca="true">IF(BE97="","",DATEDIF(BE97,TODAY(),"y"))</f>
        <v/>
      </c>
      <c r="BW97" s="64" t="n">
        <f aca="false">COUNTIF(tbl_Beneficiaires_Activites[ID Beneficiaire],A97)</f>
        <v>40</v>
      </c>
      <c r="BX97" s="64" t="n">
        <f aca="false">COUNTIF(tbl_Beneficiaires_Appuis[ID Beneficiaire],A97)</f>
        <v>40</v>
      </c>
      <c r="BY97" s="64" t="str">
        <f aca="false">IF(D97="","",IF(COUNTIFS($D$56:$D$115,D97,$F$56:$F$115,F97,$I$56:$I$115,I97)&gt;1,"DOUBLON POSSIBLE","OK"))</f>
        <v/>
      </c>
      <c r="BZ97" s="65"/>
    </row>
    <row r="98" customFormat="false" ht="15" hidden="false" customHeight="true" outlineLevel="0" collapsed="false">
      <c r="A98" s="64" t="str">
        <f aca="false">IF(D98="","","BEN"&amp;TEXT(ROW()-55,"00000"))</f>
        <v/>
      </c>
      <c r="B98" s="65"/>
      <c r="C98" s="65"/>
      <c r="D98" s="65"/>
      <c r="E98" s="65"/>
      <c r="F98" s="65"/>
      <c r="G98" s="64" t="str">
        <f aca="false">TRIM(D98&amp;" "&amp;E98&amp;" "&amp;F98)</f>
        <v/>
      </c>
      <c r="H98" s="65"/>
      <c r="I98" s="66"/>
      <c r="J98" s="64" t="str">
        <f aca="true">IF(I98="","",DATEDIF(I98,TODAY(),"y"))</f>
        <v/>
      </c>
      <c r="K98" s="64" t="str">
        <f aca="false">IF(J98="","",IF(J98&lt;5,"0-4 ans",IF(J98&lt;10,"5-9 ans",IF(J98&lt;15,"10-14 ans",IF(J98&lt;18,"15-17 ans",IF(J98&lt;25,"18-24 ans",IF(J98&lt;35,"25-34 ans",IF(J98&lt;45,"35-44 ans",IF(J98&lt;55,"45-54 ans",IF(J98&lt;65,"55-64 ans","65 ans et plus"))))))))))</f>
        <v/>
      </c>
      <c r="L98" s="65"/>
      <c r="M98" s="65"/>
      <c r="N98" s="65"/>
      <c r="O98" s="65"/>
      <c r="P98" s="67"/>
      <c r="Q98" s="65"/>
      <c r="R98" s="67"/>
      <c r="S98" s="67"/>
      <c r="T98" s="67"/>
      <c r="U98" s="67"/>
      <c r="V98" s="65"/>
      <c r="W98" s="65"/>
      <c r="X98" s="65"/>
      <c r="Y98" s="65"/>
      <c r="Z98" s="65"/>
      <c r="AA98" s="65"/>
      <c r="AB98" s="65"/>
      <c r="AC98" s="65"/>
      <c r="AD98" s="65"/>
      <c r="AE98" s="65"/>
      <c r="AF98" s="65"/>
      <c r="AG98" s="65"/>
      <c r="AH98" s="65"/>
      <c r="AI98" s="65"/>
      <c r="AJ98" s="65"/>
      <c r="AK98" s="65"/>
      <c r="AL98" s="65"/>
      <c r="AM98" s="64" t="str">
        <f aca="false">IFERROR(INDEX(PARAMETRES!$B$536:$B$586,MATCH(AL98,PARAMETRES!$J$536:$J$586,0)),"")</f>
        <v/>
      </c>
      <c r="AN98" s="64" t="str">
        <f aca="false">IFERROR(INDEX(PARAMETRES!$D$536:$D$586,MATCH(AL98,PARAMETRES!$J$536:$J$586,0)),"")</f>
        <v/>
      </c>
      <c r="AO98" s="64" t="str">
        <f aca="false">IFERROR(INDEX(PARAMETRES!$F$536:$F$586,MATCH(AL98,PARAMETRES!$J$536:$J$586,0)),"")</f>
        <v/>
      </c>
      <c r="AP98" s="64" t="str">
        <f aca="false">IFERROR(INDEX(PARAMETRES!$G$536:$G$586,MATCH(AL98,PARAMETRES!$J$536:$J$586,0)),"")</f>
        <v/>
      </c>
      <c r="AQ98" s="65"/>
      <c r="AR98" s="65"/>
      <c r="AS98" s="65"/>
      <c r="AT98" s="65"/>
      <c r="AU98" s="65"/>
      <c r="AV98" s="65"/>
      <c r="AW98" s="65"/>
      <c r="AX98" s="65"/>
      <c r="AY98" s="65"/>
      <c r="AZ98" s="65"/>
      <c r="BA98" s="65"/>
      <c r="BB98" s="66"/>
      <c r="BC98" s="65"/>
      <c r="BD98" s="65"/>
      <c r="BE98" s="66"/>
      <c r="BF98" s="66"/>
      <c r="BG98" s="65"/>
      <c r="BH98" s="65"/>
      <c r="BI98" s="65"/>
      <c r="BJ98" s="65"/>
      <c r="BK98" s="65"/>
      <c r="BL98" s="65"/>
      <c r="BM98" s="66"/>
      <c r="BN98" s="65"/>
      <c r="BO98" s="65"/>
      <c r="BP98" s="65"/>
      <c r="BQ98" s="65"/>
      <c r="BR98" s="65"/>
      <c r="BS98" s="65"/>
      <c r="BT98" s="65"/>
      <c r="BU98" s="66"/>
      <c r="BV98" s="64" t="str">
        <f aca="true">IF(BE98="","",DATEDIF(BE98,TODAY(),"y"))</f>
        <v/>
      </c>
      <c r="BW98" s="64" t="n">
        <f aca="false">COUNTIF(tbl_Beneficiaires_Activites[ID Beneficiaire],A98)</f>
        <v>40</v>
      </c>
      <c r="BX98" s="64" t="n">
        <f aca="false">COUNTIF(tbl_Beneficiaires_Appuis[ID Beneficiaire],A98)</f>
        <v>40</v>
      </c>
      <c r="BY98" s="64" t="str">
        <f aca="false">IF(D98="","",IF(COUNTIFS($D$56:$D$115,D98,$F$56:$F$115,F98,$I$56:$I$115,I98)&gt;1,"DOUBLON POSSIBLE","OK"))</f>
        <v/>
      </c>
      <c r="BZ98" s="65"/>
    </row>
    <row r="99" customFormat="false" ht="15" hidden="false" customHeight="true" outlineLevel="0" collapsed="false">
      <c r="A99" s="64" t="str">
        <f aca="false">IF(D99="","","BEN"&amp;TEXT(ROW()-55,"00000"))</f>
        <v/>
      </c>
      <c r="B99" s="65"/>
      <c r="C99" s="65"/>
      <c r="D99" s="65"/>
      <c r="E99" s="65"/>
      <c r="F99" s="65"/>
      <c r="G99" s="64" t="str">
        <f aca="false">TRIM(D99&amp;" "&amp;E99&amp;" "&amp;F99)</f>
        <v/>
      </c>
      <c r="H99" s="65"/>
      <c r="I99" s="66"/>
      <c r="J99" s="64" t="str">
        <f aca="true">IF(I99="","",DATEDIF(I99,TODAY(),"y"))</f>
        <v/>
      </c>
      <c r="K99" s="64" t="str">
        <f aca="false">IF(J99="","",IF(J99&lt;5,"0-4 ans",IF(J99&lt;10,"5-9 ans",IF(J99&lt;15,"10-14 ans",IF(J99&lt;18,"15-17 ans",IF(J99&lt;25,"18-24 ans",IF(J99&lt;35,"25-34 ans",IF(J99&lt;45,"35-44 ans",IF(J99&lt;55,"45-54 ans",IF(J99&lt;65,"55-64 ans","65 ans et plus"))))))))))</f>
        <v/>
      </c>
      <c r="L99" s="65"/>
      <c r="M99" s="65"/>
      <c r="N99" s="65"/>
      <c r="O99" s="65"/>
      <c r="P99" s="67"/>
      <c r="Q99" s="65"/>
      <c r="R99" s="67"/>
      <c r="S99" s="67"/>
      <c r="T99" s="67"/>
      <c r="U99" s="67"/>
      <c r="V99" s="65"/>
      <c r="W99" s="65"/>
      <c r="X99" s="65"/>
      <c r="Y99" s="65"/>
      <c r="Z99" s="65"/>
      <c r="AA99" s="65"/>
      <c r="AB99" s="65"/>
      <c r="AC99" s="65"/>
      <c r="AD99" s="65"/>
      <c r="AE99" s="65"/>
      <c r="AF99" s="65"/>
      <c r="AG99" s="65"/>
      <c r="AH99" s="65"/>
      <c r="AI99" s="65"/>
      <c r="AJ99" s="65"/>
      <c r="AK99" s="65"/>
      <c r="AL99" s="65"/>
      <c r="AM99" s="64" t="str">
        <f aca="false">IFERROR(INDEX(PARAMETRES!$B$536:$B$586,MATCH(AL99,PARAMETRES!$J$536:$J$586,0)),"")</f>
        <v/>
      </c>
      <c r="AN99" s="64" t="str">
        <f aca="false">IFERROR(INDEX(PARAMETRES!$D$536:$D$586,MATCH(AL99,PARAMETRES!$J$536:$J$586,0)),"")</f>
        <v/>
      </c>
      <c r="AO99" s="64" t="str">
        <f aca="false">IFERROR(INDEX(PARAMETRES!$F$536:$F$586,MATCH(AL99,PARAMETRES!$J$536:$J$586,0)),"")</f>
        <v/>
      </c>
      <c r="AP99" s="64" t="str">
        <f aca="false">IFERROR(INDEX(PARAMETRES!$G$536:$G$586,MATCH(AL99,PARAMETRES!$J$536:$J$586,0)),"")</f>
        <v/>
      </c>
      <c r="AQ99" s="65"/>
      <c r="AR99" s="65"/>
      <c r="AS99" s="65"/>
      <c r="AT99" s="65"/>
      <c r="AU99" s="65"/>
      <c r="AV99" s="65"/>
      <c r="AW99" s="65"/>
      <c r="AX99" s="65"/>
      <c r="AY99" s="65"/>
      <c r="AZ99" s="65"/>
      <c r="BA99" s="65"/>
      <c r="BB99" s="66"/>
      <c r="BC99" s="65"/>
      <c r="BD99" s="65"/>
      <c r="BE99" s="66"/>
      <c r="BF99" s="66"/>
      <c r="BG99" s="65"/>
      <c r="BH99" s="65"/>
      <c r="BI99" s="65"/>
      <c r="BJ99" s="65"/>
      <c r="BK99" s="65"/>
      <c r="BL99" s="65"/>
      <c r="BM99" s="66"/>
      <c r="BN99" s="65"/>
      <c r="BO99" s="65"/>
      <c r="BP99" s="65"/>
      <c r="BQ99" s="65"/>
      <c r="BR99" s="65"/>
      <c r="BS99" s="65"/>
      <c r="BT99" s="65"/>
      <c r="BU99" s="66"/>
      <c r="BV99" s="64" t="str">
        <f aca="true">IF(BE99="","",DATEDIF(BE99,TODAY(),"y"))</f>
        <v/>
      </c>
      <c r="BW99" s="64" t="n">
        <f aca="false">COUNTIF(tbl_Beneficiaires_Activites[ID Beneficiaire],A99)</f>
        <v>40</v>
      </c>
      <c r="BX99" s="64" t="n">
        <f aca="false">COUNTIF(tbl_Beneficiaires_Appuis[ID Beneficiaire],A99)</f>
        <v>40</v>
      </c>
      <c r="BY99" s="64" t="str">
        <f aca="false">IF(D99="","",IF(COUNTIFS($D$56:$D$115,D99,$F$56:$F$115,F99,$I$56:$I$115,I99)&gt;1,"DOUBLON POSSIBLE","OK"))</f>
        <v/>
      </c>
      <c r="BZ99" s="65"/>
    </row>
    <row r="100" customFormat="false" ht="15" hidden="false" customHeight="true" outlineLevel="0" collapsed="false">
      <c r="A100" s="64" t="str">
        <f aca="false">IF(D100="","","BEN"&amp;TEXT(ROW()-55,"00000"))</f>
        <v/>
      </c>
      <c r="B100" s="65"/>
      <c r="C100" s="65"/>
      <c r="D100" s="65"/>
      <c r="E100" s="65"/>
      <c r="F100" s="65"/>
      <c r="G100" s="64" t="str">
        <f aca="false">TRIM(D100&amp;" "&amp;E100&amp;" "&amp;F100)</f>
        <v/>
      </c>
      <c r="H100" s="65"/>
      <c r="I100" s="66"/>
      <c r="J100" s="64" t="str">
        <f aca="true">IF(I100="","",DATEDIF(I100,TODAY(),"y"))</f>
        <v/>
      </c>
      <c r="K100" s="64" t="str">
        <f aca="false">IF(J100="","",IF(J100&lt;5,"0-4 ans",IF(J100&lt;10,"5-9 ans",IF(J100&lt;15,"10-14 ans",IF(J100&lt;18,"15-17 ans",IF(J100&lt;25,"18-24 ans",IF(J100&lt;35,"25-34 ans",IF(J100&lt;45,"35-44 ans",IF(J100&lt;55,"45-54 ans",IF(J100&lt;65,"55-64 ans","65 ans et plus"))))))))))</f>
        <v/>
      </c>
      <c r="L100" s="65"/>
      <c r="M100" s="65"/>
      <c r="N100" s="65"/>
      <c r="O100" s="65"/>
      <c r="P100" s="67"/>
      <c r="Q100" s="65"/>
      <c r="R100" s="67"/>
      <c r="S100" s="67"/>
      <c r="T100" s="67"/>
      <c r="U100" s="67"/>
      <c r="V100" s="65"/>
      <c r="W100" s="65"/>
      <c r="X100" s="65"/>
      <c r="Y100" s="65"/>
      <c r="Z100" s="65"/>
      <c r="AA100" s="65"/>
      <c r="AB100" s="65"/>
      <c r="AC100" s="65"/>
      <c r="AD100" s="65"/>
      <c r="AE100" s="65"/>
      <c r="AF100" s="65"/>
      <c r="AG100" s="65"/>
      <c r="AH100" s="65"/>
      <c r="AI100" s="65"/>
      <c r="AJ100" s="65"/>
      <c r="AK100" s="65"/>
      <c r="AL100" s="65"/>
      <c r="AM100" s="64" t="str">
        <f aca="false">IFERROR(INDEX(PARAMETRES!$B$536:$B$586,MATCH(AL100,PARAMETRES!$J$536:$J$586,0)),"")</f>
        <v/>
      </c>
      <c r="AN100" s="64" t="str">
        <f aca="false">IFERROR(INDEX(PARAMETRES!$D$536:$D$586,MATCH(AL100,PARAMETRES!$J$536:$J$586,0)),"")</f>
        <v/>
      </c>
      <c r="AO100" s="64" t="str">
        <f aca="false">IFERROR(INDEX(PARAMETRES!$F$536:$F$586,MATCH(AL100,PARAMETRES!$J$536:$J$586,0)),"")</f>
        <v/>
      </c>
      <c r="AP100" s="64" t="str">
        <f aca="false">IFERROR(INDEX(PARAMETRES!$G$536:$G$586,MATCH(AL100,PARAMETRES!$J$536:$J$586,0)),"")</f>
        <v/>
      </c>
      <c r="AQ100" s="65"/>
      <c r="AR100" s="65"/>
      <c r="AS100" s="65"/>
      <c r="AT100" s="65"/>
      <c r="AU100" s="65"/>
      <c r="AV100" s="65"/>
      <c r="AW100" s="65"/>
      <c r="AX100" s="65"/>
      <c r="AY100" s="65"/>
      <c r="AZ100" s="65"/>
      <c r="BA100" s="65"/>
      <c r="BB100" s="66"/>
      <c r="BC100" s="65"/>
      <c r="BD100" s="65"/>
      <c r="BE100" s="66"/>
      <c r="BF100" s="66"/>
      <c r="BG100" s="65"/>
      <c r="BH100" s="65"/>
      <c r="BI100" s="65"/>
      <c r="BJ100" s="65"/>
      <c r="BK100" s="65"/>
      <c r="BL100" s="65"/>
      <c r="BM100" s="66"/>
      <c r="BN100" s="65"/>
      <c r="BO100" s="65"/>
      <c r="BP100" s="65"/>
      <c r="BQ100" s="65"/>
      <c r="BR100" s="65"/>
      <c r="BS100" s="65"/>
      <c r="BT100" s="65"/>
      <c r="BU100" s="66"/>
      <c r="BV100" s="64" t="str">
        <f aca="true">IF(BE100="","",DATEDIF(BE100,TODAY(),"y"))</f>
        <v/>
      </c>
      <c r="BW100" s="64" t="n">
        <f aca="false">COUNTIF(tbl_Beneficiaires_Activites[ID Beneficiaire],A100)</f>
        <v>40</v>
      </c>
      <c r="BX100" s="64" t="n">
        <f aca="false">COUNTIF(tbl_Beneficiaires_Appuis[ID Beneficiaire],A100)</f>
        <v>40</v>
      </c>
      <c r="BY100" s="64" t="str">
        <f aca="false">IF(D100="","",IF(COUNTIFS($D$56:$D$115,D100,$F$56:$F$115,F100,$I$56:$I$115,I100)&gt;1,"DOUBLON POSSIBLE","OK"))</f>
        <v/>
      </c>
      <c r="BZ100" s="65"/>
    </row>
    <row r="101" customFormat="false" ht="15" hidden="false" customHeight="true" outlineLevel="0" collapsed="false">
      <c r="A101" s="64" t="str">
        <f aca="false">IF(D101="","","BEN"&amp;TEXT(ROW()-55,"00000"))</f>
        <v/>
      </c>
      <c r="B101" s="65"/>
      <c r="C101" s="65"/>
      <c r="D101" s="65"/>
      <c r="E101" s="65"/>
      <c r="F101" s="65"/>
      <c r="G101" s="64" t="str">
        <f aca="false">TRIM(D101&amp;" "&amp;E101&amp;" "&amp;F101)</f>
        <v/>
      </c>
      <c r="H101" s="65"/>
      <c r="I101" s="66"/>
      <c r="J101" s="64" t="str">
        <f aca="true">IF(I101="","",DATEDIF(I101,TODAY(),"y"))</f>
        <v/>
      </c>
      <c r="K101" s="64" t="str">
        <f aca="false">IF(J101="","",IF(J101&lt;5,"0-4 ans",IF(J101&lt;10,"5-9 ans",IF(J101&lt;15,"10-14 ans",IF(J101&lt;18,"15-17 ans",IF(J101&lt;25,"18-24 ans",IF(J101&lt;35,"25-34 ans",IF(J101&lt;45,"35-44 ans",IF(J101&lt;55,"45-54 ans",IF(J101&lt;65,"55-64 ans","65 ans et plus"))))))))))</f>
        <v/>
      </c>
      <c r="L101" s="65"/>
      <c r="M101" s="65"/>
      <c r="N101" s="65"/>
      <c r="O101" s="65"/>
      <c r="P101" s="67"/>
      <c r="Q101" s="65"/>
      <c r="R101" s="67"/>
      <c r="S101" s="67"/>
      <c r="T101" s="67"/>
      <c r="U101" s="67"/>
      <c r="V101" s="65"/>
      <c r="W101" s="65"/>
      <c r="X101" s="65"/>
      <c r="Y101" s="65"/>
      <c r="Z101" s="65"/>
      <c r="AA101" s="65"/>
      <c r="AB101" s="65"/>
      <c r="AC101" s="65"/>
      <c r="AD101" s="65"/>
      <c r="AE101" s="65"/>
      <c r="AF101" s="65"/>
      <c r="AG101" s="65"/>
      <c r="AH101" s="65"/>
      <c r="AI101" s="65"/>
      <c r="AJ101" s="65"/>
      <c r="AK101" s="65"/>
      <c r="AL101" s="65"/>
      <c r="AM101" s="64" t="str">
        <f aca="false">IFERROR(INDEX(PARAMETRES!$B$536:$B$586,MATCH(AL101,PARAMETRES!$J$536:$J$586,0)),"")</f>
        <v/>
      </c>
      <c r="AN101" s="64" t="str">
        <f aca="false">IFERROR(INDEX(PARAMETRES!$D$536:$D$586,MATCH(AL101,PARAMETRES!$J$536:$J$586,0)),"")</f>
        <v/>
      </c>
      <c r="AO101" s="64" t="str">
        <f aca="false">IFERROR(INDEX(PARAMETRES!$F$536:$F$586,MATCH(AL101,PARAMETRES!$J$536:$J$586,0)),"")</f>
        <v/>
      </c>
      <c r="AP101" s="64" t="str">
        <f aca="false">IFERROR(INDEX(PARAMETRES!$G$536:$G$586,MATCH(AL101,PARAMETRES!$J$536:$J$586,0)),"")</f>
        <v/>
      </c>
      <c r="AQ101" s="65"/>
      <c r="AR101" s="65"/>
      <c r="AS101" s="65"/>
      <c r="AT101" s="65"/>
      <c r="AU101" s="65"/>
      <c r="AV101" s="65"/>
      <c r="AW101" s="65"/>
      <c r="AX101" s="65"/>
      <c r="AY101" s="65"/>
      <c r="AZ101" s="65"/>
      <c r="BA101" s="65"/>
      <c r="BB101" s="66"/>
      <c r="BC101" s="65"/>
      <c r="BD101" s="65"/>
      <c r="BE101" s="66"/>
      <c r="BF101" s="66"/>
      <c r="BG101" s="65"/>
      <c r="BH101" s="65"/>
      <c r="BI101" s="65"/>
      <c r="BJ101" s="65"/>
      <c r="BK101" s="65"/>
      <c r="BL101" s="65"/>
      <c r="BM101" s="66"/>
      <c r="BN101" s="65"/>
      <c r="BO101" s="65"/>
      <c r="BP101" s="65"/>
      <c r="BQ101" s="65"/>
      <c r="BR101" s="65"/>
      <c r="BS101" s="65"/>
      <c r="BT101" s="65"/>
      <c r="BU101" s="66"/>
      <c r="BV101" s="64" t="str">
        <f aca="true">IF(BE101="","",DATEDIF(BE101,TODAY(),"y"))</f>
        <v/>
      </c>
      <c r="BW101" s="64" t="n">
        <f aca="false">COUNTIF(tbl_Beneficiaires_Activites[ID Beneficiaire],A101)</f>
        <v>40</v>
      </c>
      <c r="BX101" s="64" t="n">
        <f aca="false">COUNTIF(tbl_Beneficiaires_Appuis[ID Beneficiaire],A101)</f>
        <v>40</v>
      </c>
      <c r="BY101" s="64" t="str">
        <f aca="false">IF(D101="","",IF(COUNTIFS($D$56:$D$115,D101,$F$56:$F$115,F101,$I$56:$I$115,I101)&gt;1,"DOUBLON POSSIBLE","OK"))</f>
        <v/>
      </c>
      <c r="BZ101" s="65"/>
    </row>
    <row r="102" customFormat="false" ht="15" hidden="false" customHeight="true" outlineLevel="0" collapsed="false">
      <c r="A102" s="64" t="str">
        <f aca="false">IF(D102="","","BEN"&amp;TEXT(ROW()-55,"00000"))</f>
        <v/>
      </c>
      <c r="B102" s="65"/>
      <c r="C102" s="65"/>
      <c r="D102" s="65"/>
      <c r="E102" s="65"/>
      <c r="F102" s="65"/>
      <c r="G102" s="64" t="str">
        <f aca="false">TRIM(D102&amp;" "&amp;E102&amp;" "&amp;F102)</f>
        <v/>
      </c>
      <c r="H102" s="65"/>
      <c r="I102" s="66"/>
      <c r="J102" s="64" t="str">
        <f aca="true">IF(I102="","",DATEDIF(I102,TODAY(),"y"))</f>
        <v/>
      </c>
      <c r="K102" s="64" t="str">
        <f aca="false">IF(J102="","",IF(J102&lt;5,"0-4 ans",IF(J102&lt;10,"5-9 ans",IF(J102&lt;15,"10-14 ans",IF(J102&lt;18,"15-17 ans",IF(J102&lt;25,"18-24 ans",IF(J102&lt;35,"25-34 ans",IF(J102&lt;45,"35-44 ans",IF(J102&lt;55,"45-54 ans",IF(J102&lt;65,"55-64 ans","65 ans et plus"))))))))))</f>
        <v/>
      </c>
      <c r="L102" s="65"/>
      <c r="M102" s="65"/>
      <c r="N102" s="65"/>
      <c r="O102" s="65"/>
      <c r="P102" s="67"/>
      <c r="Q102" s="65"/>
      <c r="R102" s="67"/>
      <c r="S102" s="67"/>
      <c r="T102" s="67"/>
      <c r="U102" s="67"/>
      <c r="V102" s="65"/>
      <c r="W102" s="65"/>
      <c r="X102" s="65"/>
      <c r="Y102" s="65"/>
      <c r="Z102" s="65"/>
      <c r="AA102" s="65"/>
      <c r="AB102" s="65"/>
      <c r="AC102" s="65"/>
      <c r="AD102" s="65"/>
      <c r="AE102" s="65"/>
      <c r="AF102" s="65"/>
      <c r="AG102" s="65"/>
      <c r="AH102" s="65"/>
      <c r="AI102" s="65"/>
      <c r="AJ102" s="65"/>
      <c r="AK102" s="65"/>
      <c r="AL102" s="65"/>
      <c r="AM102" s="64" t="str">
        <f aca="false">IFERROR(INDEX(PARAMETRES!$B$536:$B$586,MATCH(AL102,PARAMETRES!$J$536:$J$586,0)),"")</f>
        <v/>
      </c>
      <c r="AN102" s="64" t="str">
        <f aca="false">IFERROR(INDEX(PARAMETRES!$D$536:$D$586,MATCH(AL102,PARAMETRES!$J$536:$J$586,0)),"")</f>
        <v/>
      </c>
      <c r="AO102" s="64" t="str">
        <f aca="false">IFERROR(INDEX(PARAMETRES!$F$536:$F$586,MATCH(AL102,PARAMETRES!$J$536:$J$586,0)),"")</f>
        <v/>
      </c>
      <c r="AP102" s="64" t="str">
        <f aca="false">IFERROR(INDEX(PARAMETRES!$G$536:$G$586,MATCH(AL102,PARAMETRES!$J$536:$J$586,0)),"")</f>
        <v/>
      </c>
      <c r="AQ102" s="65"/>
      <c r="AR102" s="65"/>
      <c r="AS102" s="65"/>
      <c r="AT102" s="65"/>
      <c r="AU102" s="65"/>
      <c r="AV102" s="65"/>
      <c r="AW102" s="65"/>
      <c r="AX102" s="65"/>
      <c r="AY102" s="65"/>
      <c r="AZ102" s="65"/>
      <c r="BA102" s="65"/>
      <c r="BB102" s="66"/>
      <c r="BC102" s="65"/>
      <c r="BD102" s="65"/>
      <c r="BE102" s="66"/>
      <c r="BF102" s="66"/>
      <c r="BG102" s="65"/>
      <c r="BH102" s="65"/>
      <c r="BI102" s="65"/>
      <c r="BJ102" s="65"/>
      <c r="BK102" s="65"/>
      <c r="BL102" s="65"/>
      <c r="BM102" s="66"/>
      <c r="BN102" s="65"/>
      <c r="BO102" s="65"/>
      <c r="BP102" s="65"/>
      <c r="BQ102" s="65"/>
      <c r="BR102" s="65"/>
      <c r="BS102" s="65"/>
      <c r="BT102" s="65"/>
      <c r="BU102" s="66"/>
      <c r="BV102" s="64" t="str">
        <f aca="true">IF(BE102="","",DATEDIF(BE102,TODAY(),"y"))</f>
        <v/>
      </c>
      <c r="BW102" s="64" t="n">
        <f aca="false">COUNTIF(tbl_Beneficiaires_Activites[ID Beneficiaire],A102)</f>
        <v>40</v>
      </c>
      <c r="BX102" s="64" t="n">
        <f aca="false">COUNTIF(tbl_Beneficiaires_Appuis[ID Beneficiaire],A102)</f>
        <v>40</v>
      </c>
      <c r="BY102" s="64" t="str">
        <f aca="false">IF(D102="","",IF(COUNTIFS($D$56:$D$115,D102,$F$56:$F$115,F102,$I$56:$I$115,I102)&gt;1,"DOUBLON POSSIBLE","OK"))</f>
        <v/>
      </c>
      <c r="BZ102" s="65"/>
    </row>
    <row r="103" customFormat="false" ht="15" hidden="false" customHeight="true" outlineLevel="0" collapsed="false">
      <c r="A103" s="64" t="str">
        <f aca="false">IF(D103="","","BEN"&amp;TEXT(ROW()-55,"00000"))</f>
        <v/>
      </c>
      <c r="B103" s="65"/>
      <c r="C103" s="65"/>
      <c r="D103" s="65"/>
      <c r="E103" s="65"/>
      <c r="F103" s="65"/>
      <c r="G103" s="64" t="str">
        <f aca="false">TRIM(D103&amp;" "&amp;E103&amp;" "&amp;F103)</f>
        <v/>
      </c>
      <c r="H103" s="65"/>
      <c r="I103" s="66"/>
      <c r="J103" s="64" t="str">
        <f aca="true">IF(I103="","",DATEDIF(I103,TODAY(),"y"))</f>
        <v/>
      </c>
      <c r="K103" s="64" t="str">
        <f aca="false">IF(J103="","",IF(J103&lt;5,"0-4 ans",IF(J103&lt;10,"5-9 ans",IF(J103&lt;15,"10-14 ans",IF(J103&lt;18,"15-17 ans",IF(J103&lt;25,"18-24 ans",IF(J103&lt;35,"25-34 ans",IF(J103&lt;45,"35-44 ans",IF(J103&lt;55,"45-54 ans",IF(J103&lt;65,"55-64 ans","65 ans et plus"))))))))))</f>
        <v/>
      </c>
      <c r="L103" s="65"/>
      <c r="M103" s="65"/>
      <c r="N103" s="65"/>
      <c r="O103" s="65"/>
      <c r="P103" s="67"/>
      <c r="Q103" s="65"/>
      <c r="R103" s="67"/>
      <c r="S103" s="67"/>
      <c r="T103" s="67"/>
      <c r="U103" s="67"/>
      <c r="V103" s="65"/>
      <c r="W103" s="65"/>
      <c r="X103" s="65"/>
      <c r="Y103" s="65"/>
      <c r="Z103" s="65"/>
      <c r="AA103" s="65"/>
      <c r="AB103" s="65"/>
      <c r="AC103" s="65"/>
      <c r="AD103" s="65"/>
      <c r="AE103" s="65"/>
      <c r="AF103" s="65"/>
      <c r="AG103" s="65"/>
      <c r="AH103" s="65"/>
      <c r="AI103" s="65"/>
      <c r="AJ103" s="65"/>
      <c r="AK103" s="65"/>
      <c r="AL103" s="65"/>
      <c r="AM103" s="64" t="str">
        <f aca="false">IFERROR(INDEX(PARAMETRES!$B$536:$B$586,MATCH(AL103,PARAMETRES!$J$536:$J$586,0)),"")</f>
        <v/>
      </c>
      <c r="AN103" s="64" t="str">
        <f aca="false">IFERROR(INDEX(PARAMETRES!$D$536:$D$586,MATCH(AL103,PARAMETRES!$J$536:$J$586,0)),"")</f>
        <v/>
      </c>
      <c r="AO103" s="64" t="str">
        <f aca="false">IFERROR(INDEX(PARAMETRES!$F$536:$F$586,MATCH(AL103,PARAMETRES!$J$536:$J$586,0)),"")</f>
        <v/>
      </c>
      <c r="AP103" s="64" t="str">
        <f aca="false">IFERROR(INDEX(PARAMETRES!$G$536:$G$586,MATCH(AL103,PARAMETRES!$J$536:$J$586,0)),"")</f>
        <v/>
      </c>
      <c r="AQ103" s="65"/>
      <c r="AR103" s="65"/>
      <c r="AS103" s="65"/>
      <c r="AT103" s="65"/>
      <c r="AU103" s="65"/>
      <c r="AV103" s="65"/>
      <c r="AW103" s="65"/>
      <c r="AX103" s="65"/>
      <c r="AY103" s="65"/>
      <c r="AZ103" s="65"/>
      <c r="BA103" s="65"/>
      <c r="BB103" s="66"/>
      <c r="BC103" s="65"/>
      <c r="BD103" s="65"/>
      <c r="BE103" s="66"/>
      <c r="BF103" s="66"/>
      <c r="BG103" s="65"/>
      <c r="BH103" s="65"/>
      <c r="BI103" s="65"/>
      <c r="BJ103" s="65"/>
      <c r="BK103" s="65"/>
      <c r="BL103" s="65"/>
      <c r="BM103" s="66"/>
      <c r="BN103" s="65"/>
      <c r="BO103" s="65"/>
      <c r="BP103" s="65"/>
      <c r="BQ103" s="65"/>
      <c r="BR103" s="65"/>
      <c r="BS103" s="65"/>
      <c r="BT103" s="65"/>
      <c r="BU103" s="66"/>
      <c r="BV103" s="64" t="str">
        <f aca="true">IF(BE103="","",DATEDIF(BE103,TODAY(),"y"))</f>
        <v/>
      </c>
      <c r="BW103" s="64" t="n">
        <f aca="false">COUNTIF(tbl_Beneficiaires_Activites[ID Beneficiaire],A103)</f>
        <v>40</v>
      </c>
      <c r="BX103" s="64" t="n">
        <f aca="false">COUNTIF(tbl_Beneficiaires_Appuis[ID Beneficiaire],A103)</f>
        <v>40</v>
      </c>
      <c r="BY103" s="64" t="str">
        <f aca="false">IF(D103="","",IF(COUNTIFS($D$56:$D$115,D103,$F$56:$F$115,F103,$I$56:$I$115,I103)&gt;1,"DOUBLON POSSIBLE","OK"))</f>
        <v/>
      </c>
      <c r="BZ103" s="65"/>
    </row>
    <row r="104" customFormat="false" ht="15" hidden="false" customHeight="true" outlineLevel="0" collapsed="false">
      <c r="A104" s="64" t="str">
        <f aca="false">IF(D104="","","BEN"&amp;TEXT(ROW()-55,"00000"))</f>
        <v/>
      </c>
      <c r="B104" s="65"/>
      <c r="C104" s="65"/>
      <c r="D104" s="65"/>
      <c r="E104" s="65"/>
      <c r="F104" s="65"/>
      <c r="G104" s="64" t="str">
        <f aca="false">TRIM(D104&amp;" "&amp;E104&amp;" "&amp;F104)</f>
        <v/>
      </c>
      <c r="H104" s="65"/>
      <c r="I104" s="66"/>
      <c r="J104" s="64" t="str">
        <f aca="true">IF(I104="","",DATEDIF(I104,TODAY(),"y"))</f>
        <v/>
      </c>
      <c r="K104" s="64" t="str">
        <f aca="false">IF(J104="","",IF(J104&lt;5,"0-4 ans",IF(J104&lt;10,"5-9 ans",IF(J104&lt;15,"10-14 ans",IF(J104&lt;18,"15-17 ans",IF(J104&lt;25,"18-24 ans",IF(J104&lt;35,"25-34 ans",IF(J104&lt;45,"35-44 ans",IF(J104&lt;55,"45-54 ans",IF(J104&lt;65,"55-64 ans","65 ans et plus"))))))))))</f>
        <v/>
      </c>
      <c r="L104" s="65"/>
      <c r="M104" s="65"/>
      <c r="N104" s="65"/>
      <c r="O104" s="65"/>
      <c r="P104" s="67"/>
      <c r="Q104" s="65"/>
      <c r="R104" s="67"/>
      <c r="S104" s="67"/>
      <c r="T104" s="67"/>
      <c r="U104" s="67"/>
      <c r="V104" s="65"/>
      <c r="W104" s="65"/>
      <c r="X104" s="65"/>
      <c r="Y104" s="65"/>
      <c r="Z104" s="65"/>
      <c r="AA104" s="65"/>
      <c r="AB104" s="65"/>
      <c r="AC104" s="65"/>
      <c r="AD104" s="65"/>
      <c r="AE104" s="65"/>
      <c r="AF104" s="65"/>
      <c r="AG104" s="65"/>
      <c r="AH104" s="65"/>
      <c r="AI104" s="65"/>
      <c r="AJ104" s="65"/>
      <c r="AK104" s="65"/>
      <c r="AL104" s="65"/>
      <c r="AM104" s="64" t="str">
        <f aca="false">IFERROR(INDEX(PARAMETRES!$B$536:$B$586,MATCH(AL104,PARAMETRES!$J$536:$J$586,0)),"")</f>
        <v/>
      </c>
      <c r="AN104" s="64" t="str">
        <f aca="false">IFERROR(INDEX(PARAMETRES!$D$536:$D$586,MATCH(AL104,PARAMETRES!$J$536:$J$586,0)),"")</f>
        <v/>
      </c>
      <c r="AO104" s="64" t="str">
        <f aca="false">IFERROR(INDEX(PARAMETRES!$F$536:$F$586,MATCH(AL104,PARAMETRES!$J$536:$J$586,0)),"")</f>
        <v/>
      </c>
      <c r="AP104" s="64" t="str">
        <f aca="false">IFERROR(INDEX(PARAMETRES!$G$536:$G$586,MATCH(AL104,PARAMETRES!$J$536:$J$586,0)),"")</f>
        <v/>
      </c>
      <c r="AQ104" s="65"/>
      <c r="AR104" s="65"/>
      <c r="AS104" s="65"/>
      <c r="AT104" s="65"/>
      <c r="AU104" s="65"/>
      <c r="AV104" s="65"/>
      <c r="AW104" s="65"/>
      <c r="AX104" s="65"/>
      <c r="AY104" s="65"/>
      <c r="AZ104" s="65"/>
      <c r="BA104" s="65"/>
      <c r="BB104" s="66"/>
      <c r="BC104" s="65"/>
      <c r="BD104" s="65"/>
      <c r="BE104" s="66"/>
      <c r="BF104" s="66"/>
      <c r="BG104" s="65"/>
      <c r="BH104" s="65"/>
      <c r="BI104" s="65"/>
      <c r="BJ104" s="65"/>
      <c r="BK104" s="65"/>
      <c r="BL104" s="65"/>
      <c r="BM104" s="66"/>
      <c r="BN104" s="65"/>
      <c r="BO104" s="65"/>
      <c r="BP104" s="65"/>
      <c r="BQ104" s="65"/>
      <c r="BR104" s="65"/>
      <c r="BS104" s="65"/>
      <c r="BT104" s="65"/>
      <c r="BU104" s="66"/>
      <c r="BV104" s="64" t="str">
        <f aca="true">IF(BE104="","",DATEDIF(BE104,TODAY(),"y"))</f>
        <v/>
      </c>
      <c r="BW104" s="64" t="n">
        <f aca="false">COUNTIF(tbl_Beneficiaires_Activites[ID Beneficiaire],A104)</f>
        <v>40</v>
      </c>
      <c r="BX104" s="64" t="n">
        <f aca="false">COUNTIF(tbl_Beneficiaires_Appuis[ID Beneficiaire],A104)</f>
        <v>40</v>
      </c>
      <c r="BY104" s="64" t="str">
        <f aca="false">IF(D104="","",IF(COUNTIFS($D$56:$D$115,D104,$F$56:$F$115,F104,$I$56:$I$115,I104)&gt;1,"DOUBLON POSSIBLE","OK"))</f>
        <v/>
      </c>
      <c r="BZ104" s="65"/>
    </row>
    <row r="105" customFormat="false" ht="15" hidden="false" customHeight="true" outlineLevel="0" collapsed="false">
      <c r="A105" s="64" t="str">
        <f aca="false">IF(D105="","","BEN"&amp;TEXT(ROW()-55,"00000"))</f>
        <v/>
      </c>
      <c r="B105" s="65"/>
      <c r="C105" s="65"/>
      <c r="D105" s="65"/>
      <c r="E105" s="65"/>
      <c r="F105" s="65"/>
      <c r="G105" s="64" t="str">
        <f aca="false">TRIM(D105&amp;" "&amp;E105&amp;" "&amp;F105)</f>
        <v/>
      </c>
      <c r="H105" s="65"/>
      <c r="I105" s="66"/>
      <c r="J105" s="64" t="str">
        <f aca="true">IF(I105="","",DATEDIF(I105,TODAY(),"y"))</f>
        <v/>
      </c>
      <c r="K105" s="64" t="str">
        <f aca="false">IF(J105="","",IF(J105&lt;5,"0-4 ans",IF(J105&lt;10,"5-9 ans",IF(J105&lt;15,"10-14 ans",IF(J105&lt;18,"15-17 ans",IF(J105&lt;25,"18-24 ans",IF(J105&lt;35,"25-34 ans",IF(J105&lt;45,"35-44 ans",IF(J105&lt;55,"45-54 ans",IF(J105&lt;65,"55-64 ans","65 ans et plus"))))))))))</f>
        <v/>
      </c>
      <c r="L105" s="65"/>
      <c r="M105" s="65"/>
      <c r="N105" s="65"/>
      <c r="O105" s="65"/>
      <c r="P105" s="67"/>
      <c r="Q105" s="65"/>
      <c r="R105" s="67"/>
      <c r="S105" s="67"/>
      <c r="T105" s="67"/>
      <c r="U105" s="67"/>
      <c r="V105" s="65"/>
      <c r="W105" s="65"/>
      <c r="X105" s="65"/>
      <c r="Y105" s="65"/>
      <c r="Z105" s="65"/>
      <c r="AA105" s="65"/>
      <c r="AB105" s="65"/>
      <c r="AC105" s="65"/>
      <c r="AD105" s="65"/>
      <c r="AE105" s="65"/>
      <c r="AF105" s="65"/>
      <c r="AG105" s="65"/>
      <c r="AH105" s="65"/>
      <c r="AI105" s="65"/>
      <c r="AJ105" s="65"/>
      <c r="AK105" s="65"/>
      <c r="AL105" s="65"/>
      <c r="AM105" s="64" t="str">
        <f aca="false">IFERROR(INDEX(PARAMETRES!$B$536:$B$586,MATCH(AL105,PARAMETRES!$J$536:$J$586,0)),"")</f>
        <v/>
      </c>
      <c r="AN105" s="64" t="str">
        <f aca="false">IFERROR(INDEX(PARAMETRES!$D$536:$D$586,MATCH(AL105,PARAMETRES!$J$536:$J$586,0)),"")</f>
        <v/>
      </c>
      <c r="AO105" s="64" t="str">
        <f aca="false">IFERROR(INDEX(PARAMETRES!$F$536:$F$586,MATCH(AL105,PARAMETRES!$J$536:$J$586,0)),"")</f>
        <v/>
      </c>
      <c r="AP105" s="64" t="str">
        <f aca="false">IFERROR(INDEX(PARAMETRES!$G$536:$G$586,MATCH(AL105,PARAMETRES!$J$536:$J$586,0)),"")</f>
        <v/>
      </c>
      <c r="AQ105" s="65"/>
      <c r="AR105" s="65"/>
      <c r="AS105" s="65"/>
      <c r="AT105" s="65"/>
      <c r="AU105" s="65"/>
      <c r="AV105" s="65"/>
      <c r="AW105" s="65"/>
      <c r="AX105" s="65"/>
      <c r="AY105" s="65"/>
      <c r="AZ105" s="65"/>
      <c r="BA105" s="65"/>
      <c r="BB105" s="66"/>
      <c r="BC105" s="65"/>
      <c r="BD105" s="65"/>
      <c r="BE105" s="66"/>
      <c r="BF105" s="66"/>
      <c r="BG105" s="65"/>
      <c r="BH105" s="65"/>
      <c r="BI105" s="65"/>
      <c r="BJ105" s="65"/>
      <c r="BK105" s="65"/>
      <c r="BL105" s="65"/>
      <c r="BM105" s="66"/>
      <c r="BN105" s="65"/>
      <c r="BO105" s="65"/>
      <c r="BP105" s="65"/>
      <c r="BQ105" s="65"/>
      <c r="BR105" s="65"/>
      <c r="BS105" s="65"/>
      <c r="BT105" s="65"/>
      <c r="BU105" s="66"/>
      <c r="BV105" s="64" t="str">
        <f aca="true">IF(BE105="","",DATEDIF(BE105,TODAY(),"y"))</f>
        <v/>
      </c>
      <c r="BW105" s="64" t="n">
        <f aca="false">COUNTIF(tbl_Beneficiaires_Activites[ID Beneficiaire],A105)</f>
        <v>40</v>
      </c>
      <c r="BX105" s="64" t="n">
        <f aca="false">COUNTIF(tbl_Beneficiaires_Appuis[ID Beneficiaire],A105)</f>
        <v>40</v>
      </c>
      <c r="BY105" s="64" t="str">
        <f aca="false">IF(D105="","",IF(COUNTIFS($D$56:$D$115,D105,$F$56:$F$115,F105,$I$56:$I$115,I105)&gt;1,"DOUBLON POSSIBLE","OK"))</f>
        <v/>
      </c>
      <c r="BZ105" s="65"/>
    </row>
    <row r="106" customFormat="false" ht="15" hidden="false" customHeight="true" outlineLevel="0" collapsed="false">
      <c r="A106" s="64" t="str">
        <f aca="false">IF(D106="","","BEN"&amp;TEXT(ROW()-55,"00000"))</f>
        <v/>
      </c>
      <c r="B106" s="65"/>
      <c r="C106" s="65"/>
      <c r="D106" s="65"/>
      <c r="E106" s="65"/>
      <c r="F106" s="65"/>
      <c r="G106" s="64" t="str">
        <f aca="false">TRIM(D106&amp;" "&amp;E106&amp;" "&amp;F106)</f>
        <v/>
      </c>
      <c r="H106" s="65"/>
      <c r="I106" s="66"/>
      <c r="J106" s="64" t="str">
        <f aca="true">IF(I106="","",DATEDIF(I106,TODAY(),"y"))</f>
        <v/>
      </c>
      <c r="K106" s="64" t="str">
        <f aca="false">IF(J106="","",IF(J106&lt;5,"0-4 ans",IF(J106&lt;10,"5-9 ans",IF(J106&lt;15,"10-14 ans",IF(J106&lt;18,"15-17 ans",IF(J106&lt;25,"18-24 ans",IF(J106&lt;35,"25-34 ans",IF(J106&lt;45,"35-44 ans",IF(J106&lt;55,"45-54 ans",IF(J106&lt;65,"55-64 ans","65 ans et plus"))))))))))</f>
        <v/>
      </c>
      <c r="L106" s="65"/>
      <c r="M106" s="65"/>
      <c r="N106" s="65"/>
      <c r="O106" s="65"/>
      <c r="P106" s="67"/>
      <c r="Q106" s="65"/>
      <c r="R106" s="67"/>
      <c r="S106" s="67"/>
      <c r="T106" s="67"/>
      <c r="U106" s="67"/>
      <c r="V106" s="65"/>
      <c r="W106" s="65"/>
      <c r="X106" s="65"/>
      <c r="Y106" s="65"/>
      <c r="Z106" s="65"/>
      <c r="AA106" s="65"/>
      <c r="AB106" s="65"/>
      <c r="AC106" s="65"/>
      <c r="AD106" s="65"/>
      <c r="AE106" s="65"/>
      <c r="AF106" s="65"/>
      <c r="AG106" s="65"/>
      <c r="AH106" s="65"/>
      <c r="AI106" s="65"/>
      <c r="AJ106" s="65"/>
      <c r="AK106" s="65"/>
      <c r="AL106" s="65"/>
      <c r="AM106" s="64" t="str">
        <f aca="false">IFERROR(INDEX(PARAMETRES!$B$536:$B$586,MATCH(AL106,PARAMETRES!$J$536:$J$586,0)),"")</f>
        <v/>
      </c>
      <c r="AN106" s="64" t="str">
        <f aca="false">IFERROR(INDEX(PARAMETRES!$D$536:$D$586,MATCH(AL106,PARAMETRES!$J$536:$J$586,0)),"")</f>
        <v/>
      </c>
      <c r="AO106" s="64" t="str">
        <f aca="false">IFERROR(INDEX(PARAMETRES!$F$536:$F$586,MATCH(AL106,PARAMETRES!$J$536:$J$586,0)),"")</f>
        <v/>
      </c>
      <c r="AP106" s="64" t="str">
        <f aca="false">IFERROR(INDEX(PARAMETRES!$G$536:$G$586,MATCH(AL106,PARAMETRES!$J$536:$J$586,0)),"")</f>
        <v/>
      </c>
      <c r="AQ106" s="65"/>
      <c r="AR106" s="65"/>
      <c r="AS106" s="65"/>
      <c r="AT106" s="65"/>
      <c r="AU106" s="65"/>
      <c r="AV106" s="65"/>
      <c r="AW106" s="65"/>
      <c r="AX106" s="65"/>
      <c r="AY106" s="65"/>
      <c r="AZ106" s="65"/>
      <c r="BA106" s="65"/>
      <c r="BB106" s="66"/>
      <c r="BC106" s="65"/>
      <c r="BD106" s="65"/>
      <c r="BE106" s="66"/>
      <c r="BF106" s="66"/>
      <c r="BG106" s="65"/>
      <c r="BH106" s="65"/>
      <c r="BI106" s="65"/>
      <c r="BJ106" s="65"/>
      <c r="BK106" s="65"/>
      <c r="BL106" s="65"/>
      <c r="BM106" s="66"/>
      <c r="BN106" s="65"/>
      <c r="BO106" s="65"/>
      <c r="BP106" s="65"/>
      <c r="BQ106" s="65"/>
      <c r="BR106" s="65"/>
      <c r="BS106" s="65"/>
      <c r="BT106" s="65"/>
      <c r="BU106" s="66"/>
      <c r="BV106" s="64" t="str">
        <f aca="true">IF(BE106="","",DATEDIF(BE106,TODAY(),"y"))</f>
        <v/>
      </c>
      <c r="BW106" s="64" t="n">
        <f aca="false">COUNTIF(tbl_Beneficiaires_Activites[ID Beneficiaire],A106)</f>
        <v>40</v>
      </c>
      <c r="BX106" s="64" t="n">
        <f aca="false">COUNTIF(tbl_Beneficiaires_Appuis[ID Beneficiaire],A106)</f>
        <v>40</v>
      </c>
      <c r="BY106" s="64" t="str">
        <f aca="false">IF(D106="","",IF(COUNTIFS($D$56:$D$115,D106,$F$56:$F$115,F106,$I$56:$I$115,I106)&gt;1,"DOUBLON POSSIBLE","OK"))</f>
        <v/>
      </c>
      <c r="BZ106" s="65"/>
    </row>
    <row r="107" customFormat="false" ht="15" hidden="false" customHeight="true" outlineLevel="0" collapsed="false">
      <c r="A107" s="64" t="str">
        <f aca="false">IF(D107="","","BEN"&amp;TEXT(ROW()-55,"00000"))</f>
        <v/>
      </c>
      <c r="B107" s="65"/>
      <c r="C107" s="65"/>
      <c r="D107" s="65"/>
      <c r="E107" s="65"/>
      <c r="F107" s="65"/>
      <c r="G107" s="64" t="str">
        <f aca="false">TRIM(D107&amp;" "&amp;E107&amp;" "&amp;F107)</f>
        <v/>
      </c>
      <c r="H107" s="65"/>
      <c r="I107" s="66"/>
      <c r="J107" s="64" t="str">
        <f aca="true">IF(I107="","",DATEDIF(I107,TODAY(),"y"))</f>
        <v/>
      </c>
      <c r="K107" s="64" t="str">
        <f aca="false">IF(J107="","",IF(J107&lt;5,"0-4 ans",IF(J107&lt;10,"5-9 ans",IF(J107&lt;15,"10-14 ans",IF(J107&lt;18,"15-17 ans",IF(J107&lt;25,"18-24 ans",IF(J107&lt;35,"25-34 ans",IF(J107&lt;45,"35-44 ans",IF(J107&lt;55,"45-54 ans",IF(J107&lt;65,"55-64 ans","65 ans et plus"))))))))))</f>
        <v/>
      </c>
      <c r="L107" s="65"/>
      <c r="M107" s="65"/>
      <c r="N107" s="65"/>
      <c r="O107" s="65"/>
      <c r="P107" s="67"/>
      <c r="Q107" s="65"/>
      <c r="R107" s="67"/>
      <c r="S107" s="67"/>
      <c r="T107" s="67"/>
      <c r="U107" s="67"/>
      <c r="V107" s="65"/>
      <c r="W107" s="65"/>
      <c r="X107" s="65"/>
      <c r="Y107" s="65"/>
      <c r="Z107" s="65"/>
      <c r="AA107" s="65"/>
      <c r="AB107" s="65"/>
      <c r="AC107" s="65"/>
      <c r="AD107" s="65"/>
      <c r="AE107" s="65"/>
      <c r="AF107" s="65"/>
      <c r="AG107" s="65"/>
      <c r="AH107" s="65"/>
      <c r="AI107" s="65"/>
      <c r="AJ107" s="65"/>
      <c r="AK107" s="65"/>
      <c r="AL107" s="65"/>
      <c r="AM107" s="64" t="str">
        <f aca="false">IFERROR(INDEX(PARAMETRES!$B$536:$B$586,MATCH(AL107,PARAMETRES!$J$536:$J$586,0)),"")</f>
        <v/>
      </c>
      <c r="AN107" s="64" t="str">
        <f aca="false">IFERROR(INDEX(PARAMETRES!$D$536:$D$586,MATCH(AL107,PARAMETRES!$J$536:$J$586,0)),"")</f>
        <v/>
      </c>
      <c r="AO107" s="64" t="str">
        <f aca="false">IFERROR(INDEX(PARAMETRES!$F$536:$F$586,MATCH(AL107,PARAMETRES!$J$536:$J$586,0)),"")</f>
        <v/>
      </c>
      <c r="AP107" s="64" t="str">
        <f aca="false">IFERROR(INDEX(PARAMETRES!$G$536:$G$586,MATCH(AL107,PARAMETRES!$J$536:$J$586,0)),"")</f>
        <v/>
      </c>
      <c r="AQ107" s="65"/>
      <c r="AR107" s="65"/>
      <c r="AS107" s="65"/>
      <c r="AT107" s="65"/>
      <c r="AU107" s="65"/>
      <c r="AV107" s="65"/>
      <c r="AW107" s="65"/>
      <c r="AX107" s="65"/>
      <c r="AY107" s="65"/>
      <c r="AZ107" s="65"/>
      <c r="BA107" s="65"/>
      <c r="BB107" s="66"/>
      <c r="BC107" s="65"/>
      <c r="BD107" s="65"/>
      <c r="BE107" s="66"/>
      <c r="BF107" s="66"/>
      <c r="BG107" s="65"/>
      <c r="BH107" s="65"/>
      <c r="BI107" s="65"/>
      <c r="BJ107" s="65"/>
      <c r="BK107" s="65"/>
      <c r="BL107" s="65"/>
      <c r="BM107" s="66"/>
      <c r="BN107" s="65"/>
      <c r="BO107" s="65"/>
      <c r="BP107" s="65"/>
      <c r="BQ107" s="65"/>
      <c r="BR107" s="65"/>
      <c r="BS107" s="65"/>
      <c r="BT107" s="65"/>
      <c r="BU107" s="66"/>
      <c r="BV107" s="64" t="str">
        <f aca="true">IF(BE107="","",DATEDIF(BE107,TODAY(),"y"))</f>
        <v/>
      </c>
      <c r="BW107" s="64" t="n">
        <f aca="false">COUNTIF(tbl_Beneficiaires_Activites[ID Beneficiaire],A107)</f>
        <v>40</v>
      </c>
      <c r="BX107" s="64" t="n">
        <f aca="false">COUNTIF(tbl_Beneficiaires_Appuis[ID Beneficiaire],A107)</f>
        <v>40</v>
      </c>
      <c r="BY107" s="64" t="str">
        <f aca="false">IF(D107="","",IF(COUNTIFS($D$56:$D$115,D107,$F$56:$F$115,F107,$I$56:$I$115,I107)&gt;1,"DOUBLON POSSIBLE","OK"))</f>
        <v/>
      </c>
      <c r="BZ107" s="65"/>
    </row>
    <row r="108" customFormat="false" ht="15" hidden="false" customHeight="true" outlineLevel="0" collapsed="false">
      <c r="A108" s="64" t="str">
        <f aca="false">IF(D108="","","BEN"&amp;TEXT(ROW()-55,"00000"))</f>
        <v/>
      </c>
      <c r="B108" s="65"/>
      <c r="C108" s="65"/>
      <c r="D108" s="65"/>
      <c r="E108" s="65"/>
      <c r="F108" s="65"/>
      <c r="G108" s="64" t="str">
        <f aca="false">TRIM(D108&amp;" "&amp;E108&amp;" "&amp;F108)</f>
        <v/>
      </c>
      <c r="H108" s="65"/>
      <c r="I108" s="66"/>
      <c r="J108" s="64" t="str">
        <f aca="true">IF(I108="","",DATEDIF(I108,TODAY(),"y"))</f>
        <v/>
      </c>
      <c r="K108" s="64" t="str">
        <f aca="false">IF(J108="","",IF(J108&lt;5,"0-4 ans",IF(J108&lt;10,"5-9 ans",IF(J108&lt;15,"10-14 ans",IF(J108&lt;18,"15-17 ans",IF(J108&lt;25,"18-24 ans",IF(J108&lt;35,"25-34 ans",IF(J108&lt;45,"35-44 ans",IF(J108&lt;55,"45-54 ans",IF(J108&lt;65,"55-64 ans","65 ans et plus"))))))))))</f>
        <v/>
      </c>
      <c r="L108" s="65"/>
      <c r="M108" s="65"/>
      <c r="N108" s="65"/>
      <c r="O108" s="65"/>
      <c r="P108" s="67"/>
      <c r="Q108" s="65"/>
      <c r="R108" s="67"/>
      <c r="S108" s="67"/>
      <c r="T108" s="67"/>
      <c r="U108" s="67"/>
      <c r="V108" s="65"/>
      <c r="W108" s="65"/>
      <c r="X108" s="65"/>
      <c r="Y108" s="65"/>
      <c r="Z108" s="65"/>
      <c r="AA108" s="65"/>
      <c r="AB108" s="65"/>
      <c r="AC108" s="65"/>
      <c r="AD108" s="65"/>
      <c r="AE108" s="65"/>
      <c r="AF108" s="65"/>
      <c r="AG108" s="65"/>
      <c r="AH108" s="65"/>
      <c r="AI108" s="65"/>
      <c r="AJ108" s="65"/>
      <c r="AK108" s="65"/>
      <c r="AL108" s="65"/>
      <c r="AM108" s="64" t="str">
        <f aca="false">IFERROR(INDEX(PARAMETRES!$B$536:$B$586,MATCH(AL108,PARAMETRES!$J$536:$J$586,0)),"")</f>
        <v/>
      </c>
      <c r="AN108" s="64" t="str">
        <f aca="false">IFERROR(INDEX(PARAMETRES!$D$536:$D$586,MATCH(AL108,PARAMETRES!$J$536:$J$586,0)),"")</f>
        <v/>
      </c>
      <c r="AO108" s="64" t="str">
        <f aca="false">IFERROR(INDEX(PARAMETRES!$F$536:$F$586,MATCH(AL108,PARAMETRES!$J$536:$J$586,0)),"")</f>
        <v/>
      </c>
      <c r="AP108" s="64" t="str">
        <f aca="false">IFERROR(INDEX(PARAMETRES!$G$536:$G$586,MATCH(AL108,PARAMETRES!$J$536:$J$586,0)),"")</f>
        <v/>
      </c>
      <c r="AQ108" s="65"/>
      <c r="AR108" s="65"/>
      <c r="AS108" s="65"/>
      <c r="AT108" s="65"/>
      <c r="AU108" s="65"/>
      <c r="AV108" s="65"/>
      <c r="AW108" s="65"/>
      <c r="AX108" s="65"/>
      <c r="AY108" s="65"/>
      <c r="AZ108" s="65"/>
      <c r="BA108" s="65"/>
      <c r="BB108" s="66"/>
      <c r="BC108" s="65"/>
      <c r="BD108" s="65"/>
      <c r="BE108" s="66"/>
      <c r="BF108" s="66"/>
      <c r="BG108" s="65"/>
      <c r="BH108" s="65"/>
      <c r="BI108" s="65"/>
      <c r="BJ108" s="65"/>
      <c r="BK108" s="65"/>
      <c r="BL108" s="65"/>
      <c r="BM108" s="66"/>
      <c r="BN108" s="65"/>
      <c r="BO108" s="65"/>
      <c r="BP108" s="65"/>
      <c r="BQ108" s="65"/>
      <c r="BR108" s="65"/>
      <c r="BS108" s="65"/>
      <c r="BT108" s="65"/>
      <c r="BU108" s="66"/>
      <c r="BV108" s="64" t="str">
        <f aca="true">IF(BE108="","",DATEDIF(BE108,TODAY(),"y"))</f>
        <v/>
      </c>
      <c r="BW108" s="64" t="n">
        <f aca="false">COUNTIF(tbl_Beneficiaires_Activites[ID Beneficiaire],A108)</f>
        <v>40</v>
      </c>
      <c r="BX108" s="64" t="n">
        <f aca="false">COUNTIF(tbl_Beneficiaires_Appuis[ID Beneficiaire],A108)</f>
        <v>40</v>
      </c>
      <c r="BY108" s="64" t="str">
        <f aca="false">IF(D108="","",IF(COUNTIFS($D$56:$D$115,D108,$F$56:$F$115,F108,$I$56:$I$115,I108)&gt;1,"DOUBLON POSSIBLE","OK"))</f>
        <v/>
      </c>
      <c r="BZ108" s="65"/>
    </row>
    <row r="109" customFormat="false" ht="15" hidden="false" customHeight="true" outlineLevel="0" collapsed="false">
      <c r="A109" s="64" t="str">
        <f aca="false">IF(D109="","","BEN"&amp;TEXT(ROW()-55,"00000"))</f>
        <v/>
      </c>
      <c r="B109" s="65"/>
      <c r="C109" s="65"/>
      <c r="D109" s="65"/>
      <c r="E109" s="65"/>
      <c r="F109" s="65"/>
      <c r="G109" s="64" t="str">
        <f aca="false">TRIM(D109&amp;" "&amp;E109&amp;" "&amp;F109)</f>
        <v/>
      </c>
      <c r="H109" s="65"/>
      <c r="I109" s="66"/>
      <c r="J109" s="64" t="str">
        <f aca="true">IF(I109="","",DATEDIF(I109,TODAY(),"y"))</f>
        <v/>
      </c>
      <c r="K109" s="64" t="str">
        <f aca="false">IF(J109="","",IF(J109&lt;5,"0-4 ans",IF(J109&lt;10,"5-9 ans",IF(J109&lt;15,"10-14 ans",IF(J109&lt;18,"15-17 ans",IF(J109&lt;25,"18-24 ans",IF(J109&lt;35,"25-34 ans",IF(J109&lt;45,"35-44 ans",IF(J109&lt;55,"45-54 ans",IF(J109&lt;65,"55-64 ans","65 ans et plus"))))))))))</f>
        <v/>
      </c>
      <c r="L109" s="65"/>
      <c r="M109" s="65"/>
      <c r="N109" s="65"/>
      <c r="O109" s="65"/>
      <c r="P109" s="67"/>
      <c r="Q109" s="65"/>
      <c r="R109" s="67"/>
      <c r="S109" s="67"/>
      <c r="T109" s="67"/>
      <c r="U109" s="67"/>
      <c r="V109" s="65"/>
      <c r="W109" s="65"/>
      <c r="X109" s="65"/>
      <c r="Y109" s="65"/>
      <c r="Z109" s="65"/>
      <c r="AA109" s="65"/>
      <c r="AB109" s="65"/>
      <c r="AC109" s="65"/>
      <c r="AD109" s="65"/>
      <c r="AE109" s="65"/>
      <c r="AF109" s="65"/>
      <c r="AG109" s="65"/>
      <c r="AH109" s="65"/>
      <c r="AI109" s="65"/>
      <c r="AJ109" s="65"/>
      <c r="AK109" s="65"/>
      <c r="AL109" s="65"/>
      <c r="AM109" s="64" t="str">
        <f aca="false">IFERROR(INDEX(PARAMETRES!$B$536:$B$586,MATCH(AL109,PARAMETRES!$J$536:$J$586,0)),"")</f>
        <v/>
      </c>
      <c r="AN109" s="64" t="str">
        <f aca="false">IFERROR(INDEX(PARAMETRES!$D$536:$D$586,MATCH(AL109,PARAMETRES!$J$536:$J$586,0)),"")</f>
        <v/>
      </c>
      <c r="AO109" s="64" t="str">
        <f aca="false">IFERROR(INDEX(PARAMETRES!$F$536:$F$586,MATCH(AL109,PARAMETRES!$J$536:$J$586,0)),"")</f>
        <v/>
      </c>
      <c r="AP109" s="64" t="str">
        <f aca="false">IFERROR(INDEX(PARAMETRES!$G$536:$G$586,MATCH(AL109,PARAMETRES!$J$536:$J$586,0)),"")</f>
        <v/>
      </c>
      <c r="AQ109" s="65"/>
      <c r="AR109" s="65"/>
      <c r="AS109" s="65"/>
      <c r="AT109" s="65"/>
      <c r="AU109" s="65"/>
      <c r="AV109" s="65"/>
      <c r="AW109" s="65"/>
      <c r="AX109" s="65"/>
      <c r="AY109" s="65"/>
      <c r="AZ109" s="65"/>
      <c r="BA109" s="65"/>
      <c r="BB109" s="66"/>
      <c r="BC109" s="65"/>
      <c r="BD109" s="65"/>
      <c r="BE109" s="66"/>
      <c r="BF109" s="66"/>
      <c r="BG109" s="65"/>
      <c r="BH109" s="65"/>
      <c r="BI109" s="65"/>
      <c r="BJ109" s="65"/>
      <c r="BK109" s="65"/>
      <c r="BL109" s="65"/>
      <c r="BM109" s="66"/>
      <c r="BN109" s="65"/>
      <c r="BO109" s="65"/>
      <c r="BP109" s="65"/>
      <c r="BQ109" s="65"/>
      <c r="BR109" s="65"/>
      <c r="BS109" s="65"/>
      <c r="BT109" s="65"/>
      <c r="BU109" s="66"/>
      <c r="BV109" s="64" t="str">
        <f aca="true">IF(BE109="","",DATEDIF(BE109,TODAY(),"y"))</f>
        <v/>
      </c>
      <c r="BW109" s="64" t="n">
        <f aca="false">COUNTIF(tbl_Beneficiaires_Activites[ID Beneficiaire],A109)</f>
        <v>40</v>
      </c>
      <c r="BX109" s="64" t="n">
        <f aca="false">COUNTIF(tbl_Beneficiaires_Appuis[ID Beneficiaire],A109)</f>
        <v>40</v>
      </c>
      <c r="BY109" s="64" t="str">
        <f aca="false">IF(D109="","",IF(COUNTIFS($D$56:$D$115,D109,$F$56:$F$115,F109,$I$56:$I$115,I109)&gt;1,"DOUBLON POSSIBLE","OK"))</f>
        <v/>
      </c>
      <c r="BZ109" s="65"/>
    </row>
    <row r="110" customFormat="false" ht="15" hidden="false" customHeight="true" outlineLevel="0" collapsed="false">
      <c r="A110" s="64" t="str">
        <f aca="false">IF(D110="","","BEN"&amp;TEXT(ROW()-55,"00000"))</f>
        <v/>
      </c>
      <c r="B110" s="65"/>
      <c r="C110" s="65"/>
      <c r="D110" s="65"/>
      <c r="E110" s="65"/>
      <c r="F110" s="65"/>
      <c r="G110" s="64" t="str">
        <f aca="false">TRIM(D110&amp;" "&amp;E110&amp;" "&amp;F110)</f>
        <v/>
      </c>
      <c r="H110" s="65"/>
      <c r="I110" s="66"/>
      <c r="J110" s="64" t="str">
        <f aca="true">IF(I110="","",DATEDIF(I110,TODAY(),"y"))</f>
        <v/>
      </c>
      <c r="K110" s="64" t="str">
        <f aca="false">IF(J110="","",IF(J110&lt;5,"0-4 ans",IF(J110&lt;10,"5-9 ans",IF(J110&lt;15,"10-14 ans",IF(J110&lt;18,"15-17 ans",IF(J110&lt;25,"18-24 ans",IF(J110&lt;35,"25-34 ans",IF(J110&lt;45,"35-44 ans",IF(J110&lt;55,"45-54 ans",IF(J110&lt;65,"55-64 ans","65 ans et plus"))))))))))</f>
        <v/>
      </c>
      <c r="L110" s="65"/>
      <c r="M110" s="65"/>
      <c r="N110" s="65"/>
      <c r="O110" s="65"/>
      <c r="P110" s="67"/>
      <c r="Q110" s="65"/>
      <c r="R110" s="67"/>
      <c r="S110" s="67"/>
      <c r="T110" s="67"/>
      <c r="U110" s="67"/>
      <c r="V110" s="65"/>
      <c r="W110" s="65"/>
      <c r="X110" s="65"/>
      <c r="Y110" s="65"/>
      <c r="Z110" s="65"/>
      <c r="AA110" s="65"/>
      <c r="AB110" s="65"/>
      <c r="AC110" s="65"/>
      <c r="AD110" s="65"/>
      <c r="AE110" s="65"/>
      <c r="AF110" s="65"/>
      <c r="AG110" s="65"/>
      <c r="AH110" s="65"/>
      <c r="AI110" s="65"/>
      <c r="AJ110" s="65"/>
      <c r="AK110" s="65"/>
      <c r="AL110" s="65"/>
      <c r="AM110" s="64" t="str">
        <f aca="false">IFERROR(INDEX(PARAMETRES!$B$536:$B$586,MATCH(AL110,PARAMETRES!$J$536:$J$586,0)),"")</f>
        <v/>
      </c>
      <c r="AN110" s="64" t="str">
        <f aca="false">IFERROR(INDEX(PARAMETRES!$D$536:$D$586,MATCH(AL110,PARAMETRES!$J$536:$J$586,0)),"")</f>
        <v/>
      </c>
      <c r="AO110" s="64" t="str">
        <f aca="false">IFERROR(INDEX(PARAMETRES!$F$536:$F$586,MATCH(AL110,PARAMETRES!$J$536:$J$586,0)),"")</f>
        <v/>
      </c>
      <c r="AP110" s="64" t="str">
        <f aca="false">IFERROR(INDEX(PARAMETRES!$G$536:$G$586,MATCH(AL110,PARAMETRES!$J$536:$J$586,0)),"")</f>
        <v/>
      </c>
      <c r="AQ110" s="65"/>
      <c r="AR110" s="65"/>
      <c r="AS110" s="65"/>
      <c r="AT110" s="65"/>
      <c r="AU110" s="65"/>
      <c r="AV110" s="65"/>
      <c r="AW110" s="65"/>
      <c r="AX110" s="65"/>
      <c r="AY110" s="65"/>
      <c r="AZ110" s="65"/>
      <c r="BA110" s="65"/>
      <c r="BB110" s="66"/>
      <c r="BC110" s="65"/>
      <c r="BD110" s="65"/>
      <c r="BE110" s="66"/>
      <c r="BF110" s="66"/>
      <c r="BG110" s="65"/>
      <c r="BH110" s="65"/>
      <c r="BI110" s="65"/>
      <c r="BJ110" s="65"/>
      <c r="BK110" s="65"/>
      <c r="BL110" s="65"/>
      <c r="BM110" s="66"/>
      <c r="BN110" s="65"/>
      <c r="BO110" s="65"/>
      <c r="BP110" s="65"/>
      <c r="BQ110" s="65"/>
      <c r="BR110" s="65"/>
      <c r="BS110" s="65"/>
      <c r="BT110" s="65"/>
      <c r="BU110" s="66"/>
      <c r="BV110" s="64" t="str">
        <f aca="true">IF(BE110="","",DATEDIF(BE110,TODAY(),"y"))</f>
        <v/>
      </c>
      <c r="BW110" s="64" t="n">
        <f aca="false">COUNTIF(tbl_Beneficiaires_Activites[ID Beneficiaire],A110)</f>
        <v>40</v>
      </c>
      <c r="BX110" s="64" t="n">
        <f aca="false">COUNTIF(tbl_Beneficiaires_Appuis[ID Beneficiaire],A110)</f>
        <v>40</v>
      </c>
      <c r="BY110" s="64" t="str">
        <f aca="false">IF(D110="","",IF(COUNTIFS($D$56:$D$115,D110,$F$56:$F$115,F110,$I$56:$I$115,I110)&gt;1,"DOUBLON POSSIBLE","OK"))</f>
        <v/>
      </c>
      <c r="BZ110" s="65"/>
    </row>
    <row r="111" customFormat="false" ht="15" hidden="false" customHeight="true" outlineLevel="0" collapsed="false">
      <c r="A111" s="64" t="str">
        <f aca="false">IF(D111="","","BEN"&amp;TEXT(ROW()-55,"00000"))</f>
        <v/>
      </c>
      <c r="B111" s="65"/>
      <c r="C111" s="65"/>
      <c r="D111" s="65"/>
      <c r="E111" s="65"/>
      <c r="F111" s="65"/>
      <c r="G111" s="64" t="str">
        <f aca="false">TRIM(D111&amp;" "&amp;E111&amp;" "&amp;F111)</f>
        <v/>
      </c>
      <c r="H111" s="65"/>
      <c r="I111" s="66"/>
      <c r="J111" s="64" t="str">
        <f aca="true">IF(I111="","",DATEDIF(I111,TODAY(),"y"))</f>
        <v/>
      </c>
      <c r="K111" s="64" t="str">
        <f aca="false">IF(J111="","",IF(J111&lt;5,"0-4 ans",IF(J111&lt;10,"5-9 ans",IF(J111&lt;15,"10-14 ans",IF(J111&lt;18,"15-17 ans",IF(J111&lt;25,"18-24 ans",IF(J111&lt;35,"25-34 ans",IF(J111&lt;45,"35-44 ans",IF(J111&lt;55,"45-54 ans",IF(J111&lt;65,"55-64 ans","65 ans et plus"))))))))))</f>
        <v/>
      </c>
      <c r="L111" s="65"/>
      <c r="M111" s="65"/>
      <c r="N111" s="65"/>
      <c r="O111" s="65"/>
      <c r="P111" s="67"/>
      <c r="Q111" s="65"/>
      <c r="R111" s="67"/>
      <c r="S111" s="67"/>
      <c r="T111" s="67"/>
      <c r="U111" s="67"/>
      <c r="V111" s="65"/>
      <c r="W111" s="65"/>
      <c r="X111" s="65"/>
      <c r="Y111" s="65"/>
      <c r="Z111" s="65"/>
      <c r="AA111" s="65"/>
      <c r="AB111" s="65"/>
      <c r="AC111" s="65"/>
      <c r="AD111" s="65"/>
      <c r="AE111" s="65"/>
      <c r="AF111" s="65"/>
      <c r="AG111" s="65"/>
      <c r="AH111" s="65"/>
      <c r="AI111" s="65"/>
      <c r="AJ111" s="65"/>
      <c r="AK111" s="65"/>
      <c r="AL111" s="65"/>
      <c r="AM111" s="64" t="str">
        <f aca="false">IFERROR(INDEX(PARAMETRES!$B$536:$B$586,MATCH(AL111,PARAMETRES!$J$536:$J$586,0)),"")</f>
        <v/>
      </c>
      <c r="AN111" s="64" t="str">
        <f aca="false">IFERROR(INDEX(PARAMETRES!$D$536:$D$586,MATCH(AL111,PARAMETRES!$J$536:$J$586,0)),"")</f>
        <v/>
      </c>
      <c r="AO111" s="64" t="str">
        <f aca="false">IFERROR(INDEX(PARAMETRES!$F$536:$F$586,MATCH(AL111,PARAMETRES!$J$536:$J$586,0)),"")</f>
        <v/>
      </c>
      <c r="AP111" s="64" t="str">
        <f aca="false">IFERROR(INDEX(PARAMETRES!$G$536:$G$586,MATCH(AL111,PARAMETRES!$J$536:$J$586,0)),"")</f>
        <v/>
      </c>
      <c r="AQ111" s="65"/>
      <c r="AR111" s="65"/>
      <c r="AS111" s="65"/>
      <c r="AT111" s="65"/>
      <c r="AU111" s="65"/>
      <c r="AV111" s="65"/>
      <c r="AW111" s="65"/>
      <c r="AX111" s="65"/>
      <c r="AY111" s="65"/>
      <c r="AZ111" s="65"/>
      <c r="BA111" s="65"/>
      <c r="BB111" s="66"/>
      <c r="BC111" s="65"/>
      <c r="BD111" s="65"/>
      <c r="BE111" s="66"/>
      <c r="BF111" s="66"/>
      <c r="BG111" s="65"/>
      <c r="BH111" s="65"/>
      <c r="BI111" s="65"/>
      <c r="BJ111" s="65"/>
      <c r="BK111" s="65"/>
      <c r="BL111" s="65"/>
      <c r="BM111" s="66"/>
      <c r="BN111" s="65"/>
      <c r="BO111" s="65"/>
      <c r="BP111" s="65"/>
      <c r="BQ111" s="65"/>
      <c r="BR111" s="65"/>
      <c r="BS111" s="65"/>
      <c r="BT111" s="65"/>
      <c r="BU111" s="66"/>
      <c r="BV111" s="64" t="str">
        <f aca="true">IF(BE111="","",DATEDIF(BE111,TODAY(),"y"))</f>
        <v/>
      </c>
      <c r="BW111" s="64" t="n">
        <f aca="false">COUNTIF(tbl_Beneficiaires_Activites[ID Beneficiaire],A111)</f>
        <v>40</v>
      </c>
      <c r="BX111" s="64" t="n">
        <f aca="false">COUNTIF(tbl_Beneficiaires_Appuis[ID Beneficiaire],A111)</f>
        <v>40</v>
      </c>
      <c r="BY111" s="64" t="str">
        <f aca="false">IF(D111="","",IF(COUNTIFS($D$56:$D$115,D111,$F$56:$F$115,F111,$I$56:$I$115,I111)&gt;1,"DOUBLON POSSIBLE","OK"))</f>
        <v/>
      </c>
      <c r="BZ111" s="65"/>
    </row>
    <row r="112" customFormat="false" ht="15" hidden="false" customHeight="true" outlineLevel="0" collapsed="false">
      <c r="A112" s="64" t="str">
        <f aca="false">IF(D112="","","BEN"&amp;TEXT(ROW()-55,"00000"))</f>
        <v/>
      </c>
      <c r="B112" s="65"/>
      <c r="C112" s="65"/>
      <c r="D112" s="65"/>
      <c r="E112" s="65"/>
      <c r="F112" s="65"/>
      <c r="G112" s="64" t="str">
        <f aca="false">TRIM(D112&amp;" "&amp;E112&amp;" "&amp;F112)</f>
        <v/>
      </c>
      <c r="H112" s="65"/>
      <c r="I112" s="66"/>
      <c r="J112" s="64" t="str">
        <f aca="true">IF(I112="","",DATEDIF(I112,TODAY(),"y"))</f>
        <v/>
      </c>
      <c r="K112" s="64" t="str">
        <f aca="false">IF(J112="","",IF(J112&lt;5,"0-4 ans",IF(J112&lt;10,"5-9 ans",IF(J112&lt;15,"10-14 ans",IF(J112&lt;18,"15-17 ans",IF(J112&lt;25,"18-24 ans",IF(J112&lt;35,"25-34 ans",IF(J112&lt;45,"35-44 ans",IF(J112&lt;55,"45-54 ans",IF(J112&lt;65,"55-64 ans","65 ans et plus"))))))))))</f>
        <v/>
      </c>
      <c r="L112" s="65"/>
      <c r="M112" s="65"/>
      <c r="N112" s="65"/>
      <c r="O112" s="65"/>
      <c r="P112" s="67"/>
      <c r="Q112" s="65"/>
      <c r="R112" s="67"/>
      <c r="S112" s="67"/>
      <c r="T112" s="67"/>
      <c r="U112" s="67"/>
      <c r="V112" s="65"/>
      <c r="W112" s="65"/>
      <c r="X112" s="65"/>
      <c r="Y112" s="65"/>
      <c r="Z112" s="65"/>
      <c r="AA112" s="65"/>
      <c r="AB112" s="65"/>
      <c r="AC112" s="65"/>
      <c r="AD112" s="65"/>
      <c r="AE112" s="65"/>
      <c r="AF112" s="65"/>
      <c r="AG112" s="65"/>
      <c r="AH112" s="65"/>
      <c r="AI112" s="65"/>
      <c r="AJ112" s="65"/>
      <c r="AK112" s="65"/>
      <c r="AL112" s="65"/>
      <c r="AM112" s="64" t="str">
        <f aca="false">IFERROR(INDEX(PARAMETRES!$B$536:$B$586,MATCH(AL112,PARAMETRES!$J$536:$J$586,0)),"")</f>
        <v/>
      </c>
      <c r="AN112" s="64" t="str">
        <f aca="false">IFERROR(INDEX(PARAMETRES!$D$536:$D$586,MATCH(AL112,PARAMETRES!$J$536:$J$586,0)),"")</f>
        <v/>
      </c>
      <c r="AO112" s="64" t="str">
        <f aca="false">IFERROR(INDEX(PARAMETRES!$F$536:$F$586,MATCH(AL112,PARAMETRES!$J$536:$J$586,0)),"")</f>
        <v/>
      </c>
      <c r="AP112" s="64" t="str">
        <f aca="false">IFERROR(INDEX(PARAMETRES!$G$536:$G$586,MATCH(AL112,PARAMETRES!$J$536:$J$586,0)),"")</f>
        <v/>
      </c>
      <c r="AQ112" s="65"/>
      <c r="AR112" s="65"/>
      <c r="AS112" s="65"/>
      <c r="AT112" s="65"/>
      <c r="AU112" s="65"/>
      <c r="AV112" s="65"/>
      <c r="AW112" s="65"/>
      <c r="AX112" s="65"/>
      <c r="AY112" s="65"/>
      <c r="AZ112" s="65"/>
      <c r="BA112" s="65"/>
      <c r="BB112" s="66"/>
      <c r="BC112" s="65"/>
      <c r="BD112" s="65"/>
      <c r="BE112" s="66"/>
      <c r="BF112" s="66"/>
      <c r="BG112" s="65"/>
      <c r="BH112" s="65"/>
      <c r="BI112" s="65"/>
      <c r="BJ112" s="65"/>
      <c r="BK112" s="65"/>
      <c r="BL112" s="65"/>
      <c r="BM112" s="66"/>
      <c r="BN112" s="65"/>
      <c r="BO112" s="65"/>
      <c r="BP112" s="65"/>
      <c r="BQ112" s="65"/>
      <c r="BR112" s="65"/>
      <c r="BS112" s="65"/>
      <c r="BT112" s="65"/>
      <c r="BU112" s="66"/>
      <c r="BV112" s="64" t="str">
        <f aca="true">IF(BE112="","",DATEDIF(BE112,TODAY(),"y"))</f>
        <v/>
      </c>
      <c r="BW112" s="64" t="n">
        <f aca="false">COUNTIF(tbl_Beneficiaires_Activites[ID Beneficiaire],A112)</f>
        <v>40</v>
      </c>
      <c r="BX112" s="64" t="n">
        <f aca="false">COUNTIF(tbl_Beneficiaires_Appuis[ID Beneficiaire],A112)</f>
        <v>40</v>
      </c>
      <c r="BY112" s="64" t="str">
        <f aca="false">IF(D112="","",IF(COUNTIFS($D$56:$D$115,D112,$F$56:$F$115,F112,$I$56:$I$115,I112)&gt;1,"DOUBLON POSSIBLE","OK"))</f>
        <v/>
      </c>
      <c r="BZ112" s="65"/>
    </row>
    <row r="113" customFormat="false" ht="15" hidden="false" customHeight="true" outlineLevel="0" collapsed="false">
      <c r="A113" s="64" t="str">
        <f aca="false">IF(D113="","","BEN"&amp;TEXT(ROW()-55,"00000"))</f>
        <v/>
      </c>
      <c r="B113" s="65"/>
      <c r="C113" s="65"/>
      <c r="D113" s="65"/>
      <c r="E113" s="65"/>
      <c r="F113" s="65"/>
      <c r="G113" s="64" t="str">
        <f aca="false">TRIM(D113&amp;" "&amp;E113&amp;" "&amp;F113)</f>
        <v/>
      </c>
      <c r="H113" s="65"/>
      <c r="I113" s="66"/>
      <c r="J113" s="64" t="str">
        <f aca="true">IF(I113="","",DATEDIF(I113,TODAY(),"y"))</f>
        <v/>
      </c>
      <c r="K113" s="64" t="str">
        <f aca="false">IF(J113="","",IF(J113&lt;5,"0-4 ans",IF(J113&lt;10,"5-9 ans",IF(J113&lt;15,"10-14 ans",IF(J113&lt;18,"15-17 ans",IF(J113&lt;25,"18-24 ans",IF(J113&lt;35,"25-34 ans",IF(J113&lt;45,"35-44 ans",IF(J113&lt;55,"45-54 ans",IF(J113&lt;65,"55-64 ans","65 ans et plus"))))))))))</f>
        <v/>
      </c>
      <c r="L113" s="65"/>
      <c r="M113" s="65"/>
      <c r="N113" s="65"/>
      <c r="O113" s="65"/>
      <c r="P113" s="67"/>
      <c r="Q113" s="65"/>
      <c r="R113" s="67"/>
      <c r="S113" s="67"/>
      <c r="T113" s="67"/>
      <c r="U113" s="67"/>
      <c r="V113" s="65"/>
      <c r="W113" s="65"/>
      <c r="X113" s="65"/>
      <c r="Y113" s="65"/>
      <c r="Z113" s="65"/>
      <c r="AA113" s="65"/>
      <c r="AB113" s="65"/>
      <c r="AC113" s="65"/>
      <c r="AD113" s="65"/>
      <c r="AE113" s="65"/>
      <c r="AF113" s="65"/>
      <c r="AG113" s="65"/>
      <c r="AH113" s="65"/>
      <c r="AI113" s="65"/>
      <c r="AJ113" s="65"/>
      <c r="AK113" s="65"/>
      <c r="AL113" s="65"/>
      <c r="AM113" s="64" t="str">
        <f aca="false">IFERROR(INDEX(PARAMETRES!$B$536:$B$586,MATCH(AL113,PARAMETRES!$J$536:$J$586,0)),"")</f>
        <v/>
      </c>
      <c r="AN113" s="64" t="str">
        <f aca="false">IFERROR(INDEX(PARAMETRES!$D$536:$D$586,MATCH(AL113,PARAMETRES!$J$536:$J$586,0)),"")</f>
        <v/>
      </c>
      <c r="AO113" s="64" t="str">
        <f aca="false">IFERROR(INDEX(PARAMETRES!$F$536:$F$586,MATCH(AL113,PARAMETRES!$J$536:$J$586,0)),"")</f>
        <v/>
      </c>
      <c r="AP113" s="64" t="str">
        <f aca="false">IFERROR(INDEX(PARAMETRES!$G$536:$G$586,MATCH(AL113,PARAMETRES!$J$536:$J$586,0)),"")</f>
        <v/>
      </c>
      <c r="AQ113" s="65"/>
      <c r="AR113" s="65"/>
      <c r="AS113" s="65"/>
      <c r="AT113" s="65"/>
      <c r="AU113" s="65"/>
      <c r="AV113" s="65"/>
      <c r="AW113" s="65"/>
      <c r="AX113" s="65"/>
      <c r="AY113" s="65"/>
      <c r="AZ113" s="65"/>
      <c r="BA113" s="65"/>
      <c r="BB113" s="66"/>
      <c r="BC113" s="65"/>
      <c r="BD113" s="65"/>
      <c r="BE113" s="66"/>
      <c r="BF113" s="66"/>
      <c r="BG113" s="65"/>
      <c r="BH113" s="65"/>
      <c r="BI113" s="65"/>
      <c r="BJ113" s="65"/>
      <c r="BK113" s="65"/>
      <c r="BL113" s="65"/>
      <c r="BM113" s="66"/>
      <c r="BN113" s="65"/>
      <c r="BO113" s="65"/>
      <c r="BP113" s="65"/>
      <c r="BQ113" s="65"/>
      <c r="BR113" s="65"/>
      <c r="BS113" s="65"/>
      <c r="BT113" s="65"/>
      <c r="BU113" s="66"/>
      <c r="BV113" s="64" t="str">
        <f aca="true">IF(BE113="","",DATEDIF(BE113,TODAY(),"y"))</f>
        <v/>
      </c>
      <c r="BW113" s="64" t="n">
        <f aca="false">COUNTIF(tbl_Beneficiaires_Activites[ID Beneficiaire],A113)</f>
        <v>40</v>
      </c>
      <c r="BX113" s="64" t="n">
        <f aca="false">COUNTIF(tbl_Beneficiaires_Appuis[ID Beneficiaire],A113)</f>
        <v>40</v>
      </c>
      <c r="BY113" s="64" t="str">
        <f aca="false">IF(D113="","",IF(COUNTIFS($D$56:$D$115,D113,$F$56:$F$115,F113,$I$56:$I$115,I113)&gt;1,"DOUBLON POSSIBLE","OK"))</f>
        <v/>
      </c>
      <c r="BZ113" s="65"/>
    </row>
    <row r="114" customFormat="false" ht="15" hidden="false" customHeight="true" outlineLevel="0" collapsed="false">
      <c r="A114" s="64" t="str">
        <f aca="false">IF(D114="","","BEN"&amp;TEXT(ROW()-55,"00000"))</f>
        <v/>
      </c>
      <c r="B114" s="65"/>
      <c r="C114" s="65"/>
      <c r="D114" s="65"/>
      <c r="E114" s="65"/>
      <c r="F114" s="65"/>
      <c r="G114" s="64" t="str">
        <f aca="false">TRIM(D114&amp;" "&amp;E114&amp;" "&amp;F114)</f>
        <v/>
      </c>
      <c r="H114" s="65"/>
      <c r="I114" s="66"/>
      <c r="J114" s="64" t="str">
        <f aca="true">IF(I114="","",DATEDIF(I114,TODAY(),"y"))</f>
        <v/>
      </c>
      <c r="K114" s="64" t="str">
        <f aca="false">IF(J114="","",IF(J114&lt;5,"0-4 ans",IF(J114&lt;10,"5-9 ans",IF(J114&lt;15,"10-14 ans",IF(J114&lt;18,"15-17 ans",IF(J114&lt;25,"18-24 ans",IF(J114&lt;35,"25-34 ans",IF(J114&lt;45,"35-44 ans",IF(J114&lt;55,"45-54 ans",IF(J114&lt;65,"55-64 ans","65 ans et plus"))))))))))</f>
        <v/>
      </c>
      <c r="L114" s="65"/>
      <c r="M114" s="65"/>
      <c r="N114" s="65"/>
      <c r="O114" s="65"/>
      <c r="P114" s="67"/>
      <c r="Q114" s="65"/>
      <c r="R114" s="67"/>
      <c r="S114" s="67"/>
      <c r="T114" s="67"/>
      <c r="U114" s="67"/>
      <c r="V114" s="65"/>
      <c r="W114" s="65"/>
      <c r="X114" s="65"/>
      <c r="Y114" s="65"/>
      <c r="Z114" s="65"/>
      <c r="AA114" s="65"/>
      <c r="AB114" s="65"/>
      <c r="AC114" s="65"/>
      <c r="AD114" s="65"/>
      <c r="AE114" s="65"/>
      <c r="AF114" s="65"/>
      <c r="AG114" s="65"/>
      <c r="AH114" s="65"/>
      <c r="AI114" s="65"/>
      <c r="AJ114" s="65"/>
      <c r="AK114" s="65"/>
      <c r="AL114" s="65"/>
      <c r="AM114" s="64" t="str">
        <f aca="false">IFERROR(INDEX(PARAMETRES!$B$536:$B$586,MATCH(AL114,PARAMETRES!$J$536:$J$586,0)),"")</f>
        <v/>
      </c>
      <c r="AN114" s="64" t="str">
        <f aca="false">IFERROR(INDEX(PARAMETRES!$D$536:$D$586,MATCH(AL114,PARAMETRES!$J$536:$J$586,0)),"")</f>
        <v/>
      </c>
      <c r="AO114" s="64" t="str">
        <f aca="false">IFERROR(INDEX(PARAMETRES!$F$536:$F$586,MATCH(AL114,PARAMETRES!$J$536:$J$586,0)),"")</f>
        <v/>
      </c>
      <c r="AP114" s="64" t="str">
        <f aca="false">IFERROR(INDEX(PARAMETRES!$G$536:$G$586,MATCH(AL114,PARAMETRES!$J$536:$J$586,0)),"")</f>
        <v/>
      </c>
      <c r="AQ114" s="65"/>
      <c r="AR114" s="65"/>
      <c r="AS114" s="65"/>
      <c r="AT114" s="65"/>
      <c r="AU114" s="65"/>
      <c r="AV114" s="65"/>
      <c r="AW114" s="65"/>
      <c r="AX114" s="65"/>
      <c r="AY114" s="65"/>
      <c r="AZ114" s="65"/>
      <c r="BA114" s="65"/>
      <c r="BB114" s="66"/>
      <c r="BC114" s="65"/>
      <c r="BD114" s="65"/>
      <c r="BE114" s="66"/>
      <c r="BF114" s="66"/>
      <c r="BG114" s="65"/>
      <c r="BH114" s="65"/>
      <c r="BI114" s="65"/>
      <c r="BJ114" s="65"/>
      <c r="BK114" s="65"/>
      <c r="BL114" s="65"/>
      <c r="BM114" s="66"/>
      <c r="BN114" s="65"/>
      <c r="BO114" s="65"/>
      <c r="BP114" s="65"/>
      <c r="BQ114" s="65"/>
      <c r="BR114" s="65"/>
      <c r="BS114" s="65"/>
      <c r="BT114" s="65"/>
      <c r="BU114" s="66"/>
      <c r="BV114" s="64" t="str">
        <f aca="true">IF(BE114="","",DATEDIF(BE114,TODAY(),"y"))</f>
        <v/>
      </c>
      <c r="BW114" s="64" t="n">
        <f aca="false">COUNTIF(tbl_Beneficiaires_Activites[ID Beneficiaire],A114)</f>
        <v>40</v>
      </c>
      <c r="BX114" s="64" t="n">
        <f aca="false">COUNTIF(tbl_Beneficiaires_Appuis[ID Beneficiaire],A114)</f>
        <v>40</v>
      </c>
      <c r="BY114" s="64" t="str">
        <f aca="false">IF(D114="","",IF(COUNTIFS($D$56:$D$115,D114,$F$56:$F$115,F114,$I$56:$I$115,I114)&gt;1,"DOUBLON POSSIBLE","OK"))</f>
        <v/>
      </c>
      <c r="BZ114" s="65"/>
    </row>
    <row r="115" customFormat="false" ht="15" hidden="false" customHeight="true" outlineLevel="0" collapsed="false">
      <c r="A115" s="64" t="str">
        <f aca="false">IF(D115="","","BEN"&amp;TEXT(ROW()-55,"00000"))</f>
        <v/>
      </c>
      <c r="B115" s="65"/>
      <c r="C115" s="65"/>
      <c r="D115" s="65"/>
      <c r="E115" s="65"/>
      <c r="F115" s="65"/>
      <c r="G115" s="64" t="str">
        <f aca="false">TRIM(D115&amp;" "&amp;E115&amp;" "&amp;F115)</f>
        <v/>
      </c>
      <c r="H115" s="65"/>
      <c r="I115" s="66"/>
      <c r="J115" s="64" t="str">
        <f aca="true">IF(I115="","",DATEDIF(I115,TODAY(),"y"))</f>
        <v/>
      </c>
      <c r="K115" s="64" t="str">
        <f aca="false">IF(J115="","",IF(J115&lt;5,"0-4 ans",IF(J115&lt;10,"5-9 ans",IF(J115&lt;15,"10-14 ans",IF(J115&lt;18,"15-17 ans",IF(J115&lt;25,"18-24 ans",IF(J115&lt;35,"25-34 ans",IF(J115&lt;45,"35-44 ans",IF(J115&lt;55,"45-54 ans",IF(J115&lt;65,"55-64 ans","65 ans et plus"))))))))))</f>
        <v/>
      </c>
      <c r="L115" s="65"/>
      <c r="M115" s="65"/>
      <c r="N115" s="65"/>
      <c r="O115" s="65"/>
      <c r="P115" s="67"/>
      <c r="Q115" s="65"/>
      <c r="R115" s="67"/>
      <c r="S115" s="67"/>
      <c r="T115" s="67"/>
      <c r="U115" s="67"/>
      <c r="V115" s="65"/>
      <c r="W115" s="65"/>
      <c r="X115" s="65"/>
      <c r="Y115" s="65"/>
      <c r="Z115" s="65"/>
      <c r="AA115" s="65"/>
      <c r="AB115" s="65"/>
      <c r="AC115" s="65"/>
      <c r="AD115" s="65"/>
      <c r="AE115" s="65"/>
      <c r="AF115" s="65"/>
      <c r="AG115" s="65"/>
      <c r="AH115" s="65"/>
      <c r="AI115" s="65"/>
      <c r="AJ115" s="65"/>
      <c r="AK115" s="65"/>
      <c r="AL115" s="65"/>
      <c r="AM115" s="64" t="str">
        <f aca="false">IFERROR(INDEX(PARAMETRES!$B$536:$B$586,MATCH(AL115,PARAMETRES!$J$536:$J$586,0)),"")</f>
        <v/>
      </c>
      <c r="AN115" s="64" t="str">
        <f aca="false">IFERROR(INDEX(PARAMETRES!$D$536:$D$586,MATCH(AL115,PARAMETRES!$J$536:$J$586,0)),"")</f>
        <v/>
      </c>
      <c r="AO115" s="64" t="str">
        <f aca="false">IFERROR(INDEX(PARAMETRES!$F$536:$F$586,MATCH(AL115,PARAMETRES!$J$536:$J$586,0)),"")</f>
        <v/>
      </c>
      <c r="AP115" s="64" t="str">
        <f aca="false">IFERROR(INDEX(PARAMETRES!$G$536:$G$586,MATCH(AL115,PARAMETRES!$J$536:$J$586,0)),"")</f>
        <v/>
      </c>
      <c r="AQ115" s="65"/>
      <c r="AR115" s="65"/>
      <c r="AS115" s="65"/>
      <c r="AT115" s="65"/>
      <c r="AU115" s="65"/>
      <c r="AV115" s="65"/>
      <c r="AW115" s="65"/>
      <c r="AX115" s="65"/>
      <c r="AY115" s="65"/>
      <c r="AZ115" s="65"/>
      <c r="BA115" s="65"/>
      <c r="BB115" s="66"/>
      <c r="BC115" s="65"/>
      <c r="BD115" s="65"/>
      <c r="BE115" s="66"/>
      <c r="BF115" s="66"/>
      <c r="BG115" s="65"/>
      <c r="BH115" s="65"/>
      <c r="BI115" s="65"/>
      <c r="BJ115" s="65"/>
      <c r="BK115" s="65"/>
      <c r="BL115" s="65"/>
      <c r="BM115" s="66"/>
      <c r="BN115" s="65"/>
      <c r="BO115" s="65"/>
      <c r="BP115" s="65"/>
      <c r="BQ115" s="65"/>
      <c r="BR115" s="65"/>
      <c r="BS115" s="65"/>
      <c r="BT115" s="65"/>
      <c r="BU115" s="66"/>
      <c r="BV115" s="64" t="str">
        <f aca="true">IF(BE115="","",DATEDIF(BE115,TODAY(),"y"))</f>
        <v/>
      </c>
      <c r="BW115" s="64" t="n">
        <f aca="false">COUNTIF(tbl_Beneficiaires_Activites[ID Beneficiaire],A115)</f>
        <v>40</v>
      </c>
      <c r="BX115" s="64" t="n">
        <f aca="false">COUNTIF(tbl_Beneficiaires_Appuis[ID Beneficiaire],A115)</f>
        <v>40</v>
      </c>
      <c r="BY115" s="64" t="str">
        <f aca="false">IF(D115="","",IF(COUNTIFS($D$56:$D$115,D115,$F$56:$F$115,F115,$I$56:$I$115,I115)&gt;1,"DOUBLON POSSIBLE","OK"))</f>
        <v/>
      </c>
      <c r="BZ115" s="65"/>
    </row>
    <row r="118" customFormat="false" ht="19.5" hidden="false" customHeight="true" outlineLevel="0" collapsed="false">
      <c r="A118" s="24" t="s">
        <v>1541</v>
      </c>
      <c r="B118" s="24"/>
      <c r="C118" s="24"/>
      <c r="D118" s="24"/>
      <c r="E118" s="24"/>
      <c r="F118" s="24"/>
      <c r="G118" s="24"/>
      <c r="H118" s="24"/>
      <c r="I118" s="24"/>
    </row>
    <row r="119" customFormat="false" ht="24" hidden="false" customHeight="true" outlineLevel="0" collapsed="false">
      <c r="A119" s="59" t="s">
        <v>1542</v>
      </c>
      <c r="B119" s="59" t="s">
        <v>1464</v>
      </c>
      <c r="C119" s="59" t="s">
        <v>1543</v>
      </c>
      <c r="D119" s="59" t="s">
        <v>1544</v>
      </c>
      <c r="E119" s="59" t="s">
        <v>1545</v>
      </c>
      <c r="F119" s="59" t="s">
        <v>1546</v>
      </c>
      <c r="G119" s="59" t="s">
        <v>1547</v>
      </c>
      <c r="H119" s="59" t="s">
        <v>1548</v>
      </c>
      <c r="I119" s="59" t="s">
        <v>1432</v>
      </c>
    </row>
    <row r="120" customFormat="false" ht="15" hidden="false" customHeight="true" outlineLevel="0" collapsed="false">
      <c r="A120" s="68" t="str">
        <f aca="false">IF(B120="","","PART"&amp;TEXT(ROW()-119,"00000"))</f>
        <v/>
      </c>
      <c r="B120" s="62"/>
      <c r="C120" s="62"/>
      <c r="D120" s="62"/>
      <c r="E120" s="62"/>
      <c r="F120" s="69"/>
      <c r="G120" s="62"/>
      <c r="H120" s="62"/>
      <c r="I120" s="62"/>
    </row>
    <row r="121" customFormat="false" ht="15" hidden="false" customHeight="true" outlineLevel="0" collapsed="false">
      <c r="A121" s="68" t="str">
        <f aca="false">IF(B121="","","PART"&amp;TEXT(ROW()-119,"00000"))</f>
        <v/>
      </c>
      <c r="B121" s="62"/>
      <c r="C121" s="62"/>
      <c r="D121" s="62"/>
      <c r="E121" s="62"/>
      <c r="F121" s="69"/>
      <c r="G121" s="62"/>
      <c r="H121" s="62"/>
      <c r="I121" s="62"/>
    </row>
    <row r="122" customFormat="false" ht="15" hidden="false" customHeight="true" outlineLevel="0" collapsed="false">
      <c r="A122" s="68" t="str">
        <f aca="false">IF(B122="","","PART"&amp;TEXT(ROW()-119,"00000"))</f>
        <v/>
      </c>
      <c r="B122" s="62"/>
      <c r="C122" s="62"/>
      <c r="D122" s="62"/>
      <c r="E122" s="62"/>
      <c r="F122" s="69"/>
      <c r="G122" s="62"/>
      <c r="H122" s="62"/>
      <c r="I122" s="62"/>
    </row>
    <row r="123" customFormat="false" ht="15" hidden="false" customHeight="true" outlineLevel="0" collapsed="false">
      <c r="A123" s="68" t="str">
        <f aca="false">IF(B123="","","PART"&amp;TEXT(ROW()-119,"00000"))</f>
        <v/>
      </c>
      <c r="B123" s="62"/>
      <c r="C123" s="62"/>
      <c r="D123" s="62"/>
      <c r="E123" s="62"/>
      <c r="F123" s="69"/>
      <c r="G123" s="62"/>
      <c r="H123" s="62"/>
      <c r="I123" s="62"/>
    </row>
    <row r="124" customFormat="false" ht="15" hidden="false" customHeight="true" outlineLevel="0" collapsed="false">
      <c r="A124" s="68" t="str">
        <f aca="false">IF(B124="","","PART"&amp;TEXT(ROW()-119,"00000"))</f>
        <v/>
      </c>
      <c r="B124" s="62"/>
      <c r="C124" s="62"/>
      <c r="D124" s="62"/>
      <c r="E124" s="62"/>
      <c r="F124" s="69"/>
      <c r="G124" s="62"/>
      <c r="H124" s="62"/>
      <c r="I124" s="62"/>
    </row>
    <row r="125" customFormat="false" ht="15" hidden="false" customHeight="true" outlineLevel="0" collapsed="false">
      <c r="A125" s="68" t="str">
        <f aca="false">IF(B125="","","PART"&amp;TEXT(ROW()-119,"00000"))</f>
        <v/>
      </c>
      <c r="B125" s="62"/>
      <c r="C125" s="62"/>
      <c r="D125" s="62"/>
      <c r="E125" s="62"/>
      <c r="F125" s="69"/>
      <c r="G125" s="62"/>
      <c r="H125" s="62"/>
      <c r="I125" s="62"/>
    </row>
    <row r="126" customFormat="false" ht="15" hidden="false" customHeight="true" outlineLevel="0" collapsed="false">
      <c r="A126" s="68" t="str">
        <f aca="false">IF(B126="","","PART"&amp;TEXT(ROW()-119,"00000"))</f>
        <v/>
      </c>
      <c r="B126" s="62"/>
      <c r="C126" s="62"/>
      <c r="D126" s="62"/>
      <c r="E126" s="62"/>
      <c r="F126" s="69"/>
      <c r="G126" s="62"/>
      <c r="H126" s="62"/>
      <c r="I126" s="62"/>
    </row>
    <row r="127" customFormat="false" ht="15" hidden="false" customHeight="true" outlineLevel="0" collapsed="false">
      <c r="A127" s="68" t="str">
        <f aca="false">IF(B127="","","PART"&amp;TEXT(ROW()-119,"00000"))</f>
        <v/>
      </c>
      <c r="B127" s="62"/>
      <c r="C127" s="62"/>
      <c r="D127" s="62"/>
      <c r="E127" s="62"/>
      <c r="F127" s="69"/>
      <c r="G127" s="62"/>
      <c r="H127" s="62"/>
      <c r="I127" s="62"/>
    </row>
    <row r="128" customFormat="false" ht="15" hidden="false" customHeight="true" outlineLevel="0" collapsed="false">
      <c r="A128" s="68" t="str">
        <f aca="false">IF(B128="","","PART"&amp;TEXT(ROW()-119,"00000"))</f>
        <v/>
      </c>
      <c r="B128" s="62"/>
      <c r="C128" s="62"/>
      <c r="D128" s="62"/>
      <c r="E128" s="62"/>
      <c r="F128" s="69"/>
      <c r="G128" s="62"/>
      <c r="H128" s="62"/>
      <c r="I128" s="62"/>
    </row>
    <row r="129" customFormat="false" ht="15" hidden="false" customHeight="true" outlineLevel="0" collapsed="false">
      <c r="A129" s="68" t="str">
        <f aca="false">IF(B129="","","PART"&amp;TEXT(ROW()-119,"00000"))</f>
        <v/>
      </c>
      <c r="B129" s="62"/>
      <c r="C129" s="62"/>
      <c r="D129" s="62"/>
      <c r="E129" s="62"/>
      <c r="F129" s="69"/>
      <c r="G129" s="62"/>
      <c r="H129" s="62"/>
      <c r="I129" s="62"/>
    </row>
    <row r="130" customFormat="false" ht="15" hidden="false" customHeight="true" outlineLevel="0" collapsed="false">
      <c r="A130" s="68" t="str">
        <f aca="false">IF(B130="","","PART"&amp;TEXT(ROW()-119,"00000"))</f>
        <v/>
      </c>
      <c r="B130" s="62"/>
      <c r="C130" s="62"/>
      <c r="D130" s="62"/>
      <c r="E130" s="62"/>
      <c r="F130" s="69"/>
      <c r="G130" s="62"/>
      <c r="H130" s="62"/>
      <c r="I130" s="62"/>
    </row>
    <row r="131" customFormat="false" ht="15" hidden="false" customHeight="true" outlineLevel="0" collapsed="false">
      <c r="A131" s="68" t="str">
        <f aca="false">IF(B131="","","PART"&amp;TEXT(ROW()-119,"00000"))</f>
        <v/>
      </c>
      <c r="B131" s="62"/>
      <c r="C131" s="62"/>
      <c r="D131" s="62"/>
      <c r="E131" s="62"/>
      <c r="F131" s="69"/>
      <c r="G131" s="62"/>
      <c r="H131" s="62"/>
      <c r="I131" s="62"/>
    </row>
    <row r="132" customFormat="false" ht="15" hidden="false" customHeight="true" outlineLevel="0" collapsed="false">
      <c r="A132" s="68" t="str">
        <f aca="false">IF(B132="","","PART"&amp;TEXT(ROW()-119,"00000"))</f>
        <v/>
      </c>
      <c r="B132" s="62"/>
      <c r="C132" s="62"/>
      <c r="D132" s="62"/>
      <c r="E132" s="62"/>
      <c r="F132" s="69"/>
      <c r="G132" s="62"/>
      <c r="H132" s="62"/>
      <c r="I132" s="62"/>
    </row>
    <row r="133" customFormat="false" ht="15" hidden="false" customHeight="true" outlineLevel="0" collapsed="false">
      <c r="A133" s="68" t="str">
        <f aca="false">IF(B133="","","PART"&amp;TEXT(ROW()-119,"00000"))</f>
        <v/>
      </c>
      <c r="B133" s="62"/>
      <c r="C133" s="62"/>
      <c r="D133" s="62"/>
      <c r="E133" s="62"/>
      <c r="F133" s="69"/>
      <c r="G133" s="62"/>
      <c r="H133" s="62"/>
      <c r="I133" s="62"/>
    </row>
    <row r="134" customFormat="false" ht="15" hidden="false" customHeight="true" outlineLevel="0" collapsed="false">
      <c r="A134" s="68" t="str">
        <f aca="false">IF(B134="","","PART"&amp;TEXT(ROW()-119,"00000"))</f>
        <v/>
      </c>
      <c r="B134" s="62"/>
      <c r="C134" s="62"/>
      <c r="D134" s="62"/>
      <c r="E134" s="62"/>
      <c r="F134" s="69"/>
      <c r="G134" s="62"/>
      <c r="H134" s="62"/>
      <c r="I134" s="62"/>
    </row>
    <row r="135" customFormat="false" ht="15" hidden="false" customHeight="true" outlineLevel="0" collapsed="false">
      <c r="A135" s="68" t="str">
        <f aca="false">IF(B135="","","PART"&amp;TEXT(ROW()-119,"00000"))</f>
        <v/>
      </c>
      <c r="B135" s="62"/>
      <c r="C135" s="62"/>
      <c r="D135" s="62"/>
      <c r="E135" s="62"/>
      <c r="F135" s="69"/>
      <c r="G135" s="62"/>
      <c r="H135" s="62"/>
      <c r="I135" s="62"/>
    </row>
    <row r="136" customFormat="false" ht="15" hidden="false" customHeight="true" outlineLevel="0" collapsed="false">
      <c r="A136" s="68" t="str">
        <f aca="false">IF(B136="","","PART"&amp;TEXT(ROW()-119,"00000"))</f>
        <v/>
      </c>
      <c r="B136" s="62"/>
      <c r="C136" s="62"/>
      <c r="D136" s="62"/>
      <c r="E136" s="62"/>
      <c r="F136" s="69"/>
      <c r="G136" s="62"/>
      <c r="H136" s="62"/>
      <c r="I136" s="62"/>
    </row>
    <row r="137" customFormat="false" ht="15" hidden="false" customHeight="true" outlineLevel="0" collapsed="false">
      <c r="A137" s="68" t="str">
        <f aca="false">IF(B137="","","PART"&amp;TEXT(ROW()-119,"00000"))</f>
        <v/>
      </c>
      <c r="B137" s="62"/>
      <c r="C137" s="62"/>
      <c r="D137" s="62"/>
      <c r="E137" s="62"/>
      <c r="F137" s="69"/>
      <c r="G137" s="62"/>
      <c r="H137" s="62"/>
      <c r="I137" s="62"/>
    </row>
    <row r="138" customFormat="false" ht="15" hidden="false" customHeight="true" outlineLevel="0" collapsed="false">
      <c r="A138" s="68" t="str">
        <f aca="false">IF(B138="","","PART"&amp;TEXT(ROW()-119,"00000"))</f>
        <v/>
      </c>
      <c r="B138" s="62"/>
      <c r="C138" s="62"/>
      <c r="D138" s="62"/>
      <c r="E138" s="62"/>
      <c r="F138" s="69"/>
      <c r="G138" s="62"/>
      <c r="H138" s="62"/>
      <c r="I138" s="62"/>
    </row>
    <row r="139" customFormat="false" ht="15" hidden="false" customHeight="true" outlineLevel="0" collapsed="false">
      <c r="A139" s="68" t="str">
        <f aca="false">IF(B139="","","PART"&amp;TEXT(ROW()-119,"00000"))</f>
        <v/>
      </c>
      <c r="B139" s="62"/>
      <c r="C139" s="62"/>
      <c r="D139" s="62"/>
      <c r="E139" s="62"/>
      <c r="F139" s="69"/>
      <c r="G139" s="62"/>
      <c r="H139" s="62"/>
      <c r="I139" s="62"/>
    </row>
    <row r="140" customFormat="false" ht="15" hidden="false" customHeight="true" outlineLevel="0" collapsed="false">
      <c r="A140" s="68" t="str">
        <f aca="false">IF(B140="","","PART"&amp;TEXT(ROW()-119,"00000"))</f>
        <v/>
      </c>
      <c r="B140" s="62"/>
      <c r="C140" s="62"/>
      <c r="D140" s="62"/>
      <c r="E140" s="62"/>
      <c r="F140" s="69"/>
      <c r="G140" s="62"/>
      <c r="H140" s="62"/>
      <c r="I140" s="62"/>
    </row>
    <row r="141" customFormat="false" ht="15" hidden="false" customHeight="true" outlineLevel="0" collapsed="false">
      <c r="A141" s="68" t="str">
        <f aca="false">IF(B141="","","PART"&amp;TEXT(ROW()-119,"00000"))</f>
        <v/>
      </c>
      <c r="B141" s="62"/>
      <c r="C141" s="62"/>
      <c r="D141" s="62"/>
      <c r="E141" s="62"/>
      <c r="F141" s="69"/>
      <c r="G141" s="62"/>
      <c r="H141" s="62"/>
      <c r="I141" s="62"/>
    </row>
    <row r="142" customFormat="false" ht="15" hidden="false" customHeight="true" outlineLevel="0" collapsed="false">
      <c r="A142" s="68" t="str">
        <f aca="false">IF(B142="","","PART"&amp;TEXT(ROW()-119,"00000"))</f>
        <v/>
      </c>
      <c r="B142" s="62"/>
      <c r="C142" s="62"/>
      <c r="D142" s="62"/>
      <c r="E142" s="62"/>
      <c r="F142" s="69"/>
      <c r="G142" s="62"/>
      <c r="H142" s="62"/>
      <c r="I142" s="62"/>
    </row>
    <row r="143" customFormat="false" ht="15" hidden="false" customHeight="true" outlineLevel="0" collapsed="false">
      <c r="A143" s="68" t="str">
        <f aca="false">IF(B143="","","PART"&amp;TEXT(ROW()-119,"00000"))</f>
        <v/>
      </c>
      <c r="B143" s="62"/>
      <c r="C143" s="62"/>
      <c r="D143" s="62"/>
      <c r="E143" s="62"/>
      <c r="F143" s="69"/>
      <c r="G143" s="62"/>
      <c r="H143" s="62"/>
      <c r="I143" s="62"/>
    </row>
    <row r="144" customFormat="false" ht="15" hidden="false" customHeight="true" outlineLevel="0" collapsed="false">
      <c r="A144" s="68" t="str">
        <f aca="false">IF(B144="","","PART"&amp;TEXT(ROW()-119,"00000"))</f>
        <v/>
      </c>
      <c r="B144" s="62"/>
      <c r="C144" s="62"/>
      <c r="D144" s="62"/>
      <c r="E144" s="62"/>
      <c r="F144" s="69"/>
      <c r="G144" s="62"/>
      <c r="H144" s="62"/>
      <c r="I144" s="62"/>
    </row>
    <row r="145" customFormat="false" ht="15" hidden="false" customHeight="true" outlineLevel="0" collapsed="false">
      <c r="A145" s="68" t="str">
        <f aca="false">IF(B145="","","PART"&amp;TEXT(ROW()-119,"00000"))</f>
        <v/>
      </c>
      <c r="B145" s="62"/>
      <c r="C145" s="62"/>
      <c r="D145" s="62"/>
      <c r="E145" s="62"/>
      <c r="F145" s="69"/>
      <c r="G145" s="62"/>
      <c r="H145" s="62"/>
      <c r="I145" s="62"/>
    </row>
    <row r="146" customFormat="false" ht="15" hidden="false" customHeight="true" outlineLevel="0" collapsed="false">
      <c r="A146" s="68" t="str">
        <f aca="false">IF(B146="","","PART"&amp;TEXT(ROW()-119,"00000"))</f>
        <v/>
      </c>
      <c r="B146" s="62"/>
      <c r="C146" s="62"/>
      <c r="D146" s="62"/>
      <c r="E146" s="62"/>
      <c r="F146" s="69"/>
      <c r="G146" s="62"/>
      <c r="H146" s="62"/>
      <c r="I146" s="62"/>
    </row>
    <row r="147" customFormat="false" ht="15" hidden="false" customHeight="true" outlineLevel="0" collapsed="false">
      <c r="A147" s="68" t="str">
        <f aca="false">IF(B147="","","PART"&amp;TEXT(ROW()-119,"00000"))</f>
        <v/>
      </c>
      <c r="B147" s="62"/>
      <c r="C147" s="62"/>
      <c r="D147" s="62"/>
      <c r="E147" s="62"/>
      <c r="F147" s="69"/>
      <c r="G147" s="62"/>
      <c r="H147" s="62"/>
      <c r="I147" s="62"/>
    </row>
    <row r="148" customFormat="false" ht="15" hidden="false" customHeight="true" outlineLevel="0" collapsed="false">
      <c r="A148" s="68" t="str">
        <f aca="false">IF(B148="","","PART"&amp;TEXT(ROW()-119,"00000"))</f>
        <v/>
      </c>
      <c r="B148" s="62"/>
      <c r="C148" s="62"/>
      <c r="D148" s="62"/>
      <c r="E148" s="62"/>
      <c r="F148" s="69"/>
      <c r="G148" s="62"/>
      <c r="H148" s="62"/>
      <c r="I148" s="62"/>
    </row>
    <row r="149" customFormat="false" ht="15" hidden="false" customHeight="true" outlineLevel="0" collapsed="false">
      <c r="A149" s="68" t="str">
        <f aca="false">IF(B149="","","PART"&amp;TEXT(ROW()-119,"00000"))</f>
        <v/>
      </c>
      <c r="B149" s="62"/>
      <c r="C149" s="62"/>
      <c r="D149" s="62"/>
      <c r="E149" s="62"/>
      <c r="F149" s="69"/>
      <c r="G149" s="62"/>
      <c r="H149" s="62"/>
      <c r="I149" s="62"/>
    </row>
    <row r="150" customFormat="false" ht="15" hidden="false" customHeight="true" outlineLevel="0" collapsed="false">
      <c r="A150" s="68" t="str">
        <f aca="false">IF(B150="","","PART"&amp;TEXT(ROW()-119,"00000"))</f>
        <v/>
      </c>
      <c r="B150" s="62"/>
      <c r="C150" s="62"/>
      <c r="D150" s="62"/>
      <c r="E150" s="62"/>
      <c r="F150" s="69"/>
      <c r="G150" s="62"/>
      <c r="H150" s="62"/>
      <c r="I150" s="62"/>
    </row>
    <row r="151" customFormat="false" ht="15" hidden="false" customHeight="true" outlineLevel="0" collapsed="false">
      <c r="A151" s="68" t="str">
        <f aca="false">IF(B151="","","PART"&amp;TEXT(ROW()-119,"00000"))</f>
        <v/>
      </c>
      <c r="B151" s="62"/>
      <c r="C151" s="62"/>
      <c r="D151" s="62"/>
      <c r="E151" s="62"/>
      <c r="F151" s="69"/>
      <c r="G151" s="62"/>
      <c r="H151" s="62"/>
      <c r="I151" s="62"/>
    </row>
    <row r="152" customFormat="false" ht="15" hidden="false" customHeight="true" outlineLevel="0" collapsed="false">
      <c r="A152" s="68" t="str">
        <f aca="false">IF(B152="","","PART"&amp;TEXT(ROW()-119,"00000"))</f>
        <v/>
      </c>
      <c r="B152" s="62"/>
      <c r="C152" s="62"/>
      <c r="D152" s="62"/>
      <c r="E152" s="62"/>
      <c r="F152" s="69"/>
      <c r="G152" s="62"/>
      <c r="H152" s="62"/>
      <c r="I152" s="62"/>
    </row>
    <row r="153" customFormat="false" ht="15" hidden="false" customHeight="true" outlineLevel="0" collapsed="false">
      <c r="A153" s="68" t="str">
        <f aca="false">IF(B153="","","PART"&amp;TEXT(ROW()-119,"00000"))</f>
        <v/>
      </c>
      <c r="B153" s="62"/>
      <c r="C153" s="62"/>
      <c r="D153" s="62"/>
      <c r="E153" s="62"/>
      <c r="F153" s="69"/>
      <c r="G153" s="62"/>
      <c r="H153" s="62"/>
      <c r="I153" s="62"/>
    </row>
    <row r="154" customFormat="false" ht="15" hidden="false" customHeight="true" outlineLevel="0" collapsed="false">
      <c r="A154" s="68" t="str">
        <f aca="false">IF(B154="","","PART"&amp;TEXT(ROW()-119,"00000"))</f>
        <v/>
      </c>
      <c r="B154" s="62"/>
      <c r="C154" s="62"/>
      <c r="D154" s="62"/>
      <c r="E154" s="62"/>
      <c r="F154" s="69"/>
      <c r="G154" s="62"/>
      <c r="H154" s="62"/>
      <c r="I154" s="62"/>
    </row>
    <row r="155" customFormat="false" ht="15" hidden="false" customHeight="true" outlineLevel="0" collapsed="false">
      <c r="A155" s="68" t="str">
        <f aca="false">IF(B155="","","PART"&amp;TEXT(ROW()-119,"00000"))</f>
        <v/>
      </c>
      <c r="B155" s="62"/>
      <c r="C155" s="62"/>
      <c r="D155" s="62"/>
      <c r="E155" s="62"/>
      <c r="F155" s="69"/>
      <c r="G155" s="62"/>
      <c r="H155" s="62"/>
      <c r="I155" s="62"/>
    </row>
    <row r="156" customFormat="false" ht="15" hidden="false" customHeight="true" outlineLevel="0" collapsed="false">
      <c r="A156" s="68" t="str">
        <f aca="false">IF(B156="","","PART"&amp;TEXT(ROW()-119,"00000"))</f>
        <v/>
      </c>
      <c r="B156" s="62"/>
      <c r="C156" s="62"/>
      <c r="D156" s="62"/>
      <c r="E156" s="62"/>
      <c r="F156" s="69"/>
      <c r="G156" s="62"/>
      <c r="H156" s="62"/>
      <c r="I156" s="62"/>
    </row>
    <row r="157" customFormat="false" ht="15" hidden="false" customHeight="true" outlineLevel="0" collapsed="false">
      <c r="A157" s="68" t="str">
        <f aca="false">IF(B157="","","PART"&amp;TEXT(ROW()-119,"00000"))</f>
        <v/>
      </c>
      <c r="B157" s="62"/>
      <c r="C157" s="62"/>
      <c r="D157" s="62"/>
      <c r="E157" s="62"/>
      <c r="F157" s="69"/>
      <c r="G157" s="62"/>
      <c r="H157" s="62"/>
      <c r="I157" s="62"/>
    </row>
    <row r="158" customFormat="false" ht="15" hidden="false" customHeight="true" outlineLevel="0" collapsed="false">
      <c r="A158" s="68" t="str">
        <f aca="false">IF(B158="","","PART"&amp;TEXT(ROW()-119,"00000"))</f>
        <v/>
      </c>
      <c r="B158" s="62"/>
      <c r="C158" s="62"/>
      <c r="D158" s="62"/>
      <c r="E158" s="62"/>
      <c r="F158" s="69"/>
      <c r="G158" s="62"/>
      <c r="H158" s="62"/>
      <c r="I158" s="62"/>
    </row>
    <row r="159" customFormat="false" ht="15" hidden="false" customHeight="true" outlineLevel="0" collapsed="false">
      <c r="A159" s="68" t="str">
        <f aca="false">IF(B159="","","PART"&amp;TEXT(ROW()-119,"00000"))</f>
        <v/>
      </c>
      <c r="B159" s="62"/>
      <c r="C159" s="62"/>
      <c r="D159" s="62"/>
      <c r="E159" s="62"/>
      <c r="F159" s="69"/>
      <c r="G159" s="62"/>
      <c r="H159" s="62"/>
      <c r="I159" s="62"/>
    </row>
    <row r="162" customFormat="false" ht="19.5" hidden="false" customHeight="true" outlineLevel="0" collapsed="false">
      <c r="A162" s="24" t="s">
        <v>1549</v>
      </c>
      <c r="B162" s="24"/>
      <c r="C162" s="24"/>
      <c r="D162" s="24"/>
      <c r="E162" s="24"/>
      <c r="F162" s="24"/>
      <c r="G162" s="24"/>
      <c r="H162" s="24"/>
    </row>
    <row r="163" customFormat="false" ht="24" hidden="false" customHeight="true" outlineLevel="0" collapsed="false">
      <c r="A163" s="59" t="s">
        <v>1550</v>
      </c>
      <c r="B163" s="59" t="s">
        <v>1464</v>
      </c>
      <c r="C163" s="59" t="s">
        <v>1357</v>
      </c>
      <c r="D163" s="59" t="s">
        <v>1551</v>
      </c>
      <c r="E163" s="59" t="s">
        <v>1552</v>
      </c>
      <c r="F163" s="59" t="s">
        <v>1553</v>
      </c>
      <c r="G163" s="59" t="s">
        <v>805</v>
      </c>
      <c r="H163" s="59" t="s">
        <v>1432</v>
      </c>
    </row>
    <row r="164" customFormat="false" ht="15" hidden="false" customHeight="true" outlineLevel="0" collapsed="false">
      <c r="A164" s="68" t="str">
        <f aca="false">IF(B164="","","APP"&amp;TEXT(ROW()-163,"00000"))</f>
        <v/>
      </c>
      <c r="B164" s="62"/>
      <c r="C164" s="69"/>
      <c r="D164" s="62"/>
      <c r="E164" s="70"/>
      <c r="F164" s="70"/>
      <c r="G164" s="62"/>
      <c r="H164" s="62"/>
    </row>
    <row r="165" customFormat="false" ht="15" hidden="false" customHeight="true" outlineLevel="0" collapsed="false">
      <c r="A165" s="68" t="str">
        <f aca="false">IF(B165="","","APP"&amp;TEXT(ROW()-163,"00000"))</f>
        <v/>
      </c>
      <c r="B165" s="62"/>
      <c r="C165" s="69"/>
      <c r="D165" s="62"/>
      <c r="E165" s="70"/>
      <c r="F165" s="70"/>
      <c r="G165" s="62"/>
      <c r="H165" s="62"/>
    </row>
    <row r="166" customFormat="false" ht="15" hidden="false" customHeight="true" outlineLevel="0" collapsed="false">
      <c r="A166" s="68" t="str">
        <f aca="false">IF(B166="","","APP"&amp;TEXT(ROW()-163,"00000"))</f>
        <v/>
      </c>
      <c r="B166" s="62"/>
      <c r="C166" s="69"/>
      <c r="D166" s="62"/>
      <c r="E166" s="70"/>
      <c r="F166" s="70"/>
      <c r="G166" s="62"/>
      <c r="H166" s="62"/>
    </row>
    <row r="167" customFormat="false" ht="15" hidden="false" customHeight="true" outlineLevel="0" collapsed="false">
      <c r="A167" s="68" t="str">
        <f aca="false">IF(B167="","","APP"&amp;TEXT(ROW()-163,"00000"))</f>
        <v/>
      </c>
      <c r="B167" s="62"/>
      <c r="C167" s="69"/>
      <c r="D167" s="62"/>
      <c r="E167" s="70"/>
      <c r="F167" s="70"/>
      <c r="G167" s="62"/>
      <c r="H167" s="62"/>
    </row>
    <row r="168" customFormat="false" ht="15" hidden="false" customHeight="true" outlineLevel="0" collapsed="false">
      <c r="A168" s="68" t="str">
        <f aca="false">IF(B168="","","APP"&amp;TEXT(ROW()-163,"00000"))</f>
        <v/>
      </c>
      <c r="B168" s="62"/>
      <c r="C168" s="69"/>
      <c r="D168" s="62"/>
      <c r="E168" s="70"/>
      <c r="F168" s="70"/>
      <c r="G168" s="62"/>
      <c r="H168" s="62"/>
    </row>
    <row r="169" customFormat="false" ht="15" hidden="false" customHeight="true" outlineLevel="0" collapsed="false">
      <c r="A169" s="68" t="str">
        <f aca="false">IF(B169="","","APP"&amp;TEXT(ROW()-163,"00000"))</f>
        <v/>
      </c>
      <c r="B169" s="62"/>
      <c r="C169" s="69"/>
      <c r="D169" s="62"/>
      <c r="E169" s="70"/>
      <c r="F169" s="70"/>
      <c r="G169" s="62"/>
      <c r="H169" s="62"/>
    </row>
    <row r="170" customFormat="false" ht="15" hidden="false" customHeight="true" outlineLevel="0" collapsed="false">
      <c r="A170" s="68" t="str">
        <f aca="false">IF(B170="","","APP"&amp;TEXT(ROW()-163,"00000"))</f>
        <v/>
      </c>
      <c r="B170" s="62"/>
      <c r="C170" s="69"/>
      <c r="D170" s="62"/>
      <c r="E170" s="70"/>
      <c r="F170" s="70"/>
      <c r="G170" s="62"/>
      <c r="H170" s="62"/>
    </row>
    <row r="171" customFormat="false" ht="15" hidden="false" customHeight="true" outlineLevel="0" collapsed="false">
      <c r="A171" s="68" t="str">
        <f aca="false">IF(B171="","","APP"&amp;TEXT(ROW()-163,"00000"))</f>
        <v/>
      </c>
      <c r="B171" s="62"/>
      <c r="C171" s="69"/>
      <c r="D171" s="62"/>
      <c r="E171" s="70"/>
      <c r="F171" s="70"/>
      <c r="G171" s="62"/>
      <c r="H171" s="62"/>
    </row>
    <row r="172" customFormat="false" ht="15" hidden="false" customHeight="true" outlineLevel="0" collapsed="false">
      <c r="A172" s="68" t="str">
        <f aca="false">IF(B172="","","APP"&amp;TEXT(ROW()-163,"00000"))</f>
        <v/>
      </c>
      <c r="B172" s="62"/>
      <c r="C172" s="69"/>
      <c r="D172" s="62"/>
      <c r="E172" s="70"/>
      <c r="F172" s="70"/>
      <c r="G172" s="62"/>
      <c r="H172" s="62"/>
    </row>
    <row r="173" customFormat="false" ht="15" hidden="false" customHeight="true" outlineLevel="0" collapsed="false">
      <c r="A173" s="68" t="str">
        <f aca="false">IF(B173="","","APP"&amp;TEXT(ROW()-163,"00000"))</f>
        <v/>
      </c>
      <c r="B173" s="62"/>
      <c r="C173" s="69"/>
      <c r="D173" s="62"/>
      <c r="E173" s="70"/>
      <c r="F173" s="70"/>
      <c r="G173" s="62"/>
      <c r="H173" s="62"/>
    </row>
    <row r="174" customFormat="false" ht="15" hidden="false" customHeight="true" outlineLevel="0" collapsed="false">
      <c r="A174" s="68" t="str">
        <f aca="false">IF(B174="","","APP"&amp;TEXT(ROW()-163,"00000"))</f>
        <v/>
      </c>
      <c r="B174" s="62"/>
      <c r="C174" s="69"/>
      <c r="D174" s="62"/>
      <c r="E174" s="70"/>
      <c r="F174" s="70"/>
      <c r="G174" s="62"/>
      <c r="H174" s="62"/>
    </row>
    <row r="175" customFormat="false" ht="15" hidden="false" customHeight="true" outlineLevel="0" collapsed="false">
      <c r="A175" s="68" t="str">
        <f aca="false">IF(B175="","","APP"&amp;TEXT(ROW()-163,"00000"))</f>
        <v/>
      </c>
      <c r="B175" s="62"/>
      <c r="C175" s="69"/>
      <c r="D175" s="62"/>
      <c r="E175" s="70"/>
      <c r="F175" s="70"/>
      <c r="G175" s="62"/>
      <c r="H175" s="62"/>
    </row>
    <row r="176" customFormat="false" ht="15" hidden="false" customHeight="true" outlineLevel="0" collapsed="false">
      <c r="A176" s="68" t="str">
        <f aca="false">IF(B176="","","APP"&amp;TEXT(ROW()-163,"00000"))</f>
        <v/>
      </c>
      <c r="B176" s="62"/>
      <c r="C176" s="69"/>
      <c r="D176" s="62"/>
      <c r="E176" s="70"/>
      <c r="F176" s="70"/>
      <c r="G176" s="62"/>
      <c r="H176" s="62"/>
    </row>
    <row r="177" customFormat="false" ht="15" hidden="false" customHeight="true" outlineLevel="0" collapsed="false">
      <c r="A177" s="68" t="str">
        <f aca="false">IF(B177="","","APP"&amp;TEXT(ROW()-163,"00000"))</f>
        <v/>
      </c>
      <c r="B177" s="62"/>
      <c r="C177" s="69"/>
      <c r="D177" s="62"/>
      <c r="E177" s="70"/>
      <c r="F177" s="70"/>
      <c r="G177" s="62"/>
      <c r="H177" s="62"/>
    </row>
    <row r="178" customFormat="false" ht="15" hidden="false" customHeight="true" outlineLevel="0" collapsed="false">
      <c r="A178" s="68" t="str">
        <f aca="false">IF(B178="","","APP"&amp;TEXT(ROW()-163,"00000"))</f>
        <v/>
      </c>
      <c r="B178" s="62"/>
      <c r="C178" s="69"/>
      <c r="D178" s="62"/>
      <c r="E178" s="70"/>
      <c r="F178" s="70"/>
      <c r="G178" s="62"/>
      <c r="H178" s="62"/>
    </row>
    <row r="179" customFormat="false" ht="15" hidden="false" customHeight="true" outlineLevel="0" collapsed="false">
      <c r="A179" s="68" t="str">
        <f aca="false">IF(B179="","","APP"&amp;TEXT(ROW()-163,"00000"))</f>
        <v/>
      </c>
      <c r="B179" s="62"/>
      <c r="C179" s="69"/>
      <c r="D179" s="62"/>
      <c r="E179" s="70"/>
      <c r="F179" s="70"/>
      <c r="G179" s="62"/>
      <c r="H179" s="62"/>
    </row>
    <row r="180" customFormat="false" ht="15" hidden="false" customHeight="true" outlineLevel="0" collapsed="false">
      <c r="A180" s="68" t="str">
        <f aca="false">IF(B180="","","APP"&amp;TEXT(ROW()-163,"00000"))</f>
        <v/>
      </c>
      <c r="B180" s="62"/>
      <c r="C180" s="69"/>
      <c r="D180" s="62"/>
      <c r="E180" s="70"/>
      <c r="F180" s="70"/>
      <c r="G180" s="62"/>
      <c r="H180" s="62"/>
    </row>
    <row r="181" customFormat="false" ht="15" hidden="false" customHeight="true" outlineLevel="0" collapsed="false">
      <c r="A181" s="68" t="str">
        <f aca="false">IF(B181="","","APP"&amp;TEXT(ROW()-163,"00000"))</f>
        <v/>
      </c>
      <c r="B181" s="62"/>
      <c r="C181" s="69"/>
      <c r="D181" s="62"/>
      <c r="E181" s="70"/>
      <c r="F181" s="70"/>
      <c r="G181" s="62"/>
      <c r="H181" s="62"/>
    </row>
    <row r="182" customFormat="false" ht="15" hidden="false" customHeight="true" outlineLevel="0" collapsed="false">
      <c r="A182" s="68" t="str">
        <f aca="false">IF(B182="","","APP"&amp;TEXT(ROW()-163,"00000"))</f>
        <v/>
      </c>
      <c r="B182" s="62"/>
      <c r="C182" s="69"/>
      <c r="D182" s="62"/>
      <c r="E182" s="70"/>
      <c r="F182" s="70"/>
      <c r="G182" s="62"/>
      <c r="H182" s="62"/>
    </row>
    <row r="183" customFormat="false" ht="15" hidden="false" customHeight="true" outlineLevel="0" collapsed="false">
      <c r="A183" s="68" t="str">
        <f aca="false">IF(B183="","","APP"&amp;TEXT(ROW()-163,"00000"))</f>
        <v/>
      </c>
      <c r="B183" s="62"/>
      <c r="C183" s="69"/>
      <c r="D183" s="62"/>
      <c r="E183" s="70"/>
      <c r="F183" s="70"/>
      <c r="G183" s="62"/>
      <c r="H183" s="62"/>
    </row>
    <row r="184" customFormat="false" ht="15" hidden="false" customHeight="true" outlineLevel="0" collapsed="false">
      <c r="A184" s="68" t="str">
        <f aca="false">IF(B184="","","APP"&amp;TEXT(ROW()-163,"00000"))</f>
        <v/>
      </c>
      <c r="B184" s="62"/>
      <c r="C184" s="69"/>
      <c r="D184" s="62"/>
      <c r="E184" s="70"/>
      <c r="F184" s="70"/>
      <c r="G184" s="62"/>
      <c r="H184" s="62"/>
    </row>
    <row r="185" customFormat="false" ht="15" hidden="false" customHeight="true" outlineLevel="0" collapsed="false">
      <c r="A185" s="68" t="str">
        <f aca="false">IF(B185="","","APP"&amp;TEXT(ROW()-163,"00000"))</f>
        <v/>
      </c>
      <c r="B185" s="62"/>
      <c r="C185" s="69"/>
      <c r="D185" s="62"/>
      <c r="E185" s="70"/>
      <c r="F185" s="70"/>
      <c r="G185" s="62"/>
      <c r="H185" s="62"/>
    </row>
    <row r="186" customFormat="false" ht="15" hidden="false" customHeight="true" outlineLevel="0" collapsed="false">
      <c r="A186" s="68" t="str">
        <f aca="false">IF(B186="","","APP"&amp;TEXT(ROW()-163,"00000"))</f>
        <v/>
      </c>
      <c r="B186" s="62"/>
      <c r="C186" s="69"/>
      <c r="D186" s="62"/>
      <c r="E186" s="70"/>
      <c r="F186" s="70"/>
      <c r="G186" s="62"/>
      <c r="H186" s="62"/>
    </row>
    <row r="187" customFormat="false" ht="15" hidden="false" customHeight="true" outlineLevel="0" collapsed="false">
      <c r="A187" s="68" t="str">
        <f aca="false">IF(B187="","","APP"&amp;TEXT(ROW()-163,"00000"))</f>
        <v/>
      </c>
      <c r="B187" s="62"/>
      <c r="C187" s="69"/>
      <c r="D187" s="62"/>
      <c r="E187" s="70"/>
      <c r="F187" s="70"/>
      <c r="G187" s="62"/>
      <c r="H187" s="62"/>
    </row>
    <row r="188" customFormat="false" ht="15" hidden="false" customHeight="true" outlineLevel="0" collapsed="false">
      <c r="A188" s="68" t="str">
        <f aca="false">IF(B188="","","APP"&amp;TEXT(ROW()-163,"00000"))</f>
        <v/>
      </c>
      <c r="B188" s="62"/>
      <c r="C188" s="69"/>
      <c r="D188" s="62"/>
      <c r="E188" s="70"/>
      <c r="F188" s="70"/>
      <c r="G188" s="62"/>
      <c r="H188" s="62"/>
    </row>
    <row r="189" customFormat="false" ht="15" hidden="false" customHeight="true" outlineLevel="0" collapsed="false">
      <c r="A189" s="68" t="str">
        <f aca="false">IF(B189="","","APP"&amp;TEXT(ROW()-163,"00000"))</f>
        <v/>
      </c>
      <c r="B189" s="62"/>
      <c r="C189" s="69"/>
      <c r="D189" s="62"/>
      <c r="E189" s="70"/>
      <c r="F189" s="70"/>
      <c r="G189" s="62"/>
      <c r="H189" s="62"/>
    </row>
    <row r="190" customFormat="false" ht="15" hidden="false" customHeight="true" outlineLevel="0" collapsed="false">
      <c r="A190" s="68" t="str">
        <f aca="false">IF(B190="","","APP"&amp;TEXT(ROW()-163,"00000"))</f>
        <v/>
      </c>
      <c r="B190" s="62"/>
      <c r="C190" s="69"/>
      <c r="D190" s="62"/>
      <c r="E190" s="70"/>
      <c r="F190" s="70"/>
      <c r="G190" s="62"/>
      <c r="H190" s="62"/>
    </row>
    <row r="191" customFormat="false" ht="15" hidden="false" customHeight="true" outlineLevel="0" collapsed="false">
      <c r="A191" s="68" t="str">
        <f aca="false">IF(B191="","","APP"&amp;TEXT(ROW()-163,"00000"))</f>
        <v/>
      </c>
      <c r="B191" s="62"/>
      <c r="C191" s="69"/>
      <c r="D191" s="62"/>
      <c r="E191" s="70"/>
      <c r="F191" s="70"/>
      <c r="G191" s="62"/>
      <c r="H191" s="62"/>
    </row>
    <row r="192" customFormat="false" ht="15" hidden="false" customHeight="true" outlineLevel="0" collapsed="false">
      <c r="A192" s="68" t="str">
        <f aca="false">IF(B192="","","APP"&amp;TEXT(ROW()-163,"00000"))</f>
        <v/>
      </c>
      <c r="B192" s="62"/>
      <c r="C192" s="69"/>
      <c r="D192" s="62"/>
      <c r="E192" s="70"/>
      <c r="F192" s="70"/>
      <c r="G192" s="62"/>
      <c r="H192" s="62"/>
    </row>
    <row r="193" customFormat="false" ht="15" hidden="false" customHeight="true" outlineLevel="0" collapsed="false">
      <c r="A193" s="68" t="str">
        <f aca="false">IF(B193="","","APP"&amp;TEXT(ROW()-163,"00000"))</f>
        <v/>
      </c>
      <c r="B193" s="62"/>
      <c r="C193" s="69"/>
      <c r="D193" s="62"/>
      <c r="E193" s="70"/>
      <c r="F193" s="70"/>
      <c r="G193" s="62"/>
      <c r="H193" s="62"/>
    </row>
    <row r="194" customFormat="false" ht="15" hidden="false" customHeight="true" outlineLevel="0" collapsed="false">
      <c r="A194" s="68" t="str">
        <f aca="false">IF(B194="","","APP"&amp;TEXT(ROW()-163,"00000"))</f>
        <v/>
      </c>
      <c r="B194" s="62"/>
      <c r="C194" s="69"/>
      <c r="D194" s="62"/>
      <c r="E194" s="70"/>
      <c r="F194" s="70"/>
      <c r="G194" s="62"/>
      <c r="H194" s="62"/>
    </row>
    <row r="195" customFormat="false" ht="15" hidden="false" customHeight="true" outlineLevel="0" collapsed="false">
      <c r="A195" s="68" t="str">
        <f aca="false">IF(B195="","","APP"&amp;TEXT(ROW()-163,"00000"))</f>
        <v/>
      </c>
      <c r="B195" s="62"/>
      <c r="C195" s="69"/>
      <c r="D195" s="62"/>
      <c r="E195" s="70"/>
      <c r="F195" s="70"/>
      <c r="G195" s="62"/>
      <c r="H195" s="62"/>
    </row>
    <row r="196" customFormat="false" ht="15" hidden="false" customHeight="true" outlineLevel="0" collapsed="false">
      <c r="A196" s="68" t="str">
        <f aca="false">IF(B196="","","APP"&amp;TEXT(ROW()-163,"00000"))</f>
        <v/>
      </c>
      <c r="B196" s="62"/>
      <c r="C196" s="69"/>
      <c r="D196" s="62"/>
      <c r="E196" s="70"/>
      <c r="F196" s="70"/>
      <c r="G196" s="62"/>
      <c r="H196" s="62"/>
    </row>
    <row r="197" customFormat="false" ht="15" hidden="false" customHeight="true" outlineLevel="0" collapsed="false">
      <c r="A197" s="68" t="str">
        <f aca="false">IF(B197="","","APP"&amp;TEXT(ROW()-163,"00000"))</f>
        <v/>
      </c>
      <c r="B197" s="62"/>
      <c r="C197" s="69"/>
      <c r="D197" s="62"/>
      <c r="E197" s="70"/>
      <c r="F197" s="70"/>
      <c r="G197" s="62"/>
      <c r="H197" s="62"/>
    </row>
    <row r="198" customFormat="false" ht="15" hidden="false" customHeight="true" outlineLevel="0" collapsed="false">
      <c r="A198" s="68" t="str">
        <f aca="false">IF(B198="","","APP"&amp;TEXT(ROW()-163,"00000"))</f>
        <v/>
      </c>
      <c r="B198" s="62"/>
      <c r="C198" s="69"/>
      <c r="D198" s="62"/>
      <c r="E198" s="70"/>
      <c r="F198" s="70"/>
      <c r="G198" s="62"/>
      <c r="H198" s="62"/>
    </row>
    <row r="199" customFormat="false" ht="15" hidden="false" customHeight="true" outlineLevel="0" collapsed="false">
      <c r="A199" s="68" t="str">
        <f aca="false">IF(B199="","","APP"&amp;TEXT(ROW()-163,"00000"))</f>
        <v/>
      </c>
      <c r="B199" s="62"/>
      <c r="C199" s="69"/>
      <c r="D199" s="62"/>
      <c r="E199" s="70"/>
      <c r="F199" s="70"/>
      <c r="G199" s="62"/>
      <c r="H199" s="62"/>
    </row>
    <row r="200" customFormat="false" ht="15" hidden="false" customHeight="true" outlineLevel="0" collapsed="false">
      <c r="A200" s="68" t="str">
        <f aca="false">IF(B200="","","APP"&amp;TEXT(ROW()-163,"00000"))</f>
        <v/>
      </c>
      <c r="B200" s="62"/>
      <c r="C200" s="69"/>
      <c r="D200" s="62"/>
      <c r="E200" s="70"/>
      <c r="F200" s="70"/>
      <c r="G200" s="62"/>
      <c r="H200" s="62"/>
    </row>
    <row r="201" customFormat="false" ht="15" hidden="false" customHeight="true" outlineLevel="0" collapsed="false">
      <c r="A201" s="68" t="str">
        <f aca="false">IF(B201="","","APP"&amp;TEXT(ROW()-163,"00000"))</f>
        <v/>
      </c>
      <c r="B201" s="62"/>
      <c r="C201" s="69"/>
      <c r="D201" s="62"/>
      <c r="E201" s="70"/>
      <c r="F201" s="70"/>
      <c r="G201" s="62"/>
      <c r="H201" s="62"/>
    </row>
    <row r="202" customFormat="false" ht="15" hidden="false" customHeight="true" outlineLevel="0" collapsed="false">
      <c r="A202" s="68" t="str">
        <f aca="false">IF(B202="","","APP"&amp;TEXT(ROW()-163,"00000"))</f>
        <v/>
      </c>
      <c r="B202" s="62"/>
      <c r="C202" s="69"/>
      <c r="D202" s="62"/>
      <c r="E202" s="70"/>
      <c r="F202" s="70"/>
      <c r="G202" s="62"/>
      <c r="H202" s="62"/>
    </row>
    <row r="203" customFormat="false" ht="15" hidden="false" customHeight="true" outlineLevel="0" collapsed="false">
      <c r="A203" s="68" t="str">
        <f aca="false">IF(B203="","","APP"&amp;TEXT(ROW()-163,"00000"))</f>
        <v/>
      </c>
      <c r="B203" s="62"/>
      <c r="C203" s="69"/>
      <c r="D203" s="62"/>
      <c r="E203" s="70"/>
      <c r="F203" s="70"/>
      <c r="G203" s="62"/>
      <c r="H203" s="62"/>
    </row>
    <row r="206" customFormat="false" ht="21.75" hidden="false" customHeight="true" outlineLevel="0" collapsed="false">
      <c r="A206" s="71" t="s">
        <v>1554</v>
      </c>
      <c r="B206" s="71"/>
      <c r="C206" s="71"/>
      <c r="D206" s="71"/>
      <c r="E206" s="71"/>
      <c r="F206" s="71"/>
      <c r="G206" s="71"/>
      <c r="H206" s="71"/>
    </row>
  </sheetData>
  <mergeCells count="16">
    <mergeCell ref="A1:P1"/>
    <mergeCell ref="Q1:R1"/>
    <mergeCell ref="A2:C2"/>
    <mergeCell ref="D2:E2"/>
    <mergeCell ref="F2:H2"/>
    <mergeCell ref="I2:J2"/>
    <mergeCell ref="K2:N2"/>
    <mergeCell ref="O2:P2"/>
    <mergeCell ref="A4:R4"/>
    <mergeCell ref="A6:R6"/>
    <mergeCell ref="A10:R10"/>
    <mergeCell ref="G23:H23"/>
    <mergeCell ref="A54:BZ54"/>
    <mergeCell ref="A118:I118"/>
    <mergeCell ref="A162:H162"/>
    <mergeCell ref="A206:H206"/>
  </mergeCells>
  <dataValidations count="37">
    <dataValidation allowBlank="true" errorStyle="stop" operator="between" showDropDown="false" showErrorMessage="true" showInputMessage="false" sqref="B56:B115" type="list">
      <formula1>"Individu,Menage,Famille,Groupe,Association,Communaute,Institution,Entrepreneur,Organisation communautaire,Autre"</formula1>
      <formula2>0</formula2>
    </dataValidation>
    <dataValidation allowBlank="true" errorStyle="stop" operator="between" showDropDown="false" showErrorMessage="true" showInputMessage="false" sqref="C56:C115" type="list">
      <formula1>Liste_CategoriesBeneficiaires</formula1>
      <formula2>0</formula2>
    </dataValidation>
    <dataValidation allowBlank="true" errorStyle="stop" operator="between" showDropDown="false" showErrorMessage="true" showInputMessage="false" sqref="H56:H115" type="list">
      <formula1>Liste_Sexe</formula1>
      <formula2>0</formula2>
    </dataValidation>
    <dataValidation allowBlank="true" errorStyle="stop" operator="between" showDropDown="false" showErrorMessage="true" showInputMessage="false" sqref="L56:L115" type="list">
      <formula1>"Celibataire,Marie(e),Divorce(e),Veuf(ve),Union libre,Autre"</formula1>
      <formula2>0</formula2>
    </dataValidation>
    <dataValidation allowBlank="true" errorStyle="stop" operator="between" showDropDown="false" showErrorMessage="true" showInputMessage="false" sqref="Q56:Q115" type="list">
      <formula1>"Oui,Non"</formula1>
      <formula2>0</formula2>
    </dataValidation>
    <dataValidation allowBlank="true" errorStyle="stop" operator="between" showDropDown="false" showErrorMessage="true" showInputMessage="false" sqref="V56:V115" type="list">
      <formula1>"Oui,Non"</formula1>
      <formula2>0</formula2>
    </dataValidation>
    <dataValidation allowBlank="true" errorStyle="stop" operator="between" showDropDown="false" showErrorMessage="true" showInputMessage="false" sqref="W56:W115" type="list">
      <formula1>"Oui,Non"</formula1>
      <formula2>0</formula2>
    </dataValidation>
    <dataValidation allowBlank="true" errorStyle="stop" operator="between" showDropDown="false" showErrorMessage="true" showInputMessage="false" sqref="X56:X115" type="list">
      <formula1>"Oui,Non"</formula1>
      <formula2>0</formula2>
    </dataValidation>
    <dataValidation allowBlank="true" errorStyle="stop" operator="between" showDropDown="false" showErrorMessage="true" showInputMessage="false" sqref="Y56:Y115" type="list">
      <formula1>"Oui,Non"</formula1>
      <formula2>0</formula2>
    </dataValidation>
    <dataValidation allowBlank="true" errorStyle="stop" operator="between" showDropDown="false" showErrorMessage="true" showInputMessage="false" sqref="Z56:Z115" type="list">
      <formula1>"Oui,Non"</formula1>
      <formula2>0</formula2>
    </dataValidation>
    <dataValidation allowBlank="true" errorStyle="stop" operator="between" showDropDown="false" showErrorMessage="true" showInputMessage="false" sqref="AA56:AA115" type="list">
      <formula1>"Oui,Non"</formula1>
      <formula2>0</formula2>
    </dataValidation>
    <dataValidation allowBlank="true" errorStyle="stop" operator="between" showDropDown="false" showErrorMessage="true" showInputMessage="false" sqref="AC56:AC115" type="list">
      <formula1>"Aucun,Primaire,Secondaire,Superieur,Alphabetisation,Non precise"</formula1>
      <formula2>0</formula2>
    </dataValidation>
    <dataValidation allowBlank="true" errorStyle="stop" operator="between" showDropDown="false" showErrorMessage="true" showInputMessage="false" sqref="AD56:AD115" type="list">
      <formula1>"En emploi,Sans emploi,Etudiant/Eleve,Retraite,Inactif,Autre"</formula1>
      <formula2>0</formula2>
    </dataValidation>
    <dataValidation allowBlank="true" errorStyle="stop" operator="between" showDropDown="false" showErrorMessage="true" showInputMessage="false" sqref="AG56:AG115" type="list">
      <formula1>"Salarie,Independant,Employeur,Aide familial,Autre"</formula1>
      <formula2>0</formula2>
    </dataValidation>
    <dataValidation allowBlank="true" errorStyle="stop" operator="between" showDropDown="false" showErrorMessage="true" showInputMessage="false" sqref="AH56:AH115" type="list">
      <formula1>"Faible,Moyen,Eleve,Non precise"</formula1>
      <formula2>0</formula2>
    </dataValidation>
    <dataValidation allowBlank="true" errorStyle="stop" operator="between" showDropDown="false" showErrorMessage="true" showInputMessage="false" sqref="AI56:AI115" type="list">
      <formula1>"Oui,Non"</formula1>
      <formula2>0</formula2>
    </dataValidation>
    <dataValidation allowBlank="true" errorStyle="stop" operator="between" showDropDown="false" showErrorMessage="true" showInputMessage="false" sqref="AJ56:AJ115" type="list">
      <formula1>"Non entrepreneur,Porteur de projet,Entrepreneur debutant,Entrepreneur confirme"</formula1>
      <formula2>0</formula2>
    </dataValidation>
    <dataValidation allowBlank="true" errorStyle="stop" operator="between" showDropDown="false" showErrorMessage="true" showInputMessage="false" sqref="AK56:AK115" type="list">
      <formula1>"Vulnerable,Stable,Aisee,Non precisee"</formula1>
      <formula2>0</formula2>
    </dataValidation>
    <dataValidation allowBlank="true" errorStyle="stop" operator="between" showDropDown="false" showErrorMessage="true" showInputMessage="false" sqref="AL56:AL115" type="list">
      <formula1>Liste_ZonesGeo</formula1>
      <formula2>0</formula2>
    </dataValidation>
    <dataValidation allowBlank="true" errorStyle="stop" operator="between" showDropDown="false" showErrorMessage="true" showInputMessage="false" sqref="AS56:AS115" type="list">
      <formula1>Liste_Departements</formula1>
      <formula2>0</formula2>
    </dataValidation>
    <dataValidation allowBlank="true" errorStyle="stop" operator="between" showDropDown="false" showErrorMessage="true" showInputMessage="false" sqref="BA56:BA115" type="list">
      <formula1>Liste_Domaines</formula1>
      <formula2>0</formula2>
    </dataValidation>
    <dataValidation allowBlank="true" errorStyle="stop" operator="between" showDropDown="false" showErrorMessage="true" showInputMessage="false" sqref="BC56:BC115" type="list">
      <formula1>Liste_StatutsGeneraux</formula1>
      <formula2>0</formula2>
    </dataValidation>
    <dataValidation allowBlank="true" errorStyle="stop" operator="between" showDropDown="false" showErrorMessage="true" showInputMessage="false" sqref="BD56:BD115" type="list">
      <formula1>"Actif,En attente,Suspendu,Sorti du programme,Termine,Inactif,Decede,Autre"</formula1>
      <formula2>0</formula2>
    </dataValidation>
    <dataValidation allowBlank="true" errorStyle="stop" operator="between" showDropDown="false" showErrorMessage="true" showInputMessage="false" sqref="BG56:BG115" type="list">
      <formula1>"Programme termine,Objectif atteint,Demenagement,Abandon,Ineligibilite,Deces,Transfert,Autre"</formula1>
      <formula2>0</formula2>
    </dataValidation>
    <dataValidation allowBlank="true" errorStyle="stop" operator="between" showDropDown="false" showErrorMessage="true" showInputMessage="false" sqref="BH56:BH115" type="list">
      <formula1>"Oui,Non"</formula1>
      <formula2>0</formula2>
    </dataValidation>
    <dataValidation allowBlank="true" errorStyle="stop" operator="between" showDropDown="false" showErrorMessage="true" showInputMessage="false" sqref="BI56:BI115" type="list">
      <formula1>"Oui,Non"</formula1>
      <formula2>0</formula2>
    </dataValidation>
    <dataValidation allowBlank="true" errorStyle="stop" operator="between" showDropDown="false" showErrorMessage="true" showInputMessage="false" sqref="BJ56:BJ115" type="list">
      <formula1>"Oui,Non"</formula1>
      <formula2>0</formula2>
    </dataValidation>
    <dataValidation allowBlank="true" errorStyle="stop" operator="between" showDropDown="false" showErrorMessage="true" showInputMessage="false" sqref="BK56:BK115" type="list">
      <formula1>"Oui,Non"</formula1>
      <formula2>0</formula2>
    </dataValidation>
    <dataValidation allowBlank="true" errorStyle="stop" operator="between" showDropDown="false" showErrorMessage="true" showInputMessage="false" sqref="BL56:BL115" type="list">
      <formula1>"Enregistrement terrain,Enquete,Formulaire,Entretien,Partenaire,Importation,Autre"</formula1>
      <formula2>0</formula2>
    </dataValidation>
    <dataValidation allowBlank="true" errorStyle="stop" operator="between" showDropDown="false" showErrorMessage="true" showInputMessage="false" sqref="BP56:BP115" type="list">
      <formula1>Liste_Fonctions</formula1>
      <formula2>0</formula2>
    </dataValidation>
    <dataValidation allowBlank="true" errorStyle="stop" operator="between" showDropDown="false" showErrorMessage="true" showInputMessage="false" sqref="BQ56:BQ115" type="list">
      <formula1>"Terrain,Enquete,Formulaire papier,Formulaire numerique,Entretien,Autre"</formula1>
      <formula2>0</formula2>
    </dataValidation>
    <dataValidation allowBlank="true" errorStyle="stop" operator="between" showDropDown="false" showErrorMessage="true" showInputMessage="false" sqref="BR56:BR115" type="list">
      <formula1>Liste_TypesDocuments</formula1>
      <formula2>0</formula2>
    </dataValidation>
    <dataValidation allowBlank="true" errorStyle="stop" operator="between" showDropDown="false" showErrorMessage="true" showInputMessage="false" sqref="BT56:BT115" type="list">
      <formula1>"Oui,Non"</formula1>
      <formula2>0</formula2>
    </dataValidation>
    <dataValidation allowBlank="true" errorStyle="stop" operator="between" showDropDown="false" showErrorMessage="true" showInputMessage="false" sqref="E120:E159" type="list">
      <formula1>Liste_TypesActivites</formula1>
      <formula2>0</formula2>
    </dataValidation>
    <dataValidation allowBlank="true" errorStyle="stop" operator="between" showDropDown="false" showErrorMessage="true" showInputMessage="false" sqref="G120:G159" type="list">
      <formula1>"Oui,Non"</formula1>
      <formula2>0</formula2>
    </dataValidation>
    <dataValidation allowBlank="true" errorStyle="stop" operator="between" showDropDown="false" showErrorMessage="true" showInputMessage="false" sqref="D164:D203" type="list">
      <formula1>"Formation,Accompagnement,Equipement,Materiel,Distribution,Appui financier,Appui technique,Sensibilisation,Conseil,Orientation,Autre"</formula1>
      <formula2>0</formula2>
    </dataValidation>
    <dataValidation allowBlank="false" error="Choisissez une année entre 2024 et 2033 ou Total." errorStyle="stop" errorTitle="Année invalide" operator="between" prompt="Sélectionnez l’année à afficher dans la synthèse." promptTitle="Filtre par année" showDropDown="false" showErrorMessage="false" showInputMessage="false" sqref="N7" type="list">
      <formula1>"2024,2025,2026,2027,2028,2029,2030,2031,2032,2033,Total"</formula1>
      <formula2>0</formula2>
    </dataValidation>
  </dataValidations>
  <hyperlinks>
    <hyperlink ref="Q1" location="ONG!A1" display="-&gt; ONG"/>
    <hyperlink ref="Q2" location="PARAMETRES!A1" display="-&gt; PARAMETR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435"/>
  <sheetViews>
    <sheetView showFormulas="false" showGridLines="false" showRowColHeaders="true" showZeros="true" rightToLeft="false" tabSelected="false" showOutlineSymbols="true" defaultGridColor="true" view="normal" topLeftCell="I1" colorId="64" zoomScale="100" zoomScaleNormal="100" zoomScalePageLayoutView="100" workbookViewId="0">
      <pane xSplit="0" ySplit="2" topLeftCell="A3" activePane="bottomLeft" state="frozen"/>
      <selection pane="topLeft" activeCell="I1" activeCellId="0" sqref="I1"/>
      <selection pane="bottomLeft" activeCell="L7" activeCellId="0" sqref="L7"/>
    </sheetView>
  </sheetViews>
  <sheetFormatPr defaultColWidth="8.71484375" defaultRowHeight="15" customHeight="true"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18"/>
    <col collapsed="false" customWidth="true" hidden="false" outlineLevel="0" max="4" min="4" style="1" width="14"/>
    <col collapsed="false" customWidth="true" hidden="false" outlineLevel="0" max="5" min="5" style="1" width="18"/>
    <col collapsed="false" customWidth="true" hidden="false" outlineLevel="0" max="6" min="6" style="1" width="28"/>
    <col collapsed="false" customWidth="true" hidden="false" outlineLevel="0" max="7" min="7" style="1" width="12"/>
    <col collapsed="false" customWidth="true" hidden="false" outlineLevel="0" max="8" min="8" style="1" width="24"/>
    <col collapsed="false" customWidth="true" hidden="false" outlineLevel="0" max="9" min="9" style="1" width="18"/>
    <col collapsed="false" customWidth="true" hidden="false" outlineLevel="0" max="10" min="10" style="1" width="10"/>
    <col collapsed="false" customWidth="true" hidden="false" outlineLevel="0" max="11" min="11" style="1" width="18"/>
    <col collapsed="false" customWidth="true" hidden="false" outlineLevel="0" max="12" min="12" style="1" width="14"/>
    <col collapsed="false" customWidth="true" hidden="false" outlineLevel="0" max="13" min="13" style="1" width="18"/>
    <col collapsed="false" customWidth="true" hidden="false" outlineLevel="0" max="14" min="14" style="1" width="20"/>
    <col collapsed="false" customWidth="true" hidden="false" outlineLevel="0" max="15" min="15" style="1" width="18"/>
    <col collapsed="false" customWidth="true" hidden="false" outlineLevel="0" max="16" min="16" style="1" width="14"/>
    <col collapsed="false" customWidth="true" hidden="false" outlineLevel="0" max="18" min="17" style="1" width="20"/>
    <col collapsed="false" customWidth="true" hidden="false" outlineLevel="0" max="19" min="19" style="1" width="12"/>
    <col collapsed="false" customWidth="true" hidden="false" outlineLevel="0" max="20" min="20" style="1" width="14"/>
    <col collapsed="false" customWidth="true" hidden="false" outlineLevel="0" max="22" min="21" style="1" width="16"/>
    <col collapsed="false" customWidth="true" hidden="false" outlineLevel="0" max="23" min="23" style="1" width="18"/>
    <col collapsed="false" customWidth="true" hidden="false" outlineLevel="0" max="27" min="24" style="1" width="14"/>
    <col collapsed="false" customWidth="true" hidden="false" outlineLevel="0" max="29" min="28" style="1" width="12"/>
    <col collapsed="false" customWidth="true" hidden="false" outlineLevel="0" max="30" min="30" style="1" width="18"/>
    <col collapsed="false" customWidth="true" hidden="false" outlineLevel="0" max="31" min="31" style="1" width="14"/>
    <col collapsed="false" customWidth="true" hidden="false" outlineLevel="0" max="37" min="32" style="1" width="16"/>
    <col collapsed="false" customWidth="true" hidden="false" outlineLevel="0" max="39" min="38" style="1" width="14"/>
    <col collapsed="false" customWidth="true" hidden="false" outlineLevel="0" max="44" min="40" style="1" width="12"/>
    <col collapsed="false" customWidth="true" hidden="false" outlineLevel="0" max="45" min="45" style="1" width="14"/>
    <col collapsed="false" customWidth="true" hidden="false" outlineLevel="0" max="47" min="46" style="1" width="12"/>
    <col collapsed="false" customWidth="true" hidden="false" outlineLevel="0" max="49" min="48" style="1" width="14"/>
    <col collapsed="false" customWidth="true" hidden="false" outlineLevel="0" max="54" min="50" style="1" width="12"/>
    <col collapsed="false" customWidth="true" hidden="false" outlineLevel="0" max="56" min="55" style="1" width="14"/>
    <col collapsed="false" customWidth="true" hidden="false" outlineLevel="0" max="57" min="57" style="1" width="12"/>
    <col collapsed="false" customWidth="true" hidden="false" outlineLevel="0" max="60" min="58" style="1" width="14"/>
    <col collapsed="false" customWidth="true" hidden="false" outlineLevel="0" max="61" min="61" style="1" width="28"/>
  </cols>
  <sheetData>
    <row r="1" customFormat="false" ht="25.5" hidden="false" customHeight="true" outlineLevel="0" collapsed="false">
      <c r="A1" s="47" t="s">
        <v>1555</v>
      </c>
      <c r="B1" s="47"/>
      <c r="C1" s="47"/>
      <c r="D1" s="47"/>
      <c r="E1" s="47"/>
      <c r="F1" s="47"/>
      <c r="G1" s="47"/>
      <c r="H1" s="47"/>
      <c r="I1" s="47"/>
      <c r="J1" s="47"/>
      <c r="K1" s="47"/>
      <c r="L1" s="47"/>
      <c r="M1" s="47"/>
      <c r="N1" s="47"/>
      <c r="O1" s="47"/>
      <c r="P1" s="47"/>
      <c r="Q1" s="72" t="s">
        <v>1441</v>
      </c>
      <c r="R1" s="72" t="s">
        <v>1556</v>
      </c>
    </row>
    <row r="2" customFormat="false" ht="15.75" hidden="false" customHeight="true" outlineLevel="0" collapsed="false">
      <c r="A2" s="49" t="s">
        <v>1557</v>
      </c>
      <c r="B2" s="49"/>
      <c r="C2" s="49"/>
      <c r="D2" s="49"/>
      <c r="E2" s="49"/>
      <c r="F2" s="49"/>
      <c r="G2" s="49"/>
      <c r="H2" s="49"/>
      <c r="I2" s="49"/>
      <c r="J2" s="49"/>
      <c r="K2" s="49"/>
      <c r="L2" s="49"/>
      <c r="M2" s="49"/>
      <c r="N2" s="49"/>
      <c r="O2" s="49"/>
      <c r="P2" s="49"/>
      <c r="Q2" s="49"/>
      <c r="R2" s="49"/>
    </row>
    <row r="4" customFormat="false" ht="15" hidden="false" customHeight="true" outlineLevel="0" collapsed="false">
      <c r="A4" s="54" t="s">
        <v>1445</v>
      </c>
      <c r="B4" s="54"/>
      <c r="C4" s="54"/>
      <c r="D4" s="54"/>
      <c r="E4" s="54"/>
      <c r="F4" s="54"/>
      <c r="G4" s="54"/>
      <c r="H4" s="54"/>
      <c r="I4" s="54"/>
      <c r="J4" s="54"/>
      <c r="K4" s="54"/>
      <c r="L4" s="54"/>
      <c r="M4" s="54"/>
      <c r="N4" s="54"/>
      <c r="O4" s="54"/>
      <c r="P4" s="54"/>
      <c r="Q4" s="54"/>
      <c r="R4" s="54"/>
    </row>
    <row r="6" customFormat="false" ht="19.5" hidden="false" customHeight="true" outlineLevel="0" collapsed="false">
      <c r="A6" s="24" t="s">
        <v>1558</v>
      </c>
      <c r="B6" s="24"/>
      <c r="C6" s="24"/>
      <c r="D6" s="24"/>
      <c r="E6" s="24"/>
      <c r="F6" s="24"/>
      <c r="G6" s="24"/>
      <c r="H6" s="24"/>
      <c r="I6" s="24"/>
      <c r="J6" s="24"/>
      <c r="K6" s="24"/>
      <c r="L6" s="24"/>
      <c r="M6" s="24"/>
      <c r="N6" s="24"/>
      <c r="O6" s="24"/>
      <c r="P6" s="24"/>
      <c r="Q6" s="24"/>
      <c r="R6" s="24"/>
    </row>
    <row r="7" customFormat="false" ht="30" hidden="false" customHeight="true" outlineLevel="0" collapsed="false">
      <c r="A7" s="73" t="s">
        <v>1559</v>
      </c>
      <c r="B7" s="73" t="s">
        <v>100</v>
      </c>
      <c r="C7" s="73" t="s">
        <v>104</v>
      </c>
      <c r="D7" s="73" t="s">
        <v>1560</v>
      </c>
      <c r="E7" s="73" t="s">
        <v>114</v>
      </c>
      <c r="F7" s="73" t="s">
        <v>1561</v>
      </c>
      <c r="G7" s="73" t="s">
        <v>1562</v>
      </c>
      <c r="H7" s="73" t="s">
        <v>1563</v>
      </c>
      <c r="I7" s="73" t="s">
        <v>1564</v>
      </c>
      <c r="J7" s="73" t="s">
        <v>1565</v>
      </c>
      <c r="K7" s="73" t="s">
        <v>1457</v>
      </c>
      <c r="L7" s="74" t="s">
        <v>1216</v>
      </c>
    </row>
    <row r="8" customFormat="false" ht="21.75" hidden="false" customHeight="true" outlineLevel="0" collapsed="false">
      <c r="A8" s="75" t="n">
        <f aca="false">IF($L$7="Total",COUNTIF(A56:A95,"PROJ*"),COUNTIFS(A56:A95,"PROJ*",X56:X95,"&gt;="&amp;DATE(VALUE($L$7),1,1),X56:X95,"&lt;"&amp;DATE(VALUE($L$7)+1,1,1)))</f>
        <v>1</v>
      </c>
      <c r="B8" s="75" t="n">
        <f aca="false">IF($L$7="Total",COUNTIFS(A56:A95,"PROJ*",AD56:AD95,"En preparation"),COUNTIFS(A56:A95,"PROJ*",AD56:AD95,"En preparation",X56:X95,"&gt;="&amp;DATE(VALUE($L$7),1,1),X56:X95,"&lt;"&amp;DATE(VALUE($L$7)+1,1,1)))</f>
        <v>0</v>
      </c>
      <c r="C8" s="75" t="n">
        <f aca="false">IF($L$7="Total",COUNTIFS(A56:A95,"PROJ*",AD56:AD95,"Soumis"),COUNTIFS(A56:A95,"PROJ*",AD56:AD95,"Soumis",X56:X95,"&gt;="&amp;DATE(VALUE($L$7),1,1),X56:X95,"&lt;"&amp;DATE(VALUE($L$7)+1,1,1)))</f>
        <v>0</v>
      </c>
      <c r="D8" s="75" t="n">
        <f aca="false">IF($L$7="Total",COUNTIFS(A56:A95,"PROJ*",AD56:AD95,"Approuve"),COUNTIFS(A56:A95,"PROJ*",AD56:AD95,"Approuve",X56:X95,"&gt;="&amp;DATE(VALUE($L$7),1,1),X56:X95,"&lt;"&amp;DATE(VALUE($L$7)+1,1,1)))</f>
        <v>0</v>
      </c>
      <c r="E8" s="75" t="n">
        <f aca="false">IF($L$7="Total",COUNTIFS(A56:A95,"PROJ*",AD56:AD95,"En cours"),COUNTIFS(A56:A95,"PROJ*",AD56:AD95,"En cours",X56:X95,"&gt;="&amp;DATE(VALUE($L$7),1,1),X56:X95,"&lt;"&amp;DATE(VALUE($L$7)+1,1,1)))</f>
        <v>1</v>
      </c>
      <c r="F8" s="75" t="n">
        <f aca="false">IF($L$7="Total",COUNTIFS(A56:A95,"PROJ*",AD56:AD95,"Termine"),COUNTIFS(A56:A95,"PROJ*",AD56:AD95,"Termine",X56:X95,"&gt;="&amp;DATE(VALUE($L$7),1,1),X56:X95,"&lt;"&amp;DATE(VALUE($L$7)+1,1,1)))</f>
        <v>0</v>
      </c>
      <c r="G8" s="75" t="n">
        <f aca="false">IF($L$7="Total",COUNTIFS(A56:A95,"PROJ*",AD56:AD95,"Suspendu"),COUNTIFS(A56:A95,"PROJ*",AD56:AD95,"Suspendu",X56:X95,"&gt;="&amp;DATE(VALUE($L$7),1,1),X56:X95,"&lt;"&amp;DATE(VALUE($L$7)+1,1,1)))</f>
        <v>0</v>
      </c>
      <c r="H8" s="76" t="n">
        <f aca="false">IF($L$7="Total",SUM(AG56:AG95),SUMIFS(AG56:AG95,A56:A95,"PROJ*",X56:X95,"&gt;="&amp;DATE(VALUE($L$7),1,1),X56:X95,"&lt;"&amp;DATE(VALUE($L$7)+1,1,1)))</f>
        <v>11000000</v>
      </c>
      <c r="I8" s="76" t="n">
        <f aca="false">IF($L$7="Total",SUMIF(A56:A95,"PROJ*",AH56:AH95),SUMIFS(AH56:AH95,A56:A95,"PROJ*",X56:X95,"&gt;="&amp;DATE(VALUE($L$7),1,1),X56:X95,"&lt;"&amp;DATE(VALUE($L$7)+1,1,1)))</f>
        <v>6000000</v>
      </c>
      <c r="J8" s="77" t="n">
        <f aca="false">IF($L$7="Total",IFERROR(AVERAGEIF(A56:A95,"PROJ*",BD56:BD95),0),IFERROR(AVERAGEIFS(BD56:BD95,A56:A95,"PROJ*",X56:X95,"&gt;="&amp;DATE(VALUE($L$7),1,1),X56:X95,"&lt;"&amp;DATE(VALUE($L$7)+1,1,1)),0))</f>
        <v>0.45</v>
      </c>
    </row>
    <row r="10" customFormat="false" ht="19.5" hidden="false" customHeight="true" outlineLevel="0" collapsed="false">
      <c r="A10" s="24" t="s">
        <v>1566</v>
      </c>
      <c r="B10" s="24"/>
      <c r="C10" s="24"/>
      <c r="D10" s="24"/>
      <c r="E10" s="24"/>
      <c r="F10" s="24"/>
      <c r="G10" s="24"/>
      <c r="H10" s="24"/>
      <c r="I10" s="24"/>
      <c r="J10" s="24"/>
      <c r="K10" s="24"/>
      <c r="L10" s="24"/>
      <c r="M10" s="24"/>
      <c r="N10" s="24"/>
      <c r="O10" s="24"/>
      <c r="P10" s="24"/>
      <c r="Q10" s="24"/>
      <c r="R10" s="24"/>
    </row>
    <row r="11" customFormat="false" ht="23.25" hidden="false" customHeight="true" outlineLevel="0" collapsed="false">
      <c r="A11" s="59" t="s">
        <v>1567</v>
      </c>
      <c r="B11" s="59" t="s">
        <v>1568</v>
      </c>
      <c r="D11" s="59" t="s">
        <v>1459</v>
      </c>
      <c r="E11" s="59" t="s">
        <v>1568</v>
      </c>
    </row>
    <row r="12" customFormat="false" ht="15" hidden="false" customHeight="true" outlineLevel="0" collapsed="false">
      <c r="A12" s="60" t="s">
        <v>56</v>
      </c>
      <c r="B12" s="61" t="n">
        <f aca="false">COUNTIFS(tbl_Projets[Statut du projet],A12)</f>
        <v>0</v>
      </c>
      <c r="D12" s="60" t="s">
        <v>146</v>
      </c>
      <c r="E12" s="61" t="n">
        <f aca="false">COUNTIFS(tbl_Projets[Domaine d''intervention],D12)</f>
        <v>1</v>
      </c>
    </row>
    <row r="13" customFormat="false" ht="15" hidden="false" customHeight="true" outlineLevel="0" collapsed="false">
      <c r="A13" s="60" t="s">
        <v>56</v>
      </c>
      <c r="B13" s="61" t="n">
        <f aca="false">COUNTIFS(tbl_Projets[Statut du projet],A13)</f>
        <v>0</v>
      </c>
      <c r="D13" s="60" t="s">
        <v>150</v>
      </c>
      <c r="E13" s="61" t="n">
        <f aca="false">COUNTIFS(tbl_Projets[Domaine d''intervention],D13)</f>
        <v>0</v>
      </c>
    </row>
    <row r="14" customFormat="false" ht="15" hidden="false" customHeight="true" outlineLevel="0" collapsed="false">
      <c r="A14" s="60" t="s">
        <v>56</v>
      </c>
      <c r="B14" s="61" t="n">
        <f aca="false">COUNTIFS(tbl_Projets[Statut du projet],A14)</f>
        <v>0</v>
      </c>
      <c r="D14" s="60" t="s">
        <v>153</v>
      </c>
      <c r="E14" s="61" t="n">
        <f aca="false">COUNTIFS(tbl_Projets[Domaine d''intervention],D14)</f>
        <v>0</v>
      </c>
    </row>
    <row r="15" customFormat="false" ht="15" hidden="false" customHeight="true" outlineLevel="0" collapsed="false">
      <c r="A15" s="60" t="s">
        <v>56</v>
      </c>
      <c r="B15" s="61" t="n">
        <f aca="false">COUNTIFS(tbl_Projets[Statut du projet],A15)</f>
        <v>0</v>
      </c>
      <c r="D15" s="60" t="s">
        <v>156</v>
      </c>
      <c r="E15" s="61" t="n">
        <f aca="false">COUNTIFS(tbl_Projets[Domaine d''intervention],D15)</f>
        <v>0</v>
      </c>
    </row>
    <row r="16" customFormat="false" ht="15" hidden="false" customHeight="true" outlineLevel="0" collapsed="false">
      <c r="A16" s="60" t="s">
        <v>56</v>
      </c>
      <c r="B16" s="61" t="n">
        <f aca="false">COUNTIFS(tbl_Projets[Statut du projet],A16)</f>
        <v>0</v>
      </c>
      <c r="D16" s="60" t="s">
        <v>159</v>
      </c>
      <c r="E16" s="61" t="n">
        <f aca="false">COUNTIFS(tbl_Projets[Domaine d''intervention],D16)</f>
        <v>0</v>
      </c>
    </row>
    <row r="17" customFormat="false" ht="15" hidden="false" customHeight="true" outlineLevel="0" collapsed="false">
      <c r="A17" s="60" t="s">
        <v>56</v>
      </c>
      <c r="B17" s="61" t="n">
        <f aca="false">COUNTIFS(tbl_Projets[Statut du projet],A17)</f>
        <v>0</v>
      </c>
      <c r="D17" s="60" t="s">
        <v>162</v>
      </c>
      <c r="E17" s="61" t="n">
        <f aca="false">COUNTIFS(tbl_Projets[Domaine d''intervention],D17)</f>
        <v>0</v>
      </c>
    </row>
    <row r="18" customFormat="false" ht="15" hidden="false" customHeight="true" outlineLevel="0" collapsed="false">
      <c r="A18" s="60" t="s">
        <v>56</v>
      </c>
      <c r="B18" s="61" t="n">
        <f aca="false">COUNTIFS(tbl_Projets[Statut du projet],A18)</f>
        <v>0</v>
      </c>
      <c r="D18" s="60" t="s">
        <v>165</v>
      </c>
      <c r="E18" s="61" t="n">
        <f aca="false">COUNTIFS(tbl_Projets[Domaine d''intervention],D18)</f>
        <v>0</v>
      </c>
    </row>
    <row r="19" customFormat="false" ht="15" hidden="false" customHeight="true" outlineLevel="0" collapsed="false">
      <c r="A19" s="60" t="s">
        <v>56</v>
      </c>
      <c r="B19" s="61" t="n">
        <f aca="false">COUNTIFS(tbl_Projets[Statut du projet],A19)</f>
        <v>0</v>
      </c>
      <c r="D19" s="60" t="s">
        <v>168</v>
      </c>
      <c r="E19" s="61" t="n">
        <f aca="false">COUNTIFS(tbl_Projets[Domaine d''intervention],D19)</f>
        <v>0</v>
      </c>
    </row>
    <row r="20" customFormat="false" ht="15" hidden="false" customHeight="true" outlineLevel="0" collapsed="false">
      <c r="A20" s="60" t="s">
        <v>56</v>
      </c>
      <c r="B20" s="61" t="n">
        <f aca="false">COUNTIFS(tbl_Projets[Statut du projet],A20)</f>
        <v>0</v>
      </c>
      <c r="D20" s="60" t="s">
        <v>171</v>
      </c>
      <c r="E20" s="61" t="n">
        <f aca="false">COUNTIFS(tbl_Projets[Domaine d''intervention],D20)</f>
        <v>0</v>
      </c>
    </row>
    <row r="21" customFormat="false" ht="15" hidden="false" customHeight="true" outlineLevel="0" collapsed="false">
      <c r="A21" s="60" t="s">
        <v>56</v>
      </c>
      <c r="B21" s="61" t="n">
        <f aca="false">COUNTIFS(tbl_Projets[Statut du projet],A21)</f>
        <v>0</v>
      </c>
      <c r="D21" s="60" t="s">
        <v>174</v>
      </c>
      <c r="E21" s="61" t="n">
        <f aca="false">COUNTIFS(tbl_Projets[Domaine d''intervention],D21)</f>
        <v>0</v>
      </c>
    </row>
    <row r="22" customFormat="false" ht="15" hidden="false" customHeight="true" outlineLevel="0" collapsed="false">
      <c r="A22" s="60" t="s">
        <v>56</v>
      </c>
      <c r="B22" s="61" t="n">
        <f aca="false">COUNTIFS(tbl_Projets[Statut du projet],A22)</f>
        <v>0</v>
      </c>
      <c r="D22" s="60" t="s">
        <v>178</v>
      </c>
      <c r="E22" s="61" t="n">
        <f aca="false">COUNTIFS(tbl_Projets[Domaine d''intervention],D22)</f>
        <v>0</v>
      </c>
    </row>
    <row r="23" customFormat="false" ht="15" hidden="false" customHeight="true" outlineLevel="0" collapsed="false">
      <c r="A23" s="60" t="s">
        <v>56</v>
      </c>
      <c r="B23" s="61" t="n">
        <f aca="false">COUNTIFS(tbl_Projets[Statut du projet],A23)</f>
        <v>0</v>
      </c>
      <c r="D23" s="60" t="s">
        <v>181</v>
      </c>
      <c r="E23" s="61" t="n">
        <f aca="false">COUNTIFS(tbl_Projets[Domaine d''intervention],D23)</f>
        <v>0</v>
      </c>
    </row>
    <row r="24" customFormat="false" ht="15" hidden="false" customHeight="true" outlineLevel="0" collapsed="false">
      <c r="A24" s="60" t="s">
        <v>56</v>
      </c>
      <c r="B24" s="61" t="n">
        <f aca="false">COUNTIFS(tbl_Projets[Statut du projet],A24)</f>
        <v>0</v>
      </c>
      <c r="D24" s="60" t="s">
        <v>184</v>
      </c>
      <c r="E24" s="61" t="n">
        <f aca="false">COUNTIFS(tbl_Projets[Domaine d''intervention],D24)</f>
        <v>0</v>
      </c>
    </row>
    <row r="25" customFormat="false" ht="15" hidden="false" customHeight="true" outlineLevel="0" collapsed="false">
      <c r="A25" s="60" t="s">
        <v>56</v>
      </c>
      <c r="B25" s="61" t="n">
        <f aca="false">COUNTIFS(tbl_Projets[Statut du projet],A25)</f>
        <v>0</v>
      </c>
      <c r="D25" s="60" t="s">
        <v>187</v>
      </c>
      <c r="E25" s="61" t="n">
        <f aca="false">COUNTIFS(tbl_Projets[Domaine d''intervention],D25)</f>
        <v>0</v>
      </c>
    </row>
    <row r="26" customFormat="false" ht="15" hidden="false" customHeight="true" outlineLevel="0" collapsed="false">
      <c r="A26" s="60" t="s">
        <v>56</v>
      </c>
      <c r="B26" s="61" t="n">
        <f aca="false">COUNTIFS(tbl_Projets[Statut du projet],A26)</f>
        <v>0</v>
      </c>
      <c r="D26" s="60" t="s">
        <v>190</v>
      </c>
      <c r="E26" s="61" t="n">
        <f aca="false">COUNTIFS(tbl_Projets[Domaine d''intervention],D26)</f>
        <v>0</v>
      </c>
    </row>
    <row r="27" customFormat="false" ht="15" hidden="false" customHeight="true" outlineLevel="0" collapsed="false">
      <c r="D27" s="60" t="s">
        <v>193</v>
      </c>
      <c r="E27" s="61" t="n">
        <f aca="false">COUNTIFS(tbl_Projets[Domaine d''intervention],D27)</f>
        <v>0</v>
      </c>
    </row>
    <row r="28" customFormat="false" ht="15" hidden="false" customHeight="true" outlineLevel="0" collapsed="false">
      <c r="D28" s="60" t="s">
        <v>196</v>
      </c>
      <c r="E28" s="61" t="n">
        <f aca="false">COUNTIFS(tbl_Projets[Domaine d''intervention],D28)</f>
        <v>0</v>
      </c>
    </row>
    <row r="29" customFormat="false" ht="15" hidden="false" customHeight="true" outlineLevel="0" collapsed="false">
      <c r="D29" s="60" t="s">
        <v>199</v>
      </c>
      <c r="E29" s="61" t="n">
        <f aca="false">COUNTIFS(tbl_Projets[Domaine d''intervention],D29)</f>
        <v>0</v>
      </c>
    </row>
    <row r="30" customFormat="false" ht="15" hidden="false" customHeight="true" outlineLevel="0" collapsed="false">
      <c r="D30" s="60" t="s">
        <v>202</v>
      </c>
      <c r="E30" s="61" t="n">
        <f aca="false">COUNTIFS(tbl_Projets[Domaine d''intervention],D30)</f>
        <v>0</v>
      </c>
    </row>
    <row r="31" customFormat="false" ht="15" hidden="false" customHeight="true" outlineLevel="0" collapsed="false">
      <c r="D31" s="60" t="s">
        <v>205</v>
      </c>
      <c r="E31" s="61" t="n">
        <f aca="false">COUNTIFS(tbl_Projets[Domaine d''intervention],D31)</f>
        <v>0</v>
      </c>
    </row>
    <row r="32" customFormat="false" ht="15" hidden="false" customHeight="true" outlineLevel="0" collapsed="false">
      <c r="D32" s="60" t="s">
        <v>208</v>
      </c>
      <c r="E32" s="61" t="n">
        <f aca="false">COUNTIFS(tbl_Projets[Domaine d''intervention],D32)</f>
        <v>0</v>
      </c>
    </row>
    <row r="33" customFormat="false" ht="15" hidden="false" customHeight="true" outlineLevel="0" collapsed="false">
      <c r="D33" s="60" t="s">
        <v>211</v>
      </c>
      <c r="E33" s="61" t="n">
        <f aca="false">COUNTIFS(tbl_Projets[Domaine d''intervention],D33)</f>
        <v>0</v>
      </c>
    </row>
    <row r="34" customFormat="false" ht="15" hidden="false" customHeight="true" outlineLevel="0" collapsed="false">
      <c r="D34" s="60" t="s">
        <v>214</v>
      </c>
      <c r="E34" s="61" t="n">
        <f aca="false">COUNTIFS(tbl_Projets[Domaine d''intervention],D34)</f>
        <v>0</v>
      </c>
    </row>
    <row r="35" customFormat="false" ht="15" hidden="false" customHeight="true" outlineLevel="0" collapsed="false">
      <c r="D35" s="60" t="s">
        <v>217</v>
      </c>
      <c r="E35" s="61" t="n">
        <f aca="false">COUNTIFS(tbl_Projets[Domaine d''intervention],D35)</f>
        <v>0</v>
      </c>
    </row>
    <row r="36" customFormat="false" ht="15" hidden="false" customHeight="true" outlineLevel="0" collapsed="false">
      <c r="D36" s="60" t="s">
        <v>220</v>
      </c>
      <c r="E36" s="61" t="n">
        <f aca="false">COUNTIFS(tbl_Projets[Domaine d''intervention],D36)</f>
        <v>0</v>
      </c>
    </row>
    <row r="37" customFormat="false" ht="15" hidden="false" customHeight="true" outlineLevel="0" collapsed="false">
      <c r="D37" s="60" t="s">
        <v>223</v>
      </c>
      <c r="E37" s="61" t="n">
        <f aca="false">COUNTIFS(tbl_Projets[Domaine d''intervention],D37)</f>
        <v>0</v>
      </c>
    </row>
    <row r="38" customFormat="false" ht="15" hidden="false" customHeight="true" outlineLevel="0" collapsed="false">
      <c r="D38" s="60" t="s">
        <v>226</v>
      </c>
      <c r="E38" s="61" t="n">
        <f aca="false">COUNTIFS(tbl_Projets[Domaine d''intervention],D38)</f>
        <v>0</v>
      </c>
    </row>
    <row r="39" customFormat="false" ht="15" hidden="false" customHeight="true" outlineLevel="0" collapsed="false">
      <c r="D39" s="60" t="s">
        <v>229</v>
      </c>
      <c r="E39" s="61" t="n">
        <f aca="false">COUNTIFS(tbl_Projets[Domaine d''intervention],D39)</f>
        <v>0</v>
      </c>
    </row>
    <row r="40" customFormat="false" ht="15" hidden="false" customHeight="true" outlineLevel="0" collapsed="false">
      <c r="D40" s="60" t="s">
        <v>232</v>
      </c>
      <c r="E40" s="61" t="n">
        <f aca="false">COUNTIFS(tbl_Projets[Domaine d''intervention],D40)</f>
        <v>0</v>
      </c>
    </row>
    <row r="41" customFormat="false" ht="15" hidden="false" customHeight="true" outlineLevel="0" collapsed="false">
      <c r="D41" s="60" t="s">
        <v>235</v>
      </c>
      <c r="E41" s="61" t="n">
        <f aca="false">COUNTIFS(tbl_Projets[Domaine d''intervention],D41)</f>
        <v>0</v>
      </c>
    </row>
    <row r="42" customFormat="false" ht="15" hidden="false" customHeight="true" outlineLevel="0" collapsed="false">
      <c r="D42" s="60" t="s">
        <v>238</v>
      </c>
      <c r="E42" s="61" t="n">
        <f aca="false">COUNTIFS(tbl_Projets[Domaine d''intervention],D42)</f>
        <v>0</v>
      </c>
    </row>
    <row r="43" customFormat="false" ht="15" hidden="false" customHeight="true" outlineLevel="0" collapsed="false">
      <c r="D43" s="60" t="s">
        <v>241</v>
      </c>
      <c r="E43" s="61" t="n">
        <f aca="false">COUNTIFS(tbl_Projets[Domaine d''intervention],D43)</f>
        <v>0</v>
      </c>
    </row>
    <row r="44" customFormat="false" ht="15" hidden="false" customHeight="true" outlineLevel="0" collapsed="false">
      <c r="D44" s="60" t="s">
        <v>244</v>
      </c>
      <c r="E44" s="61" t="n">
        <f aca="false">COUNTIFS(tbl_Projets[Domaine d''intervention],D44)</f>
        <v>0</v>
      </c>
    </row>
    <row r="45" customFormat="false" ht="15" hidden="false" customHeight="true" outlineLevel="0" collapsed="false">
      <c r="D45" s="60" t="s">
        <v>247</v>
      </c>
      <c r="E45" s="61" t="n">
        <f aca="false">COUNTIFS(tbl_Projets[Domaine d''intervention],D45)</f>
        <v>0</v>
      </c>
    </row>
    <row r="46" customFormat="false" ht="15" hidden="false" customHeight="true" outlineLevel="0" collapsed="false">
      <c r="D46" s="60" t="s">
        <v>250</v>
      </c>
      <c r="E46" s="61" t="n">
        <f aca="false">COUNTIFS(tbl_Projets[Domaine d''intervention],D46)</f>
        <v>0</v>
      </c>
    </row>
    <row r="47" customFormat="false" ht="15" hidden="false" customHeight="true" outlineLevel="0" collapsed="false">
      <c r="D47" s="60" t="s">
        <v>253</v>
      </c>
      <c r="E47" s="61" t="n">
        <f aca="false">COUNTIFS(tbl_Projets[Domaine d''intervention],D47)</f>
        <v>0</v>
      </c>
    </row>
    <row r="48" customFormat="false" ht="15" hidden="false" customHeight="true" outlineLevel="0" collapsed="false">
      <c r="D48" s="60" t="s">
        <v>256</v>
      </c>
      <c r="E48" s="61" t="n">
        <f aca="false">COUNTIFS(tbl_Projets[Domaine d''intervention],D48)</f>
        <v>0</v>
      </c>
    </row>
    <row r="49" customFormat="false" ht="15" hidden="false" customHeight="true" outlineLevel="0" collapsed="false">
      <c r="D49" s="60" t="s">
        <v>259</v>
      </c>
      <c r="E49" s="61" t="n">
        <f aca="false">COUNTIFS(tbl_Projets[Domaine d''intervention],D49)</f>
        <v>0</v>
      </c>
    </row>
    <row r="50" customFormat="false" ht="15" hidden="false" customHeight="true" outlineLevel="0" collapsed="false">
      <c r="D50" s="60" t="s">
        <v>262</v>
      </c>
      <c r="E50" s="61" t="n">
        <f aca="false">COUNTIFS(tbl_Projets[Domaine d''intervention],D50)</f>
        <v>0</v>
      </c>
    </row>
    <row r="51" customFormat="false" ht="15" hidden="false" customHeight="true" outlineLevel="0" collapsed="false">
      <c r="D51" s="60" t="s">
        <v>265</v>
      </c>
      <c r="E51" s="61" t="n">
        <f aca="false">COUNTIFS(tbl_Projets[Domaine d''intervention],D51)</f>
        <v>0</v>
      </c>
    </row>
    <row r="54" customFormat="false" ht="19.5" hidden="false" customHeight="true" outlineLevel="0" collapsed="false">
      <c r="A54" s="24" t="s">
        <v>1569</v>
      </c>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row>
    <row r="55" customFormat="false" ht="25.5" hidden="false" customHeight="true" outlineLevel="0" collapsed="false">
      <c r="A55" s="59" t="s">
        <v>1570</v>
      </c>
      <c r="B55" s="59" t="s">
        <v>1571</v>
      </c>
      <c r="C55" s="59" t="s">
        <v>1572</v>
      </c>
      <c r="D55" s="59" t="s">
        <v>1573</v>
      </c>
      <c r="E55" s="59" t="s">
        <v>1574</v>
      </c>
      <c r="F55" s="59" t="s">
        <v>1575</v>
      </c>
      <c r="G55" s="59" t="s">
        <v>1576</v>
      </c>
      <c r="H55" s="59" t="s">
        <v>1577</v>
      </c>
      <c r="I55" s="59" t="s">
        <v>1578</v>
      </c>
      <c r="J55" s="59" t="s">
        <v>1459</v>
      </c>
      <c r="K55" s="59" t="s">
        <v>1579</v>
      </c>
      <c r="L55" s="59" t="s">
        <v>1580</v>
      </c>
      <c r="M55" s="59" t="s">
        <v>1581</v>
      </c>
      <c r="N55" s="59" t="s">
        <v>1582</v>
      </c>
      <c r="O55" s="59" t="s">
        <v>1583</v>
      </c>
      <c r="P55" s="59" t="s">
        <v>1584</v>
      </c>
      <c r="Q55" s="59" t="s">
        <v>1585</v>
      </c>
      <c r="R55" s="59" t="s">
        <v>882</v>
      </c>
      <c r="S55" s="59" t="s">
        <v>874</v>
      </c>
      <c r="T55" s="59" t="s">
        <v>876</v>
      </c>
      <c r="U55" s="59" t="s">
        <v>878</v>
      </c>
      <c r="V55" s="59" t="s">
        <v>880</v>
      </c>
      <c r="W55" s="59" t="s">
        <v>1586</v>
      </c>
      <c r="X55" s="59" t="s">
        <v>1587</v>
      </c>
      <c r="Y55" s="59" t="s">
        <v>1588</v>
      </c>
      <c r="Z55" s="59" t="s">
        <v>1589</v>
      </c>
      <c r="AA55" s="59" t="s">
        <v>1590</v>
      </c>
      <c r="AB55" s="59" t="s">
        <v>1591</v>
      </c>
      <c r="AC55" s="59" t="s">
        <v>1592</v>
      </c>
      <c r="AD55" s="59" t="s">
        <v>1567</v>
      </c>
      <c r="AE55" s="59" t="s">
        <v>1593</v>
      </c>
      <c r="AF55" s="59" t="s">
        <v>1594</v>
      </c>
      <c r="AG55" s="59" t="s">
        <v>1595</v>
      </c>
      <c r="AH55" s="59" t="s">
        <v>1596</v>
      </c>
      <c r="AI55" s="59" t="s">
        <v>1597</v>
      </c>
      <c r="AJ55" s="59" t="s">
        <v>1598</v>
      </c>
      <c r="AK55" s="59" t="s">
        <v>1599</v>
      </c>
      <c r="AL55" s="59" t="s">
        <v>1600</v>
      </c>
      <c r="AM55" s="59" t="s">
        <v>1601</v>
      </c>
      <c r="AN55" s="59" t="s">
        <v>1602</v>
      </c>
      <c r="AO55" s="59" t="s">
        <v>1603</v>
      </c>
      <c r="AP55" s="59" t="s">
        <v>1604</v>
      </c>
      <c r="AQ55" s="59" t="s">
        <v>1605</v>
      </c>
      <c r="AR55" s="59" t="s">
        <v>1606</v>
      </c>
      <c r="AS55" s="59" t="s">
        <v>1607</v>
      </c>
      <c r="AT55" s="59" t="s">
        <v>1608</v>
      </c>
      <c r="AU55" s="59" t="s">
        <v>1609</v>
      </c>
      <c r="AV55" s="59" t="s">
        <v>1610</v>
      </c>
      <c r="AW55" s="59" t="s">
        <v>1611</v>
      </c>
      <c r="AX55" s="59" t="s">
        <v>1612</v>
      </c>
      <c r="AY55" s="59" t="s">
        <v>1613</v>
      </c>
      <c r="AZ55" s="59" t="s">
        <v>1614</v>
      </c>
      <c r="BA55" s="59" t="s">
        <v>1615</v>
      </c>
      <c r="BB55" s="59" t="s">
        <v>1616</v>
      </c>
      <c r="BC55" s="59" t="s">
        <v>1617</v>
      </c>
      <c r="BD55" s="59" t="s">
        <v>1618</v>
      </c>
      <c r="BE55" s="59" t="s">
        <v>1619</v>
      </c>
      <c r="BF55" s="59" t="s">
        <v>1620</v>
      </c>
      <c r="BG55" s="59" t="s">
        <v>1621</v>
      </c>
      <c r="BH55" s="59" t="s">
        <v>1622</v>
      </c>
      <c r="BI55" s="59" t="s">
        <v>1533</v>
      </c>
    </row>
    <row r="56" customFormat="false" ht="15" hidden="false" customHeight="true" outlineLevel="0" collapsed="false">
      <c r="A56" s="61" t="str">
        <f aca="false">IF(C56="","","PROJ"&amp;TEXT(ROW()-55,"0000"))</f>
        <v>PROJ0001</v>
      </c>
      <c r="B56" s="65" t="s">
        <v>1623</v>
      </c>
      <c r="C56" s="65" t="s">
        <v>1540</v>
      </c>
      <c r="D56" s="65" t="s">
        <v>1624</v>
      </c>
      <c r="E56" s="78" t="s">
        <v>1625</v>
      </c>
      <c r="F56" s="78"/>
      <c r="G56" s="78"/>
      <c r="H56" s="78"/>
      <c r="I56" s="78"/>
      <c r="J56" s="65" t="s">
        <v>146</v>
      </c>
      <c r="K56" s="65" t="s">
        <v>274</v>
      </c>
      <c r="L56" s="78" t="s">
        <v>1626</v>
      </c>
      <c r="M56" s="65"/>
      <c r="N56" s="65" t="s">
        <v>1627</v>
      </c>
      <c r="O56" s="65" t="s">
        <v>1628</v>
      </c>
      <c r="P56" s="65"/>
      <c r="Q56" s="65"/>
      <c r="R56" s="65" t="s">
        <v>893</v>
      </c>
      <c r="S56" s="61" t="str">
        <f aca="false">IFERROR(INDEX(PARAMETRES!$B$536:$B$586,MATCH(R56,PARAMETRES!$J$536:$J$586,0)),"")</f>
        <v>Congo</v>
      </c>
      <c r="T56" s="61" t="str">
        <f aca="false">IFERROR(INDEX(PARAMETRES!$D$536:$D$586,MATCH(R56,PARAMETRES!$J$536:$J$586,0)),"")</f>
        <v>Brazzaville</v>
      </c>
      <c r="U56" s="61" t="str">
        <f aca="false">IFERROR(INDEX(PARAMETRES!$F$536:$F$586,MATCH(R56,PARAMETRES!$J$536:$J$586,0)),"")</f>
        <v>Brazzaville</v>
      </c>
      <c r="V56" s="61" t="str">
        <f aca="false">IFERROR(INDEX(PARAMETRES!$G$536:$G$586,MATCH(R56,PARAMETRES!$J$536:$J$586,0)),"")</f>
        <v>ARR02</v>
      </c>
      <c r="W56" s="65"/>
      <c r="X56" s="79" t="n">
        <v>45292</v>
      </c>
      <c r="Y56" s="79"/>
      <c r="Z56" s="79" t="n">
        <v>45657</v>
      </c>
      <c r="AA56" s="79"/>
      <c r="AB56" s="61" t="n">
        <f aca="false">IF(OR(X56="",Z56=""),"",Z56-X56)</f>
        <v>365</v>
      </c>
      <c r="AC56" s="61" t="str">
        <f aca="false">IF(OR(Y56="",AA56=""),"",AA56-Y56)</f>
        <v/>
      </c>
      <c r="AD56" s="65" t="s">
        <v>114</v>
      </c>
      <c r="AE56" s="65" t="s">
        <v>718</v>
      </c>
      <c r="AF56" s="80" t="n">
        <v>12000000</v>
      </c>
      <c r="AG56" s="80" t="n">
        <v>11000000</v>
      </c>
      <c r="AH56" s="81" t="n">
        <f aca="false">IF(A56="",0,SUMIF(tbl_Projets_Financements[ID Projet],A56,tbl_Projets_Financements[Montant recu]))</f>
        <v>6000000</v>
      </c>
      <c r="AI56" s="80" t="n">
        <v>4000000</v>
      </c>
      <c r="AJ56" s="81" t="n">
        <f aca="false">IF(AG56="",0,AG56)-IF(AI56="",0,AI56)</f>
        <v>7000000</v>
      </c>
      <c r="AK56" s="81" t="n">
        <f aca="false">AH56-AI56</f>
        <v>2000000</v>
      </c>
      <c r="AL56" s="82" t="n">
        <f aca="false">IF(OR(AG56="",AG56=0),0,AI56/AG56)</f>
        <v>0.363636363636364</v>
      </c>
      <c r="AM56" s="80" t="n">
        <v>100</v>
      </c>
      <c r="AN56" s="80" t="n">
        <v>50</v>
      </c>
      <c r="AO56" s="80" t="n">
        <v>50</v>
      </c>
      <c r="AP56" s="80"/>
      <c r="AQ56" s="80"/>
      <c r="AR56" s="80"/>
      <c r="AS56" s="61" t="n">
        <f aca="false">IF(A56="",0,COUNTIFS(tbl_Beneficiaires[ID projet],A56))</f>
        <v>1</v>
      </c>
      <c r="AT56" s="61" t="n">
        <f aca="false">IF(A56="",0,COUNTIFS(tbl_Beneficiaires[ID projet],A56,tbl_Beneficiaires[Sexe],"Feminin"))</f>
        <v>1</v>
      </c>
      <c r="AU56" s="61" t="n">
        <f aca="false">IF(A56="",0,COUNTIFS(tbl_Beneficiaires[ID projet],A56,tbl_Beneficiaires[Sexe],"Masculin"))</f>
        <v>0</v>
      </c>
      <c r="AV56" s="61" t="n">
        <f aca="false">IF(A56="",0,COUNTIFS(tbl_Beneficiaires[ID projet],A56,tbl_Beneficiaires[Menage vulnerable],"Oui"))</f>
        <v>0</v>
      </c>
      <c r="AW56" s="61" t="n">
        <f aca="false">IF(A56="",0,COUNTIFS(tbl_Beneficiaires[ID projet],A56,tbl_Beneficiaires[Handicap],"Oui"))</f>
        <v>0</v>
      </c>
      <c r="AX56" s="80" t="n">
        <v>10</v>
      </c>
      <c r="AY56" s="80" t="n">
        <v>9</v>
      </c>
      <c r="AZ56" s="80" t="n">
        <v>5</v>
      </c>
      <c r="BA56" s="80" t="n">
        <v>3</v>
      </c>
      <c r="BB56" s="80" t="n">
        <v>1</v>
      </c>
      <c r="BC56" s="82" t="n">
        <f aca="false">IF(OR(AX56="",AX56=0),0,BA56/AX56)</f>
        <v>0.3</v>
      </c>
      <c r="BD56" s="83" t="n">
        <v>0.45</v>
      </c>
      <c r="BE56" s="61" t="str">
        <f aca="true">IF(A56="","",IF(AND(Z56&lt;&gt;"",TODAY()&gt;Z56,NOT(OR(AD56="Termine",AD56="Cloture",AD56="Annule",AD56="Non retenu"))),"OUI","NON"))</f>
        <v>OUI</v>
      </c>
      <c r="BF56" s="61" t="str">
        <f aca="true">IF(A56="","",IF(AND(Z56&lt;&gt;"",(Z56-TODAY())&gt;=0,(Z56-TODAY())&lt;=30,NOT(OR(AD56="Termine",AD56="Cloture",AD56="Annule",AD56="Non retenu"))),"OUI","NON"))</f>
        <v>NON</v>
      </c>
      <c r="BG56" s="61" t="str">
        <f aca="false">IF(A56="","",IF(AI56&gt;AG56,"OUI","NON"))</f>
        <v>NON</v>
      </c>
      <c r="BH56" s="61" t="str">
        <f aca="false">IF(A56="","",IF(AH56&lt;AG56,"OUI","NON"))</f>
        <v>OUI</v>
      </c>
      <c r="BI56" s="78"/>
    </row>
    <row r="57" customFormat="false" ht="15" hidden="false" customHeight="true" outlineLevel="0" collapsed="false">
      <c r="A57" s="61" t="str">
        <f aca="false">IF(C57="","","PROJ"&amp;TEXT(ROW()-55,"0000"))</f>
        <v/>
      </c>
      <c r="B57" s="65"/>
      <c r="C57" s="65"/>
      <c r="D57" s="65"/>
      <c r="E57" s="78"/>
      <c r="F57" s="78"/>
      <c r="G57" s="78"/>
      <c r="H57" s="78"/>
      <c r="I57" s="78"/>
      <c r="J57" s="65"/>
      <c r="K57" s="65"/>
      <c r="L57" s="78"/>
      <c r="M57" s="65"/>
      <c r="N57" s="65"/>
      <c r="O57" s="65"/>
      <c r="P57" s="65"/>
      <c r="Q57" s="65"/>
      <c r="R57" s="65"/>
      <c r="S57" s="61" t="str">
        <f aca="false">IFERROR(INDEX(PARAMETRES!$B$536:$B$586,MATCH(R57,PARAMETRES!$J$536:$J$586,0)),"")</f>
        <v/>
      </c>
      <c r="T57" s="61" t="str">
        <f aca="false">IFERROR(INDEX(PARAMETRES!$D$536:$D$586,MATCH(R57,PARAMETRES!$J$536:$J$586,0)),"")</f>
        <v/>
      </c>
      <c r="U57" s="61" t="str">
        <f aca="false">IFERROR(INDEX(PARAMETRES!$F$536:$F$586,MATCH(R57,PARAMETRES!$J$536:$J$586,0)),"")</f>
        <v/>
      </c>
      <c r="V57" s="61" t="str">
        <f aca="false">IFERROR(INDEX(PARAMETRES!$G$536:$G$586,MATCH(R57,PARAMETRES!$J$536:$J$586,0)),"")</f>
        <v/>
      </c>
      <c r="W57" s="65"/>
      <c r="X57" s="79"/>
      <c r="Y57" s="79"/>
      <c r="Z57" s="79"/>
      <c r="AA57" s="79"/>
      <c r="AB57" s="61" t="str">
        <f aca="false">IF(OR(X57="",Z57=""),"",Z57-X57)</f>
        <v/>
      </c>
      <c r="AC57" s="61" t="str">
        <f aca="false">IF(OR(Y57="",AA57=""),"",AA57-Y57)</f>
        <v/>
      </c>
      <c r="AD57" s="65"/>
      <c r="AE57" s="65"/>
      <c r="AF57" s="80"/>
      <c r="AG57" s="80"/>
      <c r="AH57" s="81" t="n">
        <f aca="false">IF(A57="",0,SUMIF(tbl_Projets_Financements[ID Projet],A57,tbl_Projets_Financements[Montant recu]))</f>
        <v>0</v>
      </c>
      <c r="AI57" s="80"/>
      <c r="AJ57" s="81" t="n">
        <f aca="false">IF(AG57="",0,AG57)-IF(AI57="",0,AI57)</f>
        <v>0</v>
      </c>
      <c r="AK57" s="81" t="n">
        <f aca="false">AH57-AI57</f>
        <v>0</v>
      </c>
      <c r="AL57" s="82" t="n">
        <f aca="false">IF(OR(AG57="",AG57=0),0,AI57/AG57)</f>
        <v>0</v>
      </c>
      <c r="AM57" s="80"/>
      <c r="AN57" s="80"/>
      <c r="AO57" s="80"/>
      <c r="AP57" s="80"/>
      <c r="AQ57" s="80"/>
      <c r="AR57" s="80"/>
      <c r="AS57" s="61" t="n">
        <f aca="false">IF(A57="",0,COUNTIFS(tbl_Beneficiaires[ID projet],A57))</f>
        <v>0</v>
      </c>
      <c r="AT57" s="61" t="n">
        <f aca="false">IF(A57="",0,COUNTIFS(tbl_Beneficiaires[ID projet],A57,tbl_Beneficiaires[Sexe],"Feminin"))</f>
        <v>0</v>
      </c>
      <c r="AU57" s="61" t="n">
        <f aca="false">IF(A57="",0,COUNTIFS(tbl_Beneficiaires[ID projet],A57,tbl_Beneficiaires[Sexe],"Masculin"))</f>
        <v>0</v>
      </c>
      <c r="AV57" s="61" t="n">
        <f aca="false">IF(A57="",0,COUNTIFS(tbl_Beneficiaires[ID projet],A57,tbl_Beneficiaires[Menage vulnerable],"Oui"))</f>
        <v>0</v>
      </c>
      <c r="AW57" s="61" t="n">
        <f aca="false">IF(A57="",0,COUNTIFS(tbl_Beneficiaires[ID projet],A57,tbl_Beneficiaires[Handicap],"Oui"))</f>
        <v>0</v>
      </c>
      <c r="AX57" s="80"/>
      <c r="AY57" s="80"/>
      <c r="AZ57" s="80"/>
      <c r="BA57" s="80"/>
      <c r="BB57" s="80"/>
      <c r="BC57" s="82" t="n">
        <f aca="false">IF(OR(AX57="",AX57=0),0,BA57/AX57)</f>
        <v>0</v>
      </c>
      <c r="BD57" s="83"/>
      <c r="BE57" s="61" t="str">
        <f aca="true">IF(A57="","",IF(AND(Z57&lt;&gt;"",TODAY()&gt;Z57,NOT(OR(AD57="Termine",AD57="Cloture",AD57="Annule",AD57="Non retenu"))),"OUI","NON"))</f>
        <v/>
      </c>
      <c r="BF57" s="61" t="str">
        <f aca="true">IF(A57="","",IF(AND(Z57&lt;&gt;"",(Z57-TODAY())&gt;=0,(Z57-TODAY())&lt;=30,NOT(OR(AD57="Termine",AD57="Cloture",AD57="Annule",AD57="Non retenu"))),"OUI","NON"))</f>
        <v/>
      </c>
      <c r="BG57" s="61" t="str">
        <f aca="false">IF(A57="","",IF(AI57&gt;AG57,"OUI","NON"))</f>
        <v/>
      </c>
      <c r="BH57" s="61" t="str">
        <f aca="false">IF(A57="","",IF(AH57&lt;AG57,"OUI","NON"))</f>
        <v/>
      </c>
      <c r="BI57" s="78"/>
    </row>
    <row r="58" customFormat="false" ht="15" hidden="false" customHeight="true" outlineLevel="0" collapsed="false">
      <c r="A58" s="61" t="str">
        <f aca="false">IF(C58="","","PROJ"&amp;TEXT(ROW()-55,"0000"))</f>
        <v/>
      </c>
      <c r="B58" s="65"/>
      <c r="C58" s="65"/>
      <c r="D58" s="65"/>
      <c r="E58" s="78"/>
      <c r="F58" s="78"/>
      <c r="G58" s="78"/>
      <c r="H58" s="78"/>
      <c r="I58" s="78"/>
      <c r="J58" s="65"/>
      <c r="K58" s="65"/>
      <c r="L58" s="78"/>
      <c r="M58" s="65"/>
      <c r="N58" s="65"/>
      <c r="O58" s="65"/>
      <c r="P58" s="65"/>
      <c r="Q58" s="65"/>
      <c r="R58" s="65"/>
      <c r="S58" s="61" t="str">
        <f aca="false">IFERROR(INDEX(PARAMETRES!$B$536:$B$586,MATCH(R58,PARAMETRES!$J$536:$J$586,0)),"")</f>
        <v/>
      </c>
      <c r="T58" s="61" t="str">
        <f aca="false">IFERROR(INDEX(PARAMETRES!$D$536:$D$586,MATCH(R58,PARAMETRES!$J$536:$J$586,0)),"")</f>
        <v/>
      </c>
      <c r="U58" s="61" t="str">
        <f aca="false">IFERROR(INDEX(PARAMETRES!$F$536:$F$586,MATCH(R58,PARAMETRES!$J$536:$J$586,0)),"")</f>
        <v/>
      </c>
      <c r="V58" s="61" t="str">
        <f aca="false">IFERROR(INDEX(PARAMETRES!$G$536:$G$586,MATCH(R58,PARAMETRES!$J$536:$J$586,0)),"")</f>
        <v/>
      </c>
      <c r="W58" s="65"/>
      <c r="X58" s="79"/>
      <c r="Y58" s="79"/>
      <c r="Z58" s="79"/>
      <c r="AA58" s="79"/>
      <c r="AB58" s="61" t="str">
        <f aca="false">IF(OR(X58="",Z58=""),"",Z58-X58)</f>
        <v/>
      </c>
      <c r="AC58" s="61" t="str">
        <f aca="false">IF(OR(Y58="",AA58=""),"",AA58-Y58)</f>
        <v/>
      </c>
      <c r="AD58" s="65"/>
      <c r="AE58" s="65"/>
      <c r="AF58" s="80"/>
      <c r="AG58" s="80"/>
      <c r="AH58" s="81" t="n">
        <f aca="false">IF(A58="",0,SUMIF(tbl_Projets_Financements[ID Projet],A58,tbl_Projets_Financements[Montant recu]))</f>
        <v>0</v>
      </c>
      <c r="AI58" s="80"/>
      <c r="AJ58" s="81" t="n">
        <f aca="false">IF(AG58="",0,AG58)-IF(AI58="",0,AI58)</f>
        <v>0</v>
      </c>
      <c r="AK58" s="81" t="n">
        <f aca="false">AH58-AI58</f>
        <v>0</v>
      </c>
      <c r="AL58" s="82" t="n">
        <f aca="false">IF(OR(AG58="",AG58=0),0,AI58/AG58)</f>
        <v>0</v>
      </c>
      <c r="AM58" s="80"/>
      <c r="AN58" s="80"/>
      <c r="AO58" s="80"/>
      <c r="AP58" s="80"/>
      <c r="AQ58" s="80"/>
      <c r="AR58" s="80"/>
      <c r="AS58" s="61" t="n">
        <f aca="false">IF(A58="",0,COUNTIFS(tbl_Beneficiaires[ID projet],A58))</f>
        <v>0</v>
      </c>
      <c r="AT58" s="61" t="n">
        <f aca="false">IF(A58="",0,COUNTIFS(tbl_Beneficiaires[ID projet],A58,tbl_Beneficiaires[Sexe],"Feminin"))</f>
        <v>0</v>
      </c>
      <c r="AU58" s="61" t="n">
        <f aca="false">IF(A58="",0,COUNTIFS(tbl_Beneficiaires[ID projet],A58,tbl_Beneficiaires[Sexe],"Masculin"))</f>
        <v>0</v>
      </c>
      <c r="AV58" s="61" t="n">
        <f aca="false">IF(A58="",0,COUNTIFS(tbl_Beneficiaires[ID projet],A58,tbl_Beneficiaires[Menage vulnerable],"Oui"))</f>
        <v>0</v>
      </c>
      <c r="AW58" s="61" t="n">
        <f aca="false">IF(A58="",0,COUNTIFS(tbl_Beneficiaires[ID projet],A58,tbl_Beneficiaires[Handicap],"Oui"))</f>
        <v>0</v>
      </c>
      <c r="AX58" s="80"/>
      <c r="AY58" s="80"/>
      <c r="AZ58" s="80"/>
      <c r="BA58" s="80"/>
      <c r="BB58" s="80"/>
      <c r="BC58" s="82" t="n">
        <f aca="false">IF(OR(AX58="",AX58=0),0,BA58/AX58)</f>
        <v>0</v>
      </c>
      <c r="BD58" s="83"/>
      <c r="BE58" s="61" t="str">
        <f aca="true">IF(A58="","",IF(AND(Z58&lt;&gt;"",TODAY()&gt;Z58,NOT(OR(AD58="Termine",AD58="Cloture",AD58="Annule",AD58="Non retenu"))),"OUI","NON"))</f>
        <v/>
      </c>
      <c r="BF58" s="61" t="str">
        <f aca="true">IF(A58="","",IF(AND(Z58&lt;&gt;"",(Z58-TODAY())&gt;=0,(Z58-TODAY())&lt;=30,NOT(OR(AD58="Termine",AD58="Cloture",AD58="Annule",AD58="Non retenu"))),"OUI","NON"))</f>
        <v/>
      </c>
      <c r="BG58" s="61" t="str">
        <f aca="false">IF(A58="","",IF(AI58&gt;AG58,"OUI","NON"))</f>
        <v/>
      </c>
      <c r="BH58" s="61" t="str">
        <f aca="false">IF(A58="","",IF(AH58&lt;AG58,"OUI","NON"))</f>
        <v/>
      </c>
      <c r="BI58" s="78"/>
    </row>
    <row r="59" customFormat="false" ht="15" hidden="false" customHeight="true" outlineLevel="0" collapsed="false">
      <c r="A59" s="61" t="str">
        <f aca="false">IF(C59="","","PROJ"&amp;TEXT(ROW()-55,"0000"))</f>
        <v/>
      </c>
      <c r="B59" s="65"/>
      <c r="C59" s="65"/>
      <c r="D59" s="65"/>
      <c r="E59" s="78"/>
      <c r="F59" s="78"/>
      <c r="G59" s="78"/>
      <c r="H59" s="78"/>
      <c r="I59" s="78"/>
      <c r="J59" s="65"/>
      <c r="K59" s="65"/>
      <c r="L59" s="78"/>
      <c r="M59" s="65"/>
      <c r="N59" s="65"/>
      <c r="O59" s="65"/>
      <c r="P59" s="65"/>
      <c r="Q59" s="65"/>
      <c r="R59" s="65"/>
      <c r="S59" s="61" t="str">
        <f aca="false">IFERROR(INDEX(PARAMETRES!$B$536:$B$586,MATCH(R59,PARAMETRES!$J$536:$J$586,0)),"")</f>
        <v/>
      </c>
      <c r="T59" s="61" t="str">
        <f aca="false">IFERROR(INDEX(PARAMETRES!$D$536:$D$586,MATCH(R59,PARAMETRES!$J$536:$J$586,0)),"")</f>
        <v/>
      </c>
      <c r="U59" s="61" t="str">
        <f aca="false">IFERROR(INDEX(PARAMETRES!$F$536:$F$586,MATCH(R59,PARAMETRES!$J$536:$J$586,0)),"")</f>
        <v/>
      </c>
      <c r="V59" s="61" t="str">
        <f aca="false">IFERROR(INDEX(PARAMETRES!$G$536:$G$586,MATCH(R59,PARAMETRES!$J$536:$J$586,0)),"")</f>
        <v/>
      </c>
      <c r="W59" s="65"/>
      <c r="X59" s="79"/>
      <c r="Y59" s="79"/>
      <c r="Z59" s="79"/>
      <c r="AA59" s="79"/>
      <c r="AB59" s="61" t="str">
        <f aca="false">IF(OR(X59="",Z59=""),"",Z59-X59)</f>
        <v/>
      </c>
      <c r="AC59" s="61" t="str">
        <f aca="false">IF(OR(Y59="",AA59=""),"",AA59-Y59)</f>
        <v/>
      </c>
      <c r="AD59" s="65"/>
      <c r="AE59" s="65"/>
      <c r="AF59" s="80"/>
      <c r="AG59" s="80"/>
      <c r="AH59" s="81" t="n">
        <f aca="false">IF(A59="",0,SUMIF(tbl_Projets_Financements[ID Projet],A59,tbl_Projets_Financements[Montant recu]))</f>
        <v>0</v>
      </c>
      <c r="AI59" s="80"/>
      <c r="AJ59" s="81" t="n">
        <f aca="false">IF(AG59="",0,AG59)-IF(AI59="",0,AI59)</f>
        <v>0</v>
      </c>
      <c r="AK59" s="81" t="n">
        <f aca="false">AH59-AI59</f>
        <v>0</v>
      </c>
      <c r="AL59" s="82" t="n">
        <f aca="false">IF(OR(AG59="",AG59=0),0,AI59/AG59)</f>
        <v>0</v>
      </c>
      <c r="AM59" s="80"/>
      <c r="AN59" s="80"/>
      <c r="AO59" s="80"/>
      <c r="AP59" s="80"/>
      <c r="AQ59" s="80"/>
      <c r="AR59" s="80"/>
      <c r="AS59" s="61" t="n">
        <f aca="false">IF(A59="",0,COUNTIFS(tbl_Beneficiaires[ID projet],A59))</f>
        <v>0</v>
      </c>
      <c r="AT59" s="61" t="n">
        <f aca="false">IF(A59="",0,COUNTIFS(tbl_Beneficiaires[ID projet],A59,tbl_Beneficiaires[Sexe],"Feminin"))</f>
        <v>0</v>
      </c>
      <c r="AU59" s="61" t="n">
        <f aca="false">IF(A59="",0,COUNTIFS(tbl_Beneficiaires[ID projet],A59,tbl_Beneficiaires[Sexe],"Masculin"))</f>
        <v>0</v>
      </c>
      <c r="AV59" s="61" t="n">
        <f aca="false">IF(A59="",0,COUNTIFS(tbl_Beneficiaires[ID projet],A59,tbl_Beneficiaires[Menage vulnerable],"Oui"))</f>
        <v>0</v>
      </c>
      <c r="AW59" s="61" t="n">
        <f aca="false">IF(A59="",0,COUNTIFS(tbl_Beneficiaires[ID projet],A59,tbl_Beneficiaires[Handicap],"Oui"))</f>
        <v>0</v>
      </c>
      <c r="AX59" s="80"/>
      <c r="AY59" s="80"/>
      <c r="AZ59" s="80"/>
      <c r="BA59" s="80"/>
      <c r="BB59" s="80"/>
      <c r="BC59" s="82" t="n">
        <f aca="false">IF(OR(AX59="",AX59=0),0,BA59/AX59)</f>
        <v>0</v>
      </c>
      <c r="BD59" s="83"/>
      <c r="BE59" s="61" t="str">
        <f aca="true">IF(A59="","",IF(AND(Z59&lt;&gt;"",TODAY()&gt;Z59,NOT(OR(AD59="Termine",AD59="Cloture",AD59="Annule",AD59="Non retenu"))),"OUI","NON"))</f>
        <v/>
      </c>
      <c r="BF59" s="61" t="str">
        <f aca="true">IF(A59="","",IF(AND(Z59&lt;&gt;"",(Z59-TODAY())&gt;=0,(Z59-TODAY())&lt;=30,NOT(OR(AD59="Termine",AD59="Cloture",AD59="Annule",AD59="Non retenu"))),"OUI","NON"))</f>
        <v/>
      </c>
      <c r="BG59" s="61" t="str">
        <f aca="false">IF(A59="","",IF(AI59&gt;AG59,"OUI","NON"))</f>
        <v/>
      </c>
      <c r="BH59" s="61" t="str">
        <f aca="false">IF(A59="","",IF(AH59&lt;AG59,"OUI","NON"))</f>
        <v/>
      </c>
      <c r="BI59" s="78"/>
    </row>
    <row r="60" customFormat="false" ht="15" hidden="false" customHeight="true" outlineLevel="0" collapsed="false">
      <c r="A60" s="61" t="str">
        <f aca="false">IF(C60="","","PROJ"&amp;TEXT(ROW()-55,"0000"))</f>
        <v/>
      </c>
      <c r="B60" s="65"/>
      <c r="C60" s="65"/>
      <c r="D60" s="65"/>
      <c r="E60" s="78"/>
      <c r="F60" s="78"/>
      <c r="G60" s="78"/>
      <c r="H60" s="78"/>
      <c r="I60" s="78"/>
      <c r="J60" s="65"/>
      <c r="K60" s="65"/>
      <c r="L60" s="78"/>
      <c r="M60" s="65"/>
      <c r="N60" s="65"/>
      <c r="O60" s="65"/>
      <c r="P60" s="65"/>
      <c r="Q60" s="65"/>
      <c r="R60" s="65"/>
      <c r="S60" s="61" t="str">
        <f aca="false">IFERROR(INDEX(PARAMETRES!$B$536:$B$586,MATCH(R60,PARAMETRES!$J$536:$J$586,0)),"")</f>
        <v/>
      </c>
      <c r="T60" s="61" t="str">
        <f aca="false">IFERROR(INDEX(PARAMETRES!$D$536:$D$586,MATCH(R60,PARAMETRES!$J$536:$J$586,0)),"")</f>
        <v/>
      </c>
      <c r="U60" s="61" t="str">
        <f aca="false">IFERROR(INDEX(PARAMETRES!$F$536:$F$586,MATCH(R60,PARAMETRES!$J$536:$J$586,0)),"")</f>
        <v/>
      </c>
      <c r="V60" s="61" t="str">
        <f aca="false">IFERROR(INDEX(PARAMETRES!$G$536:$G$586,MATCH(R60,PARAMETRES!$J$536:$J$586,0)),"")</f>
        <v/>
      </c>
      <c r="W60" s="65"/>
      <c r="X60" s="79"/>
      <c r="Y60" s="79"/>
      <c r="Z60" s="79"/>
      <c r="AA60" s="79"/>
      <c r="AB60" s="61" t="str">
        <f aca="false">IF(OR(X60="",Z60=""),"",Z60-X60)</f>
        <v/>
      </c>
      <c r="AC60" s="61" t="str">
        <f aca="false">IF(OR(Y60="",AA60=""),"",AA60-Y60)</f>
        <v/>
      </c>
      <c r="AD60" s="65"/>
      <c r="AE60" s="65"/>
      <c r="AF60" s="80"/>
      <c r="AG60" s="80"/>
      <c r="AH60" s="81" t="n">
        <f aca="false">IF(A60="",0,SUMIF(tbl_Projets_Financements[ID Projet],A60,tbl_Projets_Financements[Montant recu]))</f>
        <v>0</v>
      </c>
      <c r="AI60" s="80"/>
      <c r="AJ60" s="81" t="n">
        <f aca="false">IF(AG60="",0,AG60)-IF(AI60="",0,AI60)</f>
        <v>0</v>
      </c>
      <c r="AK60" s="81" t="n">
        <f aca="false">AH60-AI60</f>
        <v>0</v>
      </c>
      <c r="AL60" s="82" t="n">
        <f aca="false">IF(OR(AG60="",AG60=0),0,AI60/AG60)</f>
        <v>0</v>
      </c>
      <c r="AM60" s="80"/>
      <c r="AN60" s="80"/>
      <c r="AO60" s="80"/>
      <c r="AP60" s="80"/>
      <c r="AQ60" s="80"/>
      <c r="AR60" s="80"/>
      <c r="AS60" s="61" t="n">
        <f aca="false">IF(A60="",0,COUNTIFS(tbl_Beneficiaires[ID projet],A60))</f>
        <v>0</v>
      </c>
      <c r="AT60" s="61" t="n">
        <f aca="false">IF(A60="",0,COUNTIFS(tbl_Beneficiaires[ID projet],A60,tbl_Beneficiaires[Sexe],"Feminin"))</f>
        <v>0</v>
      </c>
      <c r="AU60" s="61" t="n">
        <f aca="false">IF(A60="",0,COUNTIFS(tbl_Beneficiaires[ID projet],A60,tbl_Beneficiaires[Sexe],"Masculin"))</f>
        <v>0</v>
      </c>
      <c r="AV60" s="61" t="n">
        <f aca="false">IF(A60="",0,COUNTIFS(tbl_Beneficiaires[ID projet],A60,tbl_Beneficiaires[Menage vulnerable],"Oui"))</f>
        <v>0</v>
      </c>
      <c r="AW60" s="61" t="n">
        <f aca="false">IF(A60="",0,COUNTIFS(tbl_Beneficiaires[ID projet],A60,tbl_Beneficiaires[Handicap],"Oui"))</f>
        <v>0</v>
      </c>
      <c r="AX60" s="80"/>
      <c r="AY60" s="80"/>
      <c r="AZ60" s="80"/>
      <c r="BA60" s="80"/>
      <c r="BB60" s="80"/>
      <c r="BC60" s="82" t="n">
        <f aca="false">IF(OR(AX60="",AX60=0),0,BA60/AX60)</f>
        <v>0</v>
      </c>
      <c r="BD60" s="83"/>
      <c r="BE60" s="61" t="str">
        <f aca="true">IF(A60="","",IF(AND(Z60&lt;&gt;"",TODAY()&gt;Z60,NOT(OR(AD60="Termine",AD60="Cloture",AD60="Annule",AD60="Non retenu"))),"OUI","NON"))</f>
        <v/>
      </c>
      <c r="BF60" s="61" t="str">
        <f aca="true">IF(A60="","",IF(AND(Z60&lt;&gt;"",(Z60-TODAY())&gt;=0,(Z60-TODAY())&lt;=30,NOT(OR(AD60="Termine",AD60="Cloture",AD60="Annule",AD60="Non retenu"))),"OUI","NON"))</f>
        <v/>
      </c>
      <c r="BG60" s="61" t="str">
        <f aca="false">IF(A60="","",IF(AI60&gt;AG60,"OUI","NON"))</f>
        <v/>
      </c>
      <c r="BH60" s="61" t="str">
        <f aca="false">IF(A60="","",IF(AH60&lt;AG60,"OUI","NON"))</f>
        <v/>
      </c>
      <c r="BI60" s="78"/>
    </row>
    <row r="61" customFormat="false" ht="15" hidden="false" customHeight="true" outlineLevel="0" collapsed="false">
      <c r="A61" s="61" t="str">
        <f aca="false">IF(C61="","","PROJ"&amp;TEXT(ROW()-55,"0000"))</f>
        <v/>
      </c>
      <c r="B61" s="65"/>
      <c r="C61" s="65"/>
      <c r="D61" s="65"/>
      <c r="E61" s="78"/>
      <c r="F61" s="78"/>
      <c r="G61" s="78"/>
      <c r="H61" s="78"/>
      <c r="I61" s="78"/>
      <c r="J61" s="65"/>
      <c r="K61" s="65"/>
      <c r="L61" s="78"/>
      <c r="M61" s="65"/>
      <c r="N61" s="65"/>
      <c r="O61" s="65"/>
      <c r="P61" s="65"/>
      <c r="Q61" s="65"/>
      <c r="R61" s="65"/>
      <c r="S61" s="61" t="str">
        <f aca="false">IFERROR(INDEX(PARAMETRES!$B$536:$B$586,MATCH(R61,PARAMETRES!$J$536:$J$586,0)),"")</f>
        <v/>
      </c>
      <c r="T61" s="61" t="str">
        <f aca="false">IFERROR(INDEX(PARAMETRES!$D$536:$D$586,MATCH(R61,PARAMETRES!$J$536:$J$586,0)),"")</f>
        <v/>
      </c>
      <c r="U61" s="61" t="str">
        <f aca="false">IFERROR(INDEX(PARAMETRES!$F$536:$F$586,MATCH(R61,PARAMETRES!$J$536:$J$586,0)),"")</f>
        <v/>
      </c>
      <c r="V61" s="61" t="str">
        <f aca="false">IFERROR(INDEX(PARAMETRES!$G$536:$G$586,MATCH(R61,PARAMETRES!$J$536:$J$586,0)),"")</f>
        <v/>
      </c>
      <c r="W61" s="65"/>
      <c r="X61" s="79"/>
      <c r="Y61" s="79"/>
      <c r="Z61" s="79"/>
      <c r="AA61" s="79"/>
      <c r="AB61" s="61" t="str">
        <f aca="false">IF(OR(X61="",Z61=""),"",Z61-X61)</f>
        <v/>
      </c>
      <c r="AC61" s="61" t="str">
        <f aca="false">IF(OR(Y61="",AA61=""),"",AA61-Y61)</f>
        <v/>
      </c>
      <c r="AD61" s="65"/>
      <c r="AE61" s="65"/>
      <c r="AF61" s="80"/>
      <c r="AG61" s="80"/>
      <c r="AH61" s="81" t="n">
        <f aca="false">IF(A61="",0,SUMIF(tbl_Projets_Financements[ID Projet],A61,tbl_Projets_Financements[Montant recu]))</f>
        <v>0</v>
      </c>
      <c r="AI61" s="80"/>
      <c r="AJ61" s="81" t="n">
        <f aca="false">IF(AG61="",0,AG61)-IF(AI61="",0,AI61)</f>
        <v>0</v>
      </c>
      <c r="AK61" s="81" t="n">
        <f aca="false">AH61-AI61</f>
        <v>0</v>
      </c>
      <c r="AL61" s="82" t="n">
        <f aca="false">IF(OR(AG61="",AG61=0),0,AI61/AG61)</f>
        <v>0</v>
      </c>
      <c r="AM61" s="80"/>
      <c r="AN61" s="80"/>
      <c r="AO61" s="80"/>
      <c r="AP61" s="80"/>
      <c r="AQ61" s="80"/>
      <c r="AR61" s="80"/>
      <c r="AS61" s="61" t="n">
        <f aca="false">IF(A61="",0,COUNTIFS(tbl_Beneficiaires[ID projet],A61))</f>
        <v>0</v>
      </c>
      <c r="AT61" s="61" t="n">
        <f aca="false">IF(A61="",0,COUNTIFS(tbl_Beneficiaires[ID projet],A61,tbl_Beneficiaires[Sexe],"Feminin"))</f>
        <v>0</v>
      </c>
      <c r="AU61" s="61" t="n">
        <f aca="false">IF(A61="",0,COUNTIFS(tbl_Beneficiaires[ID projet],A61,tbl_Beneficiaires[Sexe],"Masculin"))</f>
        <v>0</v>
      </c>
      <c r="AV61" s="61" t="n">
        <f aca="false">IF(A61="",0,COUNTIFS(tbl_Beneficiaires[ID projet],A61,tbl_Beneficiaires[Menage vulnerable],"Oui"))</f>
        <v>0</v>
      </c>
      <c r="AW61" s="61" t="n">
        <f aca="false">IF(A61="",0,COUNTIFS(tbl_Beneficiaires[ID projet],A61,tbl_Beneficiaires[Handicap],"Oui"))</f>
        <v>0</v>
      </c>
      <c r="AX61" s="80"/>
      <c r="AY61" s="80"/>
      <c r="AZ61" s="80"/>
      <c r="BA61" s="80"/>
      <c r="BB61" s="80"/>
      <c r="BC61" s="82" t="n">
        <f aca="false">IF(OR(AX61="",AX61=0),0,BA61/AX61)</f>
        <v>0</v>
      </c>
      <c r="BD61" s="83"/>
      <c r="BE61" s="61" t="str">
        <f aca="true">IF(A61="","",IF(AND(Z61&lt;&gt;"",TODAY()&gt;Z61,NOT(OR(AD61="Termine",AD61="Cloture",AD61="Annule",AD61="Non retenu"))),"OUI","NON"))</f>
        <v/>
      </c>
      <c r="BF61" s="61" t="str">
        <f aca="true">IF(A61="","",IF(AND(Z61&lt;&gt;"",(Z61-TODAY())&gt;=0,(Z61-TODAY())&lt;=30,NOT(OR(AD61="Termine",AD61="Cloture",AD61="Annule",AD61="Non retenu"))),"OUI","NON"))</f>
        <v/>
      </c>
      <c r="BG61" s="61" t="str">
        <f aca="false">IF(A61="","",IF(AI61&gt;AG61,"OUI","NON"))</f>
        <v/>
      </c>
      <c r="BH61" s="61" t="str">
        <f aca="false">IF(A61="","",IF(AH61&lt;AG61,"OUI","NON"))</f>
        <v/>
      </c>
      <c r="BI61" s="78"/>
    </row>
    <row r="62" customFormat="false" ht="15" hidden="false" customHeight="true" outlineLevel="0" collapsed="false">
      <c r="A62" s="61" t="str">
        <f aca="false">IF(C62="","","PROJ"&amp;TEXT(ROW()-55,"0000"))</f>
        <v/>
      </c>
      <c r="B62" s="65"/>
      <c r="C62" s="65"/>
      <c r="D62" s="65"/>
      <c r="E62" s="78"/>
      <c r="F62" s="78"/>
      <c r="G62" s="78"/>
      <c r="H62" s="78"/>
      <c r="I62" s="78"/>
      <c r="J62" s="65"/>
      <c r="K62" s="65"/>
      <c r="L62" s="78"/>
      <c r="M62" s="65"/>
      <c r="N62" s="65"/>
      <c r="O62" s="65"/>
      <c r="P62" s="65"/>
      <c r="Q62" s="65"/>
      <c r="R62" s="65"/>
      <c r="S62" s="61" t="str">
        <f aca="false">IFERROR(INDEX(PARAMETRES!$B$536:$B$586,MATCH(R62,PARAMETRES!$J$536:$J$586,0)),"")</f>
        <v/>
      </c>
      <c r="T62" s="61" t="str">
        <f aca="false">IFERROR(INDEX(PARAMETRES!$D$536:$D$586,MATCH(R62,PARAMETRES!$J$536:$J$586,0)),"")</f>
        <v/>
      </c>
      <c r="U62" s="61" t="str">
        <f aca="false">IFERROR(INDEX(PARAMETRES!$F$536:$F$586,MATCH(R62,PARAMETRES!$J$536:$J$586,0)),"")</f>
        <v/>
      </c>
      <c r="V62" s="61" t="str">
        <f aca="false">IFERROR(INDEX(PARAMETRES!$G$536:$G$586,MATCH(R62,PARAMETRES!$J$536:$J$586,0)),"")</f>
        <v/>
      </c>
      <c r="W62" s="65"/>
      <c r="X62" s="79"/>
      <c r="Y62" s="79"/>
      <c r="Z62" s="79"/>
      <c r="AA62" s="79"/>
      <c r="AB62" s="61" t="str">
        <f aca="false">IF(OR(X62="",Z62=""),"",Z62-X62)</f>
        <v/>
      </c>
      <c r="AC62" s="61" t="str">
        <f aca="false">IF(OR(Y62="",AA62=""),"",AA62-Y62)</f>
        <v/>
      </c>
      <c r="AD62" s="65"/>
      <c r="AE62" s="65"/>
      <c r="AF62" s="80"/>
      <c r="AG62" s="80"/>
      <c r="AH62" s="81" t="n">
        <f aca="false">IF(A62="",0,SUMIF(tbl_Projets_Financements[ID Projet],A62,tbl_Projets_Financements[Montant recu]))</f>
        <v>0</v>
      </c>
      <c r="AI62" s="80"/>
      <c r="AJ62" s="81" t="n">
        <f aca="false">IF(AG62="",0,AG62)-IF(AI62="",0,AI62)</f>
        <v>0</v>
      </c>
      <c r="AK62" s="81" t="n">
        <f aca="false">AH62-AI62</f>
        <v>0</v>
      </c>
      <c r="AL62" s="82" t="n">
        <f aca="false">IF(OR(AG62="",AG62=0),0,AI62/AG62)</f>
        <v>0</v>
      </c>
      <c r="AM62" s="80"/>
      <c r="AN62" s="80"/>
      <c r="AO62" s="80"/>
      <c r="AP62" s="80"/>
      <c r="AQ62" s="80"/>
      <c r="AR62" s="80"/>
      <c r="AS62" s="61" t="n">
        <f aca="false">IF(A62="",0,COUNTIFS(tbl_Beneficiaires[ID projet],A62))</f>
        <v>0</v>
      </c>
      <c r="AT62" s="61" t="n">
        <f aca="false">IF(A62="",0,COUNTIFS(tbl_Beneficiaires[ID projet],A62,tbl_Beneficiaires[Sexe],"Feminin"))</f>
        <v>0</v>
      </c>
      <c r="AU62" s="61" t="n">
        <f aca="false">IF(A62="",0,COUNTIFS(tbl_Beneficiaires[ID projet],A62,tbl_Beneficiaires[Sexe],"Masculin"))</f>
        <v>0</v>
      </c>
      <c r="AV62" s="61" t="n">
        <f aca="false">IF(A62="",0,COUNTIFS(tbl_Beneficiaires[ID projet],A62,tbl_Beneficiaires[Menage vulnerable],"Oui"))</f>
        <v>0</v>
      </c>
      <c r="AW62" s="61" t="n">
        <f aca="false">IF(A62="",0,COUNTIFS(tbl_Beneficiaires[ID projet],A62,tbl_Beneficiaires[Handicap],"Oui"))</f>
        <v>0</v>
      </c>
      <c r="AX62" s="80"/>
      <c r="AY62" s="80"/>
      <c r="AZ62" s="80"/>
      <c r="BA62" s="80"/>
      <c r="BB62" s="80"/>
      <c r="BC62" s="82" t="n">
        <f aca="false">IF(OR(AX62="",AX62=0),0,BA62/AX62)</f>
        <v>0</v>
      </c>
      <c r="BD62" s="83"/>
      <c r="BE62" s="61" t="str">
        <f aca="true">IF(A62="","",IF(AND(Z62&lt;&gt;"",TODAY()&gt;Z62,NOT(OR(AD62="Termine",AD62="Cloture",AD62="Annule",AD62="Non retenu"))),"OUI","NON"))</f>
        <v/>
      </c>
      <c r="BF62" s="61" t="str">
        <f aca="true">IF(A62="","",IF(AND(Z62&lt;&gt;"",(Z62-TODAY())&gt;=0,(Z62-TODAY())&lt;=30,NOT(OR(AD62="Termine",AD62="Cloture",AD62="Annule",AD62="Non retenu"))),"OUI","NON"))</f>
        <v/>
      </c>
      <c r="BG62" s="61" t="str">
        <f aca="false">IF(A62="","",IF(AI62&gt;AG62,"OUI","NON"))</f>
        <v/>
      </c>
      <c r="BH62" s="61" t="str">
        <f aca="false">IF(A62="","",IF(AH62&lt;AG62,"OUI","NON"))</f>
        <v/>
      </c>
      <c r="BI62" s="78"/>
    </row>
    <row r="63" customFormat="false" ht="15" hidden="false" customHeight="true" outlineLevel="0" collapsed="false">
      <c r="A63" s="61" t="str">
        <f aca="false">IF(C63="","","PROJ"&amp;TEXT(ROW()-55,"0000"))</f>
        <v/>
      </c>
      <c r="B63" s="65"/>
      <c r="C63" s="65"/>
      <c r="D63" s="65"/>
      <c r="E63" s="78"/>
      <c r="F63" s="78"/>
      <c r="G63" s="78"/>
      <c r="H63" s="78"/>
      <c r="I63" s="78"/>
      <c r="J63" s="65"/>
      <c r="K63" s="65"/>
      <c r="L63" s="78"/>
      <c r="M63" s="65"/>
      <c r="N63" s="65"/>
      <c r="O63" s="65"/>
      <c r="P63" s="65"/>
      <c r="Q63" s="65"/>
      <c r="R63" s="65"/>
      <c r="S63" s="61" t="str">
        <f aca="false">IFERROR(INDEX(PARAMETRES!$B$536:$B$586,MATCH(R63,PARAMETRES!$J$536:$J$586,0)),"")</f>
        <v/>
      </c>
      <c r="T63" s="61" t="str">
        <f aca="false">IFERROR(INDEX(PARAMETRES!$D$536:$D$586,MATCH(R63,PARAMETRES!$J$536:$J$586,0)),"")</f>
        <v/>
      </c>
      <c r="U63" s="61" t="str">
        <f aca="false">IFERROR(INDEX(PARAMETRES!$F$536:$F$586,MATCH(R63,PARAMETRES!$J$536:$J$586,0)),"")</f>
        <v/>
      </c>
      <c r="V63" s="61" t="str">
        <f aca="false">IFERROR(INDEX(PARAMETRES!$G$536:$G$586,MATCH(R63,PARAMETRES!$J$536:$J$586,0)),"")</f>
        <v/>
      </c>
      <c r="W63" s="65"/>
      <c r="X63" s="79"/>
      <c r="Y63" s="79"/>
      <c r="Z63" s="79"/>
      <c r="AA63" s="79"/>
      <c r="AB63" s="61" t="str">
        <f aca="false">IF(OR(X63="",Z63=""),"",Z63-X63)</f>
        <v/>
      </c>
      <c r="AC63" s="61" t="str">
        <f aca="false">IF(OR(Y63="",AA63=""),"",AA63-Y63)</f>
        <v/>
      </c>
      <c r="AD63" s="65"/>
      <c r="AE63" s="65"/>
      <c r="AF63" s="80"/>
      <c r="AG63" s="80"/>
      <c r="AH63" s="81" t="n">
        <f aca="false">IF(A63="",0,SUMIF(tbl_Projets_Financements[ID Projet],A63,tbl_Projets_Financements[Montant recu]))</f>
        <v>0</v>
      </c>
      <c r="AI63" s="80"/>
      <c r="AJ63" s="81" t="n">
        <f aca="false">IF(AG63="",0,AG63)-IF(AI63="",0,AI63)</f>
        <v>0</v>
      </c>
      <c r="AK63" s="81" t="n">
        <f aca="false">AH63-AI63</f>
        <v>0</v>
      </c>
      <c r="AL63" s="82" t="n">
        <f aca="false">IF(OR(AG63="",AG63=0),0,AI63/AG63)</f>
        <v>0</v>
      </c>
      <c r="AM63" s="80"/>
      <c r="AN63" s="80"/>
      <c r="AO63" s="80"/>
      <c r="AP63" s="80"/>
      <c r="AQ63" s="80"/>
      <c r="AR63" s="80"/>
      <c r="AS63" s="61" t="n">
        <f aca="false">IF(A63="",0,COUNTIFS(tbl_Beneficiaires[ID projet],A63))</f>
        <v>0</v>
      </c>
      <c r="AT63" s="61" t="n">
        <f aca="false">IF(A63="",0,COUNTIFS(tbl_Beneficiaires[ID projet],A63,tbl_Beneficiaires[Sexe],"Feminin"))</f>
        <v>0</v>
      </c>
      <c r="AU63" s="61" t="n">
        <f aca="false">IF(A63="",0,COUNTIFS(tbl_Beneficiaires[ID projet],A63,tbl_Beneficiaires[Sexe],"Masculin"))</f>
        <v>0</v>
      </c>
      <c r="AV63" s="61" t="n">
        <f aca="false">IF(A63="",0,COUNTIFS(tbl_Beneficiaires[ID projet],A63,tbl_Beneficiaires[Menage vulnerable],"Oui"))</f>
        <v>0</v>
      </c>
      <c r="AW63" s="61" t="n">
        <f aca="false">IF(A63="",0,COUNTIFS(tbl_Beneficiaires[ID projet],A63,tbl_Beneficiaires[Handicap],"Oui"))</f>
        <v>0</v>
      </c>
      <c r="AX63" s="80"/>
      <c r="AY63" s="80"/>
      <c r="AZ63" s="80"/>
      <c r="BA63" s="80"/>
      <c r="BB63" s="80"/>
      <c r="BC63" s="82" t="n">
        <f aca="false">IF(OR(AX63="",AX63=0),0,BA63/AX63)</f>
        <v>0</v>
      </c>
      <c r="BD63" s="83"/>
      <c r="BE63" s="61" t="str">
        <f aca="true">IF(A63="","",IF(AND(Z63&lt;&gt;"",TODAY()&gt;Z63,NOT(OR(AD63="Termine",AD63="Cloture",AD63="Annule",AD63="Non retenu"))),"OUI","NON"))</f>
        <v/>
      </c>
      <c r="BF63" s="61" t="str">
        <f aca="true">IF(A63="","",IF(AND(Z63&lt;&gt;"",(Z63-TODAY())&gt;=0,(Z63-TODAY())&lt;=30,NOT(OR(AD63="Termine",AD63="Cloture",AD63="Annule",AD63="Non retenu"))),"OUI","NON"))</f>
        <v/>
      </c>
      <c r="BG63" s="61" t="str">
        <f aca="false">IF(A63="","",IF(AI63&gt;AG63,"OUI","NON"))</f>
        <v/>
      </c>
      <c r="BH63" s="61" t="str">
        <f aca="false">IF(A63="","",IF(AH63&lt;AG63,"OUI","NON"))</f>
        <v/>
      </c>
      <c r="BI63" s="78"/>
    </row>
    <row r="64" customFormat="false" ht="15" hidden="false" customHeight="true" outlineLevel="0" collapsed="false">
      <c r="A64" s="61" t="str">
        <f aca="false">IF(C64="","","PROJ"&amp;TEXT(ROW()-55,"0000"))</f>
        <v/>
      </c>
      <c r="B64" s="65"/>
      <c r="C64" s="65"/>
      <c r="D64" s="65"/>
      <c r="E64" s="78"/>
      <c r="F64" s="78"/>
      <c r="G64" s="78"/>
      <c r="H64" s="78"/>
      <c r="I64" s="78"/>
      <c r="J64" s="65"/>
      <c r="K64" s="65"/>
      <c r="L64" s="78"/>
      <c r="M64" s="65"/>
      <c r="N64" s="65"/>
      <c r="O64" s="65"/>
      <c r="P64" s="65"/>
      <c r="Q64" s="65"/>
      <c r="R64" s="65"/>
      <c r="S64" s="61" t="str">
        <f aca="false">IFERROR(INDEX(PARAMETRES!$B$536:$B$586,MATCH(R64,PARAMETRES!$J$536:$J$586,0)),"")</f>
        <v/>
      </c>
      <c r="T64" s="61" t="str">
        <f aca="false">IFERROR(INDEX(PARAMETRES!$D$536:$D$586,MATCH(R64,PARAMETRES!$J$536:$J$586,0)),"")</f>
        <v/>
      </c>
      <c r="U64" s="61" t="str">
        <f aca="false">IFERROR(INDEX(PARAMETRES!$F$536:$F$586,MATCH(R64,PARAMETRES!$J$536:$J$586,0)),"")</f>
        <v/>
      </c>
      <c r="V64" s="61" t="str">
        <f aca="false">IFERROR(INDEX(PARAMETRES!$G$536:$G$586,MATCH(R64,PARAMETRES!$J$536:$J$586,0)),"")</f>
        <v/>
      </c>
      <c r="W64" s="65"/>
      <c r="X64" s="79"/>
      <c r="Y64" s="79"/>
      <c r="Z64" s="79"/>
      <c r="AA64" s="79"/>
      <c r="AB64" s="61" t="str">
        <f aca="false">IF(OR(X64="",Z64=""),"",Z64-X64)</f>
        <v/>
      </c>
      <c r="AC64" s="61" t="str">
        <f aca="false">IF(OR(Y64="",AA64=""),"",AA64-Y64)</f>
        <v/>
      </c>
      <c r="AD64" s="65"/>
      <c r="AE64" s="65"/>
      <c r="AF64" s="80"/>
      <c r="AG64" s="80"/>
      <c r="AH64" s="81" t="n">
        <f aca="false">IF(A64="",0,SUMIF(tbl_Projets_Financements[ID Projet],A64,tbl_Projets_Financements[Montant recu]))</f>
        <v>0</v>
      </c>
      <c r="AI64" s="80"/>
      <c r="AJ64" s="81" t="n">
        <f aca="false">IF(AG64="",0,AG64)-IF(AI64="",0,AI64)</f>
        <v>0</v>
      </c>
      <c r="AK64" s="81" t="n">
        <f aca="false">AH64-AI64</f>
        <v>0</v>
      </c>
      <c r="AL64" s="82" t="n">
        <f aca="false">IF(OR(AG64="",AG64=0),0,AI64/AG64)</f>
        <v>0</v>
      </c>
      <c r="AM64" s="80"/>
      <c r="AN64" s="80"/>
      <c r="AO64" s="80"/>
      <c r="AP64" s="80"/>
      <c r="AQ64" s="80"/>
      <c r="AR64" s="80"/>
      <c r="AS64" s="61" t="n">
        <f aca="false">IF(A64="",0,COUNTIFS(tbl_Beneficiaires[ID projet],A64))</f>
        <v>0</v>
      </c>
      <c r="AT64" s="61" t="n">
        <f aca="false">IF(A64="",0,COUNTIFS(tbl_Beneficiaires[ID projet],A64,tbl_Beneficiaires[Sexe],"Feminin"))</f>
        <v>0</v>
      </c>
      <c r="AU64" s="61" t="n">
        <f aca="false">IF(A64="",0,COUNTIFS(tbl_Beneficiaires[ID projet],A64,tbl_Beneficiaires[Sexe],"Masculin"))</f>
        <v>0</v>
      </c>
      <c r="AV64" s="61" t="n">
        <f aca="false">IF(A64="",0,COUNTIFS(tbl_Beneficiaires[ID projet],A64,tbl_Beneficiaires[Menage vulnerable],"Oui"))</f>
        <v>0</v>
      </c>
      <c r="AW64" s="61" t="n">
        <f aca="false">IF(A64="",0,COUNTIFS(tbl_Beneficiaires[ID projet],A64,tbl_Beneficiaires[Handicap],"Oui"))</f>
        <v>0</v>
      </c>
      <c r="AX64" s="80"/>
      <c r="AY64" s="80"/>
      <c r="AZ64" s="80"/>
      <c r="BA64" s="80"/>
      <c r="BB64" s="80"/>
      <c r="BC64" s="82" t="n">
        <f aca="false">IF(OR(AX64="",AX64=0),0,BA64/AX64)</f>
        <v>0</v>
      </c>
      <c r="BD64" s="83"/>
      <c r="BE64" s="61" t="str">
        <f aca="true">IF(A64="","",IF(AND(Z64&lt;&gt;"",TODAY()&gt;Z64,NOT(OR(AD64="Termine",AD64="Cloture",AD64="Annule",AD64="Non retenu"))),"OUI","NON"))</f>
        <v/>
      </c>
      <c r="BF64" s="61" t="str">
        <f aca="true">IF(A64="","",IF(AND(Z64&lt;&gt;"",(Z64-TODAY())&gt;=0,(Z64-TODAY())&lt;=30,NOT(OR(AD64="Termine",AD64="Cloture",AD64="Annule",AD64="Non retenu"))),"OUI","NON"))</f>
        <v/>
      </c>
      <c r="BG64" s="61" t="str">
        <f aca="false">IF(A64="","",IF(AI64&gt;AG64,"OUI","NON"))</f>
        <v/>
      </c>
      <c r="BH64" s="61" t="str">
        <f aca="false">IF(A64="","",IF(AH64&lt;AG64,"OUI","NON"))</f>
        <v/>
      </c>
      <c r="BI64" s="78"/>
    </row>
    <row r="65" customFormat="false" ht="15" hidden="false" customHeight="true" outlineLevel="0" collapsed="false">
      <c r="A65" s="61" t="str">
        <f aca="false">IF(C65="","","PROJ"&amp;TEXT(ROW()-55,"0000"))</f>
        <v/>
      </c>
      <c r="B65" s="65"/>
      <c r="C65" s="65"/>
      <c r="D65" s="65"/>
      <c r="E65" s="78"/>
      <c r="F65" s="78"/>
      <c r="G65" s="78"/>
      <c r="H65" s="78"/>
      <c r="I65" s="78"/>
      <c r="J65" s="65"/>
      <c r="K65" s="65"/>
      <c r="L65" s="78"/>
      <c r="M65" s="65"/>
      <c r="N65" s="65"/>
      <c r="O65" s="65"/>
      <c r="P65" s="65"/>
      <c r="Q65" s="65"/>
      <c r="R65" s="65"/>
      <c r="S65" s="61" t="str">
        <f aca="false">IFERROR(INDEX(PARAMETRES!$B$536:$B$586,MATCH(R65,PARAMETRES!$J$536:$J$586,0)),"")</f>
        <v/>
      </c>
      <c r="T65" s="61" t="str">
        <f aca="false">IFERROR(INDEX(PARAMETRES!$D$536:$D$586,MATCH(R65,PARAMETRES!$J$536:$J$586,0)),"")</f>
        <v/>
      </c>
      <c r="U65" s="61" t="str">
        <f aca="false">IFERROR(INDEX(PARAMETRES!$F$536:$F$586,MATCH(R65,PARAMETRES!$J$536:$J$586,0)),"")</f>
        <v/>
      </c>
      <c r="V65" s="61" t="str">
        <f aca="false">IFERROR(INDEX(PARAMETRES!$G$536:$G$586,MATCH(R65,PARAMETRES!$J$536:$J$586,0)),"")</f>
        <v/>
      </c>
      <c r="W65" s="65"/>
      <c r="X65" s="79"/>
      <c r="Y65" s="79"/>
      <c r="Z65" s="79"/>
      <c r="AA65" s="79"/>
      <c r="AB65" s="61" t="str">
        <f aca="false">IF(OR(X65="",Z65=""),"",Z65-X65)</f>
        <v/>
      </c>
      <c r="AC65" s="61" t="str">
        <f aca="false">IF(OR(Y65="",AA65=""),"",AA65-Y65)</f>
        <v/>
      </c>
      <c r="AD65" s="65"/>
      <c r="AE65" s="65"/>
      <c r="AF65" s="80"/>
      <c r="AG65" s="80"/>
      <c r="AH65" s="81" t="n">
        <f aca="false">IF(A65="",0,SUMIF(tbl_Projets_Financements[ID Projet],A65,tbl_Projets_Financements[Montant recu]))</f>
        <v>0</v>
      </c>
      <c r="AI65" s="80"/>
      <c r="AJ65" s="81" t="n">
        <f aca="false">IF(AG65="",0,AG65)-IF(AI65="",0,AI65)</f>
        <v>0</v>
      </c>
      <c r="AK65" s="81" t="n">
        <f aca="false">AH65-AI65</f>
        <v>0</v>
      </c>
      <c r="AL65" s="82" t="n">
        <f aca="false">IF(OR(AG65="",AG65=0),0,AI65/AG65)</f>
        <v>0</v>
      </c>
      <c r="AM65" s="80"/>
      <c r="AN65" s="80"/>
      <c r="AO65" s="80"/>
      <c r="AP65" s="80"/>
      <c r="AQ65" s="80"/>
      <c r="AR65" s="80"/>
      <c r="AS65" s="61" t="n">
        <f aca="false">IF(A65="",0,COUNTIFS(tbl_Beneficiaires[ID projet],A65))</f>
        <v>0</v>
      </c>
      <c r="AT65" s="61" t="n">
        <f aca="false">IF(A65="",0,COUNTIFS(tbl_Beneficiaires[ID projet],A65,tbl_Beneficiaires[Sexe],"Feminin"))</f>
        <v>0</v>
      </c>
      <c r="AU65" s="61" t="n">
        <f aca="false">IF(A65="",0,COUNTIFS(tbl_Beneficiaires[ID projet],A65,tbl_Beneficiaires[Sexe],"Masculin"))</f>
        <v>0</v>
      </c>
      <c r="AV65" s="61" t="n">
        <f aca="false">IF(A65="",0,COUNTIFS(tbl_Beneficiaires[ID projet],A65,tbl_Beneficiaires[Menage vulnerable],"Oui"))</f>
        <v>0</v>
      </c>
      <c r="AW65" s="61" t="n">
        <f aca="false">IF(A65="",0,COUNTIFS(tbl_Beneficiaires[ID projet],A65,tbl_Beneficiaires[Handicap],"Oui"))</f>
        <v>0</v>
      </c>
      <c r="AX65" s="80"/>
      <c r="AY65" s="80"/>
      <c r="AZ65" s="80"/>
      <c r="BA65" s="80"/>
      <c r="BB65" s="80"/>
      <c r="BC65" s="82" t="n">
        <f aca="false">IF(OR(AX65="",AX65=0),0,BA65/AX65)</f>
        <v>0</v>
      </c>
      <c r="BD65" s="83"/>
      <c r="BE65" s="61" t="str">
        <f aca="true">IF(A65="","",IF(AND(Z65&lt;&gt;"",TODAY()&gt;Z65,NOT(OR(AD65="Termine",AD65="Cloture",AD65="Annule",AD65="Non retenu"))),"OUI","NON"))</f>
        <v/>
      </c>
      <c r="BF65" s="61" t="str">
        <f aca="true">IF(A65="","",IF(AND(Z65&lt;&gt;"",(Z65-TODAY())&gt;=0,(Z65-TODAY())&lt;=30,NOT(OR(AD65="Termine",AD65="Cloture",AD65="Annule",AD65="Non retenu"))),"OUI","NON"))</f>
        <v/>
      </c>
      <c r="BG65" s="61" t="str">
        <f aca="false">IF(A65="","",IF(AI65&gt;AG65,"OUI","NON"))</f>
        <v/>
      </c>
      <c r="BH65" s="61" t="str">
        <f aca="false">IF(A65="","",IF(AH65&lt;AG65,"OUI","NON"))</f>
        <v/>
      </c>
      <c r="BI65" s="78"/>
    </row>
    <row r="66" customFormat="false" ht="15" hidden="false" customHeight="true" outlineLevel="0" collapsed="false">
      <c r="A66" s="61" t="str">
        <f aca="false">IF(C66="","","PROJ"&amp;TEXT(ROW()-55,"0000"))</f>
        <v/>
      </c>
      <c r="B66" s="65"/>
      <c r="C66" s="65"/>
      <c r="D66" s="65"/>
      <c r="E66" s="78"/>
      <c r="F66" s="78"/>
      <c r="G66" s="78"/>
      <c r="H66" s="78"/>
      <c r="I66" s="78"/>
      <c r="J66" s="65"/>
      <c r="K66" s="65"/>
      <c r="L66" s="78"/>
      <c r="M66" s="65"/>
      <c r="N66" s="65"/>
      <c r="O66" s="65"/>
      <c r="P66" s="65"/>
      <c r="Q66" s="65"/>
      <c r="R66" s="65"/>
      <c r="S66" s="61" t="str">
        <f aca="false">IFERROR(INDEX(PARAMETRES!$B$536:$B$586,MATCH(R66,PARAMETRES!$J$536:$J$586,0)),"")</f>
        <v/>
      </c>
      <c r="T66" s="61" t="str">
        <f aca="false">IFERROR(INDEX(PARAMETRES!$D$536:$D$586,MATCH(R66,PARAMETRES!$J$536:$J$586,0)),"")</f>
        <v/>
      </c>
      <c r="U66" s="61" t="str">
        <f aca="false">IFERROR(INDEX(PARAMETRES!$F$536:$F$586,MATCH(R66,PARAMETRES!$J$536:$J$586,0)),"")</f>
        <v/>
      </c>
      <c r="V66" s="61" t="str">
        <f aca="false">IFERROR(INDEX(PARAMETRES!$G$536:$G$586,MATCH(R66,PARAMETRES!$J$536:$J$586,0)),"")</f>
        <v/>
      </c>
      <c r="W66" s="65"/>
      <c r="X66" s="79"/>
      <c r="Y66" s="79"/>
      <c r="Z66" s="79"/>
      <c r="AA66" s="79"/>
      <c r="AB66" s="61" t="str">
        <f aca="false">IF(OR(X66="",Z66=""),"",Z66-X66)</f>
        <v/>
      </c>
      <c r="AC66" s="61" t="str">
        <f aca="false">IF(OR(Y66="",AA66=""),"",AA66-Y66)</f>
        <v/>
      </c>
      <c r="AD66" s="65"/>
      <c r="AE66" s="65"/>
      <c r="AF66" s="80"/>
      <c r="AG66" s="80"/>
      <c r="AH66" s="81" t="n">
        <f aca="false">IF(A66="",0,SUMIF(tbl_Projets_Financements[ID Projet],A66,tbl_Projets_Financements[Montant recu]))</f>
        <v>0</v>
      </c>
      <c r="AI66" s="80"/>
      <c r="AJ66" s="81" t="n">
        <f aca="false">IF(AG66="",0,AG66)-IF(AI66="",0,AI66)</f>
        <v>0</v>
      </c>
      <c r="AK66" s="81" t="n">
        <f aca="false">AH66-AI66</f>
        <v>0</v>
      </c>
      <c r="AL66" s="82" t="n">
        <f aca="false">IF(OR(AG66="",AG66=0),0,AI66/AG66)</f>
        <v>0</v>
      </c>
      <c r="AM66" s="80"/>
      <c r="AN66" s="80"/>
      <c r="AO66" s="80"/>
      <c r="AP66" s="80"/>
      <c r="AQ66" s="80"/>
      <c r="AR66" s="80"/>
      <c r="AS66" s="61" t="n">
        <f aca="false">IF(A66="",0,COUNTIFS(tbl_Beneficiaires[ID projet],A66))</f>
        <v>0</v>
      </c>
      <c r="AT66" s="61" t="n">
        <f aca="false">IF(A66="",0,COUNTIFS(tbl_Beneficiaires[ID projet],A66,tbl_Beneficiaires[Sexe],"Feminin"))</f>
        <v>0</v>
      </c>
      <c r="AU66" s="61" t="n">
        <f aca="false">IF(A66="",0,COUNTIFS(tbl_Beneficiaires[ID projet],A66,tbl_Beneficiaires[Sexe],"Masculin"))</f>
        <v>0</v>
      </c>
      <c r="AV66" s="61" t="n">
        <f aca="false">IF(A66="",0,COUNTIFS(tbl_Beneficiaires[ID projet],A66,tbl_Beneficiaires[Menage vulnerable],"Oui"))</f>
        <v>0</v>
      </c>
      <c r="AW66" s="61" t="n">
        <f aca="false">IF(A66="",0,COUNTIFS(tbl_Beneficiaires[ID projet],A66,tbl_Beneficiaires[Handicap],"Oui"))</f>
        <v>0</v>
      </c>
      <c r="AX66" s="80"/>
      <c r="AY66" s="80"/>
      <c r="AZ66" s="80"/>
      <c r="BA66" s="80"/>
      <c r="BB66" s="80"/>
      <c r="BC66" s="82" t="n">
        <f aca="false">IF(OR(AX66="",AX66=0),0,BA66/AX66)</f>
        <v>0</v>
      </c>
      <c r="BD66" s="83"/>
      <c r="BE66" s="61" t="str">
        <f aca="true">IF(A66="","",IF(AND(Z66&lt;&gt;"",TODAY()&gt;Z66,NOT(OR(AD66="Termine",AD66="Cloture",AD66="Annule",AD66="Non retenu"))),"OUI","NON"))</f>
        <v/>
      </c>
      <c r="BF66" s="61" t="str">
        <f aca="true">IF(A66="","",IF(AND(Z66&lt;&gt;"",(Z66-TODAY())&gt;=0,(Z66-TODAY())&lt;=30,NOT(OR(AD66="Termine",AD66="Cloture",AD66="Annule",AD66="Non retenu"))),"OUI","NON"))</f>
        <v/>
      </c>
      <c r="BG66" s="61" t="str">
        <f aca="false">IF(A66="","",IF(AI66&gt;AG66,"OUI","NON"))</f>
        <v/>
      </c>
      <c r="BH66" s="61" t="str">
        <f aca="false">IF(A66="","",IF(AH66&lt;AG66,"OUI","NON"))</f>
        <v/>
      </c>
      <c r="BI66" s="78"/>
    </row>
    <row r="67" customFormat="false" ht="15" hidden="false" customHeight="true" outlineLevel="0" collapsed="false">
      <c r="A67" s="61" t="str">
        <f aca="false">IF(C67="","","PROJ"&amp;TEXT(ROW()-55,"0000"))</f>
        <v/>
      </c>
      <c r="B67" s="65"/>
      <c r="C67" s="65"/>
      <c r="D67" s="65"/>
      <c r="E67" s="78"/>
      <c r="F67" s="78"/>
      <c r="G67" s="78"/>
      <c r="H67" s="78"/>
      <c r="I67" s="78"/>
      <c r="J67" s="65"/>
      <c r="K67" s="65"/>
      <c r="L67" s="78"/>
      <c r="M67" s="65"/>
      <c r="N67" s="65"/>
      <c r="O67" s="65"/>
      <c r="P67" s="65"/>
      <c r="Q67" s="65"/>
      <c r="R67" s="65"/>
      <c r="S67" s="61" t="str">
        <f aca="false">IFERROR(INDEX(PARAMETRES!$B$536:$B$586,MATCH(R67,PARAMETRES!$J$536:$J$586,0)),"")</f>
        <v/>
      </c>
      <c r="T67" s="61" t="str">
        <f aca="false">IFERROR(INDEX(PARAMETRES!$D$536:$D$586,MATCH(R67,PARAMETRES!$J$536:$J$586,0)),"")</f>
        <v/>
      </c>
      <c r="U67" s="61" t="str">
        <f aca="false">IFERROR(INDEX(PARAMETRES!$F$536:$F$586,MATCH(R67,PARAMETRES!$J$536:$J$586,0)),"")</f>
        <v/>
      </c>
      <c r="V67" s="61" t="str">
        <f aca="false">IFERROR(INDEX(PARAMETRES!$G$536:$G$586,MATCH(R67,PARAMETRES!$J$536:$J$586,0)),"")</f>
        <v/>
      </c>
      <c r="W67" s="65"/>
      <c r="X67" s="79"/>
      <c r="Y67" s="79"/>
      <c r="Z67" s="79"/>
      <c r="AA67" s="79"/>
      <c r="AB67" s="61" t="str">
        <f aca="false">IF(OR(X67="",Z67=""),"",Z67-X67)</f>
        <v/>
      </c>
      <c r="AC67" s="61" t="str">
        <f aca="false">IF(OR(Y67="",AA67=""),"",AA67-Y67)</f>
        <v/>
      </c>
      <c r="AD67" s="65"/>
      <c r="AE67" s="65"/>
      <c r="AF67" s="80"/>
      <c r="AG67" s="80"/>
      <c r="AH67" s="81" t="n">
        <f aca="false">IF(A67="",0,SUMIF(tbl_Projets_Financements[ID Projet],A67,tbl_Projets_Financements[Montant recu]))</f>
        <v>0</v>
      </c>
      <c r="AI67" s="80"/>
      <c r="AJ67" s="81" t="n">
        <f aca="false">IF(AG67="",0,AG67)-IF(AI67="",0,AI67)</f>
        <v>0</v>
      </c>
      <c r="AK67" s="81" t="n">
        <f aca="false">AH67-AI67</f>
        <v>0</v>
      </c>
      <c r="AL67" s="82" t="n">
        <f aca="false">IF(OR(AG67="",AG67=0),0,AI67/AG67)</f>
        <v>0</v>
      </c>
      <c r="AM67" s="80"/>
      <c r="AN67" s="80"/>
      <c r="AO67" s="80"/>
      <c r="AP67" s="80"/>
      <c r="AQ67" s="80"/>
      <c r="AR67" s="80"/>
      <c r="AS67" s="61" t="n">
        <f aca="false">IF(A67="",0,COUNTIFS(tbl_Beneficiaires[ID projet],A67))</f>
        <v>0</v>
      </c>
      <c r="AT67" s="61" t="n">
        <f aca="false">IF(A67="",0,COUNTIFS(tbl_Beneficiaires[ID projet],A67,tbl_Beneficiaires[Sexe],"Feminin"))</f>
        <v>0</v>
      </c>
      <c r="AU67" s="61" t="n">
        <f aca="false">IF(A67="",0,COUNTIFS(tbl_Beneficiaires[ID projet],A67,tbl_Beneficiaires[Sexe],"Masculin"))</f>
        <v>0</v>
      </c>
      <c r="AV67" s="61" t="n">
        <f aca="false">IF(A67="",0,COUNTIFS(tbl_Beneficiaires[ID projet],A67,tbl_Beneficiaires[Menage vulnerable],"Oui"))</f>
        <v>0</v>
      </c>
      <c r="AW67" s="61" t="n">
        <f aca="false">IF(A67="",0,COUNTIFS(tbl_Beneficiaires[ID projet],A67,tbl_Beneficiaires[Handicap],"Oui"))</f>
        <v>0</v>
      </c>
      <c r="AX67" s="80"/>
      <c r="AY67" s="80"/>
      <c r="AZ67" s="80"/>
      <c r="BA67" s="80"/>
      <c r="BB67" s="80"/>
      <c r="BC67" s="82" t="n">
        <f aca="false">IF(OR(AX67="",AX67=0),0,BA67/AX67)</f>
        <v>0</v>
      </c>
      <c r="BD67" s="83"/>
      <c r="BE67" s="61" t="str">
        <f aca="true">IF(A67="","",IF(AND(Z67&lt;&gt;"",TODAY()&gt;Z67,NOT(OR(AD67="Termine",AD67="Cloture",AD67="Annule",AD67="Non retenu"))),"OUI","NON"))</f>
        <v/>
      </c>
      <c r="BF67" s="61" t="str">
        <f aca="true">IF(A67="","",IF(AND(Z67&lt;&gt;"",(Z67-TODAY())&gt;=0,(Z67-TODAY())&lt;=30,NOT(OR(AD67="Termine",AD67="Cloture",AD67="Annule",AD67="Non retenu"))),"OUI","NON"))</f>
        <v/>
      </c>
      <c r="BG67" s="61" t="str">
        <f aca="false">IF(A67="","",IF(AI67&gt;AG67,"OUI","NON"))</f>
        <v/>
      </c>
      <c r="BH67" s="61" t="str">
        <f aca="false">IF(A67="","",IF(AH67&lt;AG67,"OUI","NON"))</f>
        <v/>
      </c>
      <c r="BI67" s="78"/>
    </row>
    <row r="68" customFormat="false" ht="15" hidden="false" customHeight="true" outlineLevel="0" collapsed="false">
      <c r="A68" s="61" t="str">
        <f aca="false">IF(C68="","","PROJ"&amp;TEXT(ROW()-55,"0000"))</f>
        <v/>
      </c>
      <c r="B68" s="65"/>
      <c r="C68" s="65"/>
      <c r="D68" s="65"/>
      <c r="E68" s="78"/>
      <c r="F68" s="78"/>
      <c r="G68" s="78"/>
      <c r="H68" s="78"/>
      <c r="I68" s="78"/>
      <c r="J68" s="65"/>
      <c r="K68" s="65"/>
      <c r="L68" s="78"/>
      <c r="M68" s="65"/>
      <c r="N68" s="65"/>
      <c r="O68" s="65"/>
      <c r="P68" s="65"/>
      <c r="Q68" s="65"/>
      <c r="R68" s="65"/>
      <c r="S68" s="61" t="str">
        <f aca="false">IFERROR(INDEX(PARAMETRES!$B$536:$B$586,MATCH(R68,PARAMETRES!$J$536:$J$586,0)),"")</f>
        <v/>
      </c>
      <c r="T68" s="61" t="str">
        <f aca="false">IFERROR(INDEX(PARAMETRES!$D$536:$D$586,MATCH(R68,PARAMETRES!$J$536:$J$586,0)),"")</f>
        <v/>
      </c>
      <c r="U68" s="61" t="str">
        <f aca="false">IFERROR(INDEX(PARAMETRES!$F$536:$F$586,MATCH(R68,PARAMETRES!$J$536:$J$586,0)),"")</f>
        <v/>
      </c>
      <c r="V68" s="61" t="str">
        <f aca="false">IFERROR(INDEX(PARAMETRES!$G$536:$G$586,MATCH(R68,PARAMETRES!$J$536:$J$586,0)),"")</f>
        <v/>
      </c>
      <c r="W68" s="65"/>
      <c r="X68" s="79"/>
      <c r="Y68" s="79"/>
      <c r="Z68" s="79"/>
      <c r="AA68" s="79"/>
      <c r="AB68" s="61" t="str">
        <f aca="false">IF(OR(X68="",Z68=""),"",Z68-X68)</f>
        <v/>
      </c>
      <c r="AC68" s="61" t="str">
        <f aca="false">IF(OR(Y68="",AA68=""),"",AA68-Y68)</f>
        <v/>
      </c>
      <c r="AD68" s="65"/>
      <c r="AE68" s="65"/>
      <c r="AF68" s="80"/>
      <c r="AG68" s="80"/>
      <c r="AH68" s="81" t="n">
        <f aca="false">IF(A68="",0,SUMIF(tbl_Projets_Financements[ID Projet],A68,tbl_Projets_Financements[Montant recu]))</f>
        <v>0</v>
      </c>
      <c r="AI68" s="80"/>
      <c r="AJ68" s="81" t="n">
        <f aca="false">IF(AG68="",0,AG68)-IF(AI68="",0,AI68)</f>
        <v>0</v>
      </c>
      <c r="AK68" s="81" t="n">
        <f aca="false">AH68-AI68</f>
        <v>0</v>
      </c>
      <c r="AL68" s="82" t="n">
        <f aca="false">IF(OR(AG68="",AG68=0),0,AI68/AG68)</f>
        <v>0</v>
      </c>
      <c r="AM68" s="80"/>
      <c r="AN68" s="80"/>
      <c r="AO68" s="80"/>
      <c r="AP68" s="80"/>
      <c r="AQ68" s="80"/>
      <c r="AR68" s="80"/>
      <c r="AS68" s="61" t="n">
        <f aca="false">IF(A68="",0,COUNTIFS(tbl_Beneficiaires[ID projet],A68))</f>
        <v>0</v>
      </c>
      <c r="AT68" s="61" t="n">
        <f aca="false">IF(A68="",0,COUNTIFS(tbl_Beneficiaires[ID projet],A68,tbl_Beneficiaires[Sexe],"Feminin"))</f>
        <v>0</v>
      </c>
      <c r="AU68" s="61" t="n">
        <f aca="false">IF(A68="",0,COUNTIFS(tbl_Beneficiaires[ID projet],A68,tbl_Beneficiaires[Sexe],"Masculin"))</f>
        <v>0</v>
      </c>
      <c r="AV68" s="61" t="n">
        <f aca="false">IF(A68="",0,COUNTIFS(tbl_Beneficiaires[ID projet],A68,tbl_Beneficiaires[Menage vulnerable],"Oui"))</f>
        <v>0</v>
      </c>
      <c r="AW68" s="61" t="n">
        <f aca="false">IF(A68="",0,COUNTIFS(tbl_Beneficiaires[ID projet],A68,tbl_Beneficiaires[Handicap],"Oui"))</f>
        <v>0</v>
      </c>
      <c r="AX68" s="80"/>
      <c r="AY68" s="80"/>
      <c r="AZ68" s="80"/>
      <c r="BA68" s="80"/>
      <c r="BB68" s="80"/>
      <c r="BC68" s="82" t="n">
        <f aca="false">IF(OR(AX68="",AX68=0),0,BA68/AX68)</f>
        <v>0</v>
      </c>
      <c r="BD68" s="83"/>
      <c r="BE68" s="61" t="str">
        <f aca="true">IF(A68="","",IF(AND(Z68&lt;&gt;"",TODAY()&gt;Z68,NOT(OR(AD68="Termine",AD68="Cloture",AD68="Annule",AD68="Non retenu"))),"OUI","NON"))</f>
        <v/>
      </c>
      <c r="BF68" s="61" t="str">
        <f aca="true">IF(A68="","",IF(AND(Z68&lt;&gt;"",(Z68-TODAY())&gt;=0,(Z68-TODAY())&lt;=30,NOT(OR(AD68="Termine",AD68="Cloture",AD68="Annule",AD68="Non retenu"))),"OUI","NON"))</f>
        <v/>
      </c>
      <c r="BG68" s="61" t="str">
        <f aca="false">IF(A68="","",IF(AI68&gt;AG68,"OUI","NON"))</f>
        <v/>
      </c>
      <c r="BH68" s="61" t="str">
        <f aca="false">IF(A68="","",IF(AH68&lt;AG68,"OUI","NON"))</f>
        <v/>
      </c>
      <c r="BI68" s="78"/>
    </row>
    <row r="69" customFormat="false" ht="15" hidden="false" customHeight="true" outlineLevel="0" collapsed="false">
      <c r="A69" s="61" t="str">
        <f aca="false">IF(C69="","","PROJ"&amp;TEXT(ROW()-55,"0000"))</f>
        <v/>
      </c>
      <c r="B69" s="65"/>
      <c r="C69" s="65"/>
      <c r="D69" s="65"/>
      <c r="E69" s="78"/>
      <c r="F69" s="78"/>
      <c r="G69" s="78"/>
      <c r="H69" s="78"/>
      <c r="I69" s="78"/>
      <c r="J69" s="65"/>
      <c r="K69" s="65"/>
      <c r="L69" s="78"/>
      <c r="M69" s="65"/>
      <c r="N69" s="65"/>
      <c r="O69" s="65"/>
      <c r="P69" s="65"/>
      <c r="Q69" s="65"/>
      <c r="R69" s="65"/>
      <c r="S69" s="61" t="str">
        <f aca="false">IFERROR(INDEX(PARAMETRES!$B$536:$B$586,MATCH(R69,PARAMETRES!$J$536:$J$586,0)),"")</f>
        <v/>
      </c>
      <c r="T69" s="61" t="str">
        <f aca="false">IFERROR(INDEX(PARAMETRES!$D$536:$D$586,MATCH(R69,PARAMETRES!$J$536:$J$586,0)),"")</f>
        <v/>
      </c>
      <c r="U69" s="61" t="str">
        <f aca="false">IFERROR(INDEX(PARAMETRES!$F$536:$F$586,MATCH(R69,PARAMETRES!$J$536:$J$586,0)),"")</f>
        <v/>
      </c>
      <c r="V69" s="61" t="str">
        <f aca="false">IFERROR(INDEX(PARAMETRES!$G$536:$G$586,MATCH(R69,PARAMETRES!$J$536:$J$586,0)),"")</f>
        <v/>
      </c>
      <c r="W69" s="65"/>
      <c r="X69" s="79"/>
      <c r="Y69" s="79"/>
      <c r="Z69" s="79"/>
      <c r="AA69" s="79"/>
      <c r="AB69" s="61" t="str">
        <f aca="false">IF(OR(X69="",Z69=""),"",Z69-X69)</f>
        <v/>
      </c>
      <c r="AC69" s="61" t="str">
        <f aca="false">IF(OR(Y69="",AA69=""),"",AA69-Y69)</f>
        <v/>
      </c>
      <c r="AD69" s="65"/>
      <c r="AE69" s="65"/>
      <c r="AF69" s="80"/>
      <c r="AG69" s="80"/>
      <c r="AH69" s="81" t="n">
        <f aca="false">IF(A69="",0,SUMIF(tbl_Projets_Financements[ID Projet],A69,tbl_Projets_Financements[Montant recu]))</f>
        <v>0</v>
      </c>
      <c r="AI69" s="80"/>
      <c r="AJ69" s="81" t="n">
        <f aca="false">IF(AG69="",0,AG69)-IF(AI69="",0,AI69)</f>
        <v>0</v>
      </c>
      <c r="AK69" s="81" t="n">
        <f aca="false">AH69-AI69</f>
        <v>0</v>
      </c>
      <c r="AL69" s="82" t="n">
        <f aca="false">IF(OR(AG69="",AG69=0),0,AI69/AG69)</f>
        <v>0</v>
      </c>
      <c r="AM69" s="80"/>
      <c r="AN69" s="80"/>
      <c r="AO69" s="80"/>
      <c r="AP69" s="80"/>
      <c r="AQ69" s="80"/>
      <c r="AR69" s="80"/>
      <c r="AS69" s="61" t="n">
        <f aca="false">IF(A69="",0,COUNTIFS(tbl_Beneficiaires[ID projet],A69))</f>
        <v>0</v>
      </c>
      <c r="AT69" s="61" t="n">
        <f aca="false">IF(A69="",0,COUNTIFS(tbl_Beneficiaires[ID projet],A69,tbl_Beneficiaires[Sexe],"Feminin"))</f>
        <v>0</v>
      </c>
      <c r="AU69" s="61" t="n">
        <f aca="false">IF(A69="",0,COUNTIFS(tbl_Beneficiaires[ID projet],A69,tbl_Beneficiaires[Sexe],"Masculin"))</f>
        <v>0</v>
      </c>
      <c r="AV69" s="61" t="n">
        <f aca="false">IF(A69="",0,COUNTIFS(tbl_Beneficiaires[ID projet],A69,tbl_Beneficiaires[Menage vulnerable],"Oui"))</f>
        <v>0</v>
      </c>
      <c r="AW69" s="61" t="n">
        <f aca="false">IF(A69="",0,COUNTIFS(tbl_Beneficiaires[ID projet],A69,tbl_Beneficiaires[Handicap],"Oui"))</f>
        <v>0</v>
      </c>
      <c r="AX69" s="80"/>
      <c r="AY69" s="80"/>
      <c r="AZ69" s="80"/>
      <c r="BA69" s="80"/>
      <c r="BB69" s="80"/>
      <c r="BC69" s="82" t="n">
        <f aca="false">IF(OR(AX69="",AX69=0),0,BA69/AX69)</f>
        <v>0</v>
      </c>
      <c r="BD69" s="83"/>
      <c r="BE69" s="61" t="str">
        <f aca="true">IF(A69="","",IF(AND(Z69&lt;&gt;"",TODAY()&gt;Z69,NOT(OR(AD69="Termine",AD69="Cloture",AD69="Annule",AD69="Non retenu"))),"OUI","NON"))</f>
        <v/>
      </c>
      <c r="BF69" s="61" t="str">
        <f aca="true">IF(A69="","",IF(AND(Z69&lt;&gt;"",(Z69-TODAY())&gt;=0,(Z69-TODAY())&lt;=30,NOT(OR(AD69="Termine",AD69="Cloture",AD69="Annule",AD69="Non retenu"))),"OUI","NON"))</f>
        <v/>
      </c>
      <c r="BG69" s="61" t="str">
        <f aca="false">IF(A69="","",IF(AI69&gt;AG69,"OUI","NON"))</f>
        <v/>
      </c>
      <c r="BH69" s="61" t="str">
        <f aca="false">IF(A69="","",IF(AH69&lt;AG69,"OUI","NON"))</f>
        <v/>
      </c>
      <c r="BI69" s="78"/>
    </row>
    <row r="70" customFormat="false" ht="15" hidden="false" customHeight="true" outlineLevel="0" collapsed="false">
      <c r="A70" s="61" t="str">
        <f aca="false">IF(C70="","","PROJ"&amp;TEXT(ROW()-55,"0000"))</f>
        <v/>
      </c>
      <c r="B70" s="65"/>
      <c r="C70" s="65"/>
      <c r="D70" s="65"/>
      <c r="E70" s="78"/>
      <c r="F70" s="78"/>
      <c r="G70" s="78"/>
      <c r="H70" s="78"/>
      <c r="I70" s="78"/>
      <c r="J70" s="65"/>
      <c r="K70" s="65"/>
      <c r="L70" s="78"/>
      <c r="M70" s="65"/>
      <c r="N70" s="65"/>
      <c r="O70" s="65"/>
      <c r="P70" s="65"/>
      <c r="Q70" s="65"/>
      <c r="R70" s="65"/>
      <c r="S70" s="61" t="str">
        <f aca="false">IFERROR(INDEX(PARAMETRES!$B$536:$B$586,MATCH(R70,PARAMETRES!$J$536:$J$586,0)),"")</f>
        <v/>
      </c>
      <c r="T70" s="61" t="str">
        <f aca="false">IFERROR(INDEX(PARAMETRES!$D$536:$D$586,MATCH(R70,PARAMETRES!$J$536:$J$586,0)),"")</f>
        <v/>
      </c>
      <c r="U70" s="61" t="str">
        <f aca="false">IFERROR(INDEX(PARAMETRES!$F$536:$F$586,MATCH(R70,PARAMETRES!$J$536:$J$586,0)),"")</f>
        <v/>
      </c>
      <c r="V70" s="61" t="str">
        <f aca="false">IFERROR(INDEX(PARAMETRES!$G$536:$G$586,MATCH(R70,PARAMETRES!$J$536:$J$586,0)),"")</f>
        <v/>
      </c>
      <c r="W70" s="65"/>
      <c r="X70" s="79"/>
      <c r="Y70" s="79"/>
      <c r="Z70" s="79"/>
      <c r="AA70" s="79"/>
      <c r="AB70" s="61" t="str">
        <f aca="false">IF(OR(X70="",Z70=""),"",Z70-X70)</f>
        <v/>
      </c>
      <c r="AC70" s="61" t="str">
        <f aca="false">IF(OR(Y70="",AA70=""),"",AA70-Y70)</f>
        <v/>
      </c>
      <c r="AD70" s="65"/>
      <c r="AE70" s="65"/>
      <c r="AF70" s="80"/>
      <c r="AG70" s="80"/>
      <c r="AH70" s="81" t="n">
        <f aca="false">IF(A70="",0,SUMIF(tbl_Projets_Financements[ID Projet],A70,tbl_Projets_Financements[Montant recu]))</f>
        <v>0</v>
      </c>
      <c r="AI70" s="80"/>
      <c r="AJ70" s="81" t="n">
        <f aca="false">IF(AG70="",0,AG70)-IF(AI70="",0,AI70)</f>
        <v>0</v>
      </c>
      <c r="AK70" s="81" t="n">
        <f aca="false">AH70-AI70</f>
        <v>0</v>
      </c>
      <c r="AL70" s="82" t="n">
        <f aca="false">IF(OR(AG70="",AG70=0),0,AI70/AG70)</f>
        <v>0</v>
      </c>
      <c r="AM70" s="80"/>
      <c r="AN70" s="80"/>
      <c r="AO70" s="80"/>
      <c r="AP70" s="80"/>
      <c r="AQ70" s="80"/>
      <c r="AR70" s="80"/>
      <c r="AS70" s="61" t="n">
        <f aca="false">IF(A70="",0,COUNTIFS(tbl_Beneficiaires[ID projet],A70))</f>
        <v>0</v>
      </c>
      <c r="AT70" s="61" t="n">
        <f aca="false">IF(A70="",0,COUNTIFS(tbl_Beneficiaires[ID projet],A70,tbl_Beneficiaires[Sexe],"Feminin"))</f>
        <v>0</v>
      </c>
      <c r="AU70" s="61" t="n">
        <f aca="false">IF(A70="",0,COUNTIFS(tbl_Beneficiaires[ID projet],A70,tbl_Beneficiaires[Sexe],"Masculin"))</f>
        <v>0</v>
      </c>
      <c r="AV70" s="61" t="n">
        <f aca="false">IF(A70="",0,COUNTIFS(tbl_Beneficiaires[ID projet],A70,tbl_Beneficiaires[Menage vulnerable],"Oui"))</f>
        <v>0</v>
      </c>
      <c r="AW70" s="61" t="n">
        <f aca="false">IF(A70="",0,COUNTIFS(tbl_Beneficiaires[ID projet],A70,tbl_Beneficiaires[Handicap],"Oui"))</f>
        <v>0</v>
      </c>
      <c r="AX70" s="80"/>
      <c r="AY70" s="80"/>
      <c r="AZ70" s="80"/>
      <c r="BA70" s="80"/>
      <c r="BB70" s="80"/>
      <c r="BC70" s="82" t="n">
        <f aca="false">IF(OR(AX70="",AX70=0),0,BA70/AX70)</f>
        <v>0</v>
      </c>
      <c r="BD70" s="83"/>
      <c r="BE70" s="61" t="str">
        <f aca="true">IF(A70="","",IF(AND(Z70&lt;&gt;"",TODAY()&gt;Z70,NOT(OR(AD70="Termine",AD70="Cloture",AD70="Annule",AD70="Non retenu"))),"OUI","NON"))</f>
        <v/>
      </c>
      <c r="BF70" s="61" t="str">
        <f aca="true">IF(A70="","",IF(AND(Z70&lt;&gt;"",(Z70-TODAY())&gt;=0,(Z70-TODAY())&lt;=30,NOT(OR(AD70="Termine",AD70="Cloture",AD70="Annule",AD70="Non retenu"))),"OUI","NON"))</f>
        <v/>
      </c>
      <c r="BG70" s="61" t="str">
        <f aca="false">IF(A70="","",IF(AI70&gt;AG70,"OUI","NON"))</f>
        <v/>
      </c>
      <c r="BH70" s="61" t="str">
        <f aca="false">IF(A70="","",IF(AH70&lt;AG70,"OUI","NON"))</f>
        <v/>
      </c>
      <c r="BI70" s="78"/>
    </row>
    <row r="71" customFormat="false" ht="15" hidden="false" customHeight="true" outlineLevel="0" collapsed="false">
      <c r="A71" s="61" t="str">
        <f aca="false">IF(C71="","","PROJ"&amp;TEXT(ROW()-55,"0000"))</f>
        <v/>
      </c>
      <c r="B71" s="65"/>
      <c r="C71" s="65"/>
      <c r="D71" s="65"/>
      <c r="E71" s="78"/>
      <c r="F71" s="78"/>
      <c r="G71" s="78"/>
      <c r="H71" s="78"/>
      <c r="I71" s="78"/>
      <c r="J71" s="65"/>
      <c r="K71" s="65"/>
      <c r="L71" s="78"/>
      <c r="M71" s="65"/>
      <c r="N71" s="65"/>
      <c r="O71" s="65"/>
      <c r="P71" s="65"/>
      <c r="Q71" s="65"/>
      <c r="R71" s="65"/>
      <c r="S71" s="61" t="str">
        <f aca="false">IFERROR(INDEX(PARAMETRES!$B$536:$B$586,MATCH(R71,PARAMETRES!$J$536:$J$586,0)),"")</f>
        <v/>
      </c>
      <c r="T71" s="61" t="str">
        <f aca="false">IFERROR(INDEX(PARAMETRES!$D$536:$D$586,MATCH(R71,PARAMETRES!$J$536:$J$586,0)),"")</f>
        <v/>
      </c>
      <c r="U71" s="61" t="str">
        <f aca="false">IFERROR(INDEX(PARAMETRES!$F$536:$F$586,MATCH(R71,PARAMETRES!$J$536:$J$586,0)),"")</f>
        <v/>
      </c>
      <c r="V71" s="61" t="str">
        <f aca="false">IFERROR(INDEX(PARAMETRES!$G$536:$G$586,MATCH(R71,PARAMETRES!$J$536:$J$586,0)),"")</f>
        <v/>
      </c>
      <c r="W71" s="65"/>
      <c r="X71" s="79"/>
      <c r="Y71" s="79"/>
      <c r="Z71" s="79"/>
      <c r="AA71" s="79"/>
      <c r="AB71" s="61" t="str">
        <f aca="false">IF(OR(X71="",Z71=""),"",Z71-X71)</f>
        <v/>
      </c>
      <c r="AC71" s="61" t="str">
        <f aca="false">IF(OR(Y71="",AA71=""),"",AA71-Y71)</f>
        <v/>
      </c>
      <c r="AD71" s="65"/>
      <c r="AE71" s="65"/>
      <c r="AF71" s="80"/>
      <c r="AG71" s="80"/>
      <c r="AH71" s="81" t="n">
        <f aca="false">IF(A71="",0,SUMIF(tbl_Projets_Financements[ID Projet],A71,tbl_Projets_Financements[Montant recu]))</f>
        <v>0</v>
      </c>
      <c r="AI71" s="80"/>
      <c r="AJ71" s="81" t="n">
        <f aca="false">IF(AG71="",0,AG71)-IF(AI71="",0,AI71)</f>
        <v>0</v>
      </c>
      <c r="AK71" s="81" t="n">
        <f aca="false">AH71-AI71</f>
        <v>0</v>
      </c>
      <c r="AL71" s="82" t="n">
        <f aca="false">IF(OR(AG71="",AG71=0),0,AI71/AG71)</f>
        <v>0</v>
      </c>
      <c r="AM71" s="80"/>
      <c r="AN71" s="80"/>
      <c r="AO71" s="80"/>
      <c r="AP71" s="80"/>
      <c r="AQ71" s="80"/>
      <c r="AR71" s="80"/>
      <c r="AS71" s="61" t="n">
        <f aca="false">IF(A71="",0,COUNTIFS(tbl_Beneficiaires[ID projet],A71))</f>
        <v>0</v>
      </c>
      <c r="AT71" s="61" t="n">
        <f aca="false">IF(A71="",0,COUNTIFS(tbl_Beneficiaires[ID projet],A71,tbl_Beneficiaires[Sexe],"Feminin"))</f>
        <v>0</v>
      </c>
      <c r="AU71" s="61" t="n">
        <f aca="false">IF(A71="",0,COUNTIFS(tbl_Beneficiaires[ID projet],A71,tbl_Beneficiaires[Sexe],"Masculin"))</f>
        <v>0</v>
      </c>
      <c r="AV71" s="61" t="n">
        <f aca="false">IF(A71="",0,COUNTIFS(tbl_Beneficiaires[ID projet],A71,tbl_Beneficiaires[Menage vulnerable],"Oui"))</f>
        <v>0</v>
      </c>
      <c r="AW71" s="61" t="n">
        <f aca="false">IF(A71="",0,COUNTIFS(tbl_Beneficiaires[ID projet],A71,tbl_Beneficiaires[Handicap],"Oui"))</f>
        <v>0</v>
      </c>
      <c r="AX71" s="80"/>
      <c r="AY71" s="80"/>
      <c r="AZ71" s="80"/>
      <c r="BA71" s="80"/>
      <c r="BB71" s="80"/>
      <c r="BC71" s="82" t="n">
        <f aca="false">IF(OR(AX71="",AX71=0),0,BA71/AX71)</f>
        <v>0</v>
      </c>
      <c r="BD71" s="83"/>
      <c r="BE71" s="61" t="str">
        <f aca="true">IF(A71="","",IF(AND(Z71&lt;&gt;"",TODAY()&gt;Z71,NOT(OR(AD71="Termine",AD71="Cloture",AD71="Annule",AD71="Non retenu"))),"OUI","NON"))</f>
        <v/>
      </c>
      <c r="BF71" s="61" t="str">
        <f aca="true">IF(A71="","",IF(AND(Z71&lt;&gt;"",(Z71-TODAY())&gt;=0,(Z71-TODAY())&lt;=30,NOT(OR(AD71="Termine",AD71="Cloture",AD71="Annule",AD71="Non retenu"))),"OUI","NON"))</f>
        <v/>
      </c>
      <c r="BG71" s="61" t="str">
        <f aca="false">IF(A71="","",IF(AI71&gt;AG71,"OUI","NON"))</f>
        <v/>
      </c>
      <c r="BH71" s="61" t="str">
        <f aca="false">IF(A71="","",IF(AH71&lt;AG71,"OUI","NON"))</f>
        <v/>
      </c>
      <c r="BI71" s="78"/>
    </row>
    <row r="72" customFormat="false" ht="15" hidden="false" customHeight="true" outlineLevel="0" collapsed="false">
      <c r="A72" s="61" t="str">
        <f aca="false">IF(C72="","","PROJ"&amp;TEXT(ROW()-55,"0000"))</f>
        <v/>
      </c>
      <c r="B72" s="65"/>
      <c r="C72" s="65"/>
      <c r="D72" s="65"/>
      <c r="E72" s="78"/>
      <c r="F72" s="78"/>
      <c r="G72" s="78"/>
      <c r="H72" s="78"/>
      <c r="I72" s="78"/>
      <c r="J72" s="65"/>
      <c r="K72" s="65"/>
      <c r="L72" s="78"/>
      <c r="M72" s="65"/>
      <c r="N72" s="65"/>
      <c r="O72" s="65"/>
      <c r="P72" s="65"/>
      <c r="Q72" s="65"/>
      <c r="R72" s="65"/>
      <c r="S72" s="61" t="str">
        <f aca="false">IFERROR(INDEX(PARAMETRES!$B$536:$B$586,MATCH(R72,PARAMETRES!$J$536:$J$586,0)),"")</f>
        <v/>
      </c>
      <c r="T72" s="61" t="str">
        <f aca="false">IFERROR(INDEX(PARAMETRES!$D$536:$D$586,MATCH(R72,PARAMETRES!$J$536:$J$586,0)),"")</f>
        <v/>
      </c>
      <c r="U72" s="61" t="str">
        <f aca="false">IFERROR(INDEX(PARAMETRES!$F$536:$F$586,MATCH(R72,PARAMETRES!$J$536:$J$586,0)),"")</f>
        <v/>
      </c>
      <c r="V72" s="61" t="str">
        <f aca="false">IFERROR(INDEX(PARAMETRES!$G$536:$G$586,MATCH(R72,PARAMETRES!$J$536:$J$586,0)),"")</f>
        <v/>
      </c>
      <c r="W72" s="65"/>
      <c r="X72" s="79"/>
      <c r="Y72" s="79"/>
      <c r="Z72" s="79"/>
      <c r="AA72" s="79"/>
      <c r="AB72" s="61" t="str">
        <f aca="false">IF(OR(X72="",Z72=""),"",Z72-X72)</f>
        <v/>
      </c>
      <c r="AC72" s="61" t="str">
        <f aca="false">IF(OR(Y72="",AA72=""),"",AA72-Y72)</f>
        <v/>
      </c>
      <c r="AD72" s="65"/>
      <c r="AE72" s="65"/>
      <c r="AF72" s="80"/>
      <c r="AG72" s="80"/>
      <c r="AH72" s="81" t="n">
        <f aca="false">IF(A72="",0,SUMIF(tbl_Projets_Financements[ID Projet],A72,tbl_Projets_Financements[Montant recu]))</f>
        <v>0</v>
      </c>
      <c r="AI72" s="80"/>
      <c r="AJ72" s="81" t="n">
        <f aca="false">IF(AG72="",0,AG72)-IF(AI72="",0,AI72)</f>
        <v>0</v>
      </c>
      <c r="AK72" s="81" t="n">
        <f aca="false">AH72-AI72</f>
        <v>0</v>
      </c>
      <c r="AL72" s="82" t="n">
        <f aca="false">IF(OR(AG72="",AG72=0),0,AI72/AG72)</f>
        <v>0</v>
      </c>
      <c r="AM72" s="80"/>
      <c r="AN72" s="80"/>
      <c r="AO72" s="80"/>
      <c r="AP72" s="80"/>
      <c r="AQ72" s="80"/>
      <c r="AR72" s="80"/>
      <c r="AS72" s="61" t="n">
        <f aca="false">IF(A72="",0,COUNTIFS(tbl_Beneficiaires[ID projet],A72))</f>
        <v>0</v>
      </c>
      <c r="AT72" s="61" t="n">
        <f aca="false">IF(A72="",0,COUNTIFS(tbl_Beneficiaires[ID projet],A72,tbl_Beneficiaires[Sexe],"Feminin"))</f>
        <v>0</v>
      </c>
      <c r="AU72" s="61" t="n">
        <f aca="false">IF(A72="",0,COUNTIFS(tbl_Beneficiaires[ID projet],A72,tbl_Beneficiaires[Sexe],"Masculin"))</f>
        <v>0</v>
      </c>
      <c r="AV72" s="61" t="n">
        <f aca="false">IF(A72="",0,COUNTIFS(tbl_Beneficiaires[ID projet],A72,tbl_Beneficiaires[Menage vulnerable],"Oui"))</f>
        <v>0</v>
      </c>
      <c r="AW72" s="61" t="n">
        <f aca="false">IF(A72="",0,COUNTIFS(tbl_Beneficiaires[ID projet],A72,tbl_Beneficiaires[Handicap],"Oui"))</f>
        <v>0</v>
      </c>
      <c r="AX72" s="80"/>
      <c r="AY72" s="80"/>
      <c r="AZ72" s="80"/>
      <c r="BA72" s="80"/>
      <c r="BB72" s="80"/>
      <c r="BC72" s="82" t="n">
        <f aca="false">IF(OR(AX72="",AX72=0),0,BA72/AX72)</f>
        <v>0</v>
      </c>
      <c r="BD72" s="83"/>
      <c r="BE72" s="61" t="str">
        <f aca="true">IF(A72="","",IF(AND(Z72&lt;&gt;"",TODAY()&gt;Z72,NOT(OR(AD72="Termine",AD72="Cloture",AD72="Annule",AD72="Non retenu"))),"OUI","NON"))</f>
        <v/>
      </c>
      <c r="BF72" s="61" t="str">
        <f aca="true">IF(A72="","",IF(AND(Z72&lt;&gt;"",(Z72-TODAY())&gt;=0,(Z72-TODAY())&lt;=30,NOT(OR(AD72="Termine",AD72="Cloture",AD72="Annule",AD72="Non retenu"))),"OUI","NON"))</f>
        <v/>
      </c>
      <c r="BG72" s="61" t="str">
        <f aca="false">IF(A72="","",IF(AI72&gt;AG72,"OUI","NON"))</f>
        <v/>
      </c>
      <c r="BH72" s="61" t="str">
        <f aca="false">IF(A72="","",IF(AH72&lt;AG72,"OUI","NON"))</f>
        <v/>
      </c>
      <c r="BI72" s="78"/>
    </row>
    <row r="73" customFormat="false" ht="15" hidden="false" customHeight="true" outlineLevel="0" collapsed="false">
      <c r="A73" s="61" t="str">
        <f aca="false">IF(C73="","","PROJ"&amp;TEXT(ROW()-55,"0000"))</f>
        <v/>
      </c>
      <c r="B73" s="65"/>
      <c r="C73" s="65"/>
      <c r="D73" s="65"/>
      <c r="E73" s="78"/>
      <c r="F73" s="78"/>
      <c r="G73" s="78"/>
      <c r="H73" s="78"/>
      <c r="I73" s="78"/>
      <c r="J73" s="65"/>
      <c r="K73" s="65"/>
      <c r="L73" s="78"/>
      <c r="M73" s="65"/>
      <c r="N73" s="65"/>
      <c r="O73" s="65"/>
      <c r="P73" s="65"/>
      <c r="Q73" s="65"/>
      <c r="R73" s="65"/>
      <c r="S73" s="61" t="str">
        <f aca="false">IFERROR(INDEX(PARAMETRES!$B$536:$B$586,MATCH(R73,PARAMETRES!$J$536:$J$586,0)),"")</f>
        <v/>
      </c>
      <c r="T73" s="61" t="str">
        <f aca="false">IFERROR(INDEX(PARAMETRES!$D$536:$D$586,MATCH(R73,PARAMETRES!$J$536:$J$586,0)),"")</f>
        <v/>
      </c>
      <c r="U73" s="61" t="str">
        <f aca="false">IFERROR(INDEX(PARAMETRES!$F$536:$F$586,MATCH(R73,PARAMETRES!$J$536:$J$586,0)),"")</f>
        <v/>
      </c>
      <c r="V73" s="61" t="str">
        <f aca="false">IFERROR(INDEX(PARAMETRES!$G$536:$G$586,MATCH(R73,PARAMETRES!$J$536:$J$586,0)),"")</f>
        <v/>
      </c>
      <c r="W73" s="65"/>
      <c r="X73" s="79"/>
      <c r="Y73" s="79"/>
      <c r="Z73" s="79"/>
      <c r="AA73" s="79"/>
      <c r="AB73" s="61" t="str">
        <f aca="false">IF(OR(X73="",Z73=""),"",Z73-X73)</f>
        <v/>
      </c>
      <c r="AC73" s="61" t="str">
        <f aca="false">IF(OR(Y73="",AA73=""),"",AA73-Y73)</f>
        <v/>
      </c>
      <c r="AD73" s="65"/>
      <c r="AE73" s="65"/>
      <c r="AF73" s="80"/>
      <c r="AG73" s="80"/>
      <c r="AH73" s="81" t="n">
        <f aca="false">IF(A73="",0,SUMIF(tbl_Projets_Financements[ID Projet],A73,tbl_Projets_Financements[Montant recu]))</f>
        <v>0</v>
      </c>
      <c r="AI73" s="80"/>
      <c r="AJ73" s="81" t="n">
        <f aca="false">IF(AG73="",0,AG73)-IF(AI73="",0,AI73)</f>
        <v>0</v>
      </c>
      <c r="AK73" s="81" t="n">
        <f aca="false">AH73-AI73</f>
        <v>0</v>
      </c>
      <c r="AL73" s="82" t="n">
        <f aca="false">IF(OR(AG73="",AG73=0),0,AI73/AG73)</f>
        <v>0</v>
      </c>
      <c r="AM73" s="80"/>
      <c r="AN73" s="80"/>
      <c r="AO73" s="80"/>
      <c r="AP73" s="80"/>
      <c r="AQ73" s="80"/>
      <c r="AR73" s="80"/>
      <c r="AS73" s="61" t="n">
        <f aca="false">IF(A73="",0,COUNTIFS(tbl_Beneficiaires[ID projet],A73))</f>
        <v>0</v>
      </c>
      <c r="AT73" s="61" t="n">
        <f aca="false">IF(A73="",0,COUNTIFS(tbl_Beneficiaires[ID projet],A73,tbl_Beneficiaires[Sexe],"Feminin"))</f>
        <v>0</v>
      </c>
      <c r="AU73" s="61" t="n">
        <f aca="false">IF(A73="",0,COUNTIFS(tbl_Beneficiaires[ID projet],A73,tbl_Beneficiaires[Sexe],"Masculin"))</f>
        <v>0</v>
      </c>
      <c r="AV73" s="61" t="n">
        <f aca="false">IF(A73="",0,COUNTIFS(tbl_Beneficiaires[ID projet],A73,tbl_Beneficiaires[Menage vulnerable],"Oui"))</f>
        <v>0</v>
      </c>
      <c r="AW73" s="61" t="n">
        <f aca="false">IF(A73="",0,COUNTIFS(tbl_Beneficiaires[ID projet],A73,tbl_Beneficiaires[Handicap],"Oui"))</f>
        <v>0</v>
      </c>
      <c r="AX73" s="80"/>
      <c r="AY73" s="80"/>
      <c r="AZ73" s="80"/>
      <c r="BA73" s="80"/>
      <c r="BB73" s="80"/>
      <c r="BC73" s="82" t="n">
        <f aca="false">IF(OR(AX73="",AX73=0),0,BA73/AX73)</f>
        <v>0</v>
      </c>
      <c r="BD73" s="83"/>
      <c r="BE73" s="61" t="str">
        <f aca="true">IF(A73="","",IF(AND(Z73&lt;&gt;"",TODAY()&gt;Z73,NOT(OR(AD73="Termine",AD73="Cloture",AD73="Annule",AD73="Non retenu"))),"OUI","NON"))</f>
        <v/>
      </c>
      <c r="BF73" s="61" t="str">
        <f aca="true">IF(A73="","",IF(AND(Z73&lt;&gt;"",(Z73-TODAY())&gt;=0,(Z73-TODAY())&lt;=30,NOT(OR(AD73="Termine",AD73="Cloture",AD73="Annule",AD73="Non retenu"))),"OUI","NON"))</f>
        <v/>
      </c>
      <c r="BG73" s="61" t="str">
        <f aca="false">IF(A73="","",IF(AI73&gt;AG73,"OUI","NON"))</f>
        <v/>
      </c>
      <c r="BH73" s="61" t="str">
        <f aca="false">IF(A73="","",IF(AH73&lt;AG73,"OUI","NON"))</f>
        <v/>
      </c>
      <c r="BI73" s="78"/>
    </row>
    <row r="74" customFormat="false" ht="15" hidden="false" customHeight="true" outlineLevel="0" collapsed="false">
      <c r="A74" s="61" t="str">
        <f aca="false">IF(C74="","","PROJ"&amp;TEXT(ROW()-55,"0000"))</f>
        <v/>
      </c>
      <c r="B74" s="65"/>
      <c r="C74" s="65"/>
      <c r="D74" s="65"/>
      <c r="E74" s="78"/>
      <c r="F74" s="78"/>
      <c r="G74" s="78"/>
      <c r="H74" s="78"/>
      <c r="I74" s="78"/>
      <c r="J74" s="65"/>
      <c r="K74" s="65"/>
      <c r="L74" s="78"/>
      <c r="M74" s="65"/>
      <c r="N74" s="65"/>
      <c r="O74" s="65"/>
      <c r="P74" s="65"/>
      <c r="Q74" s="65"/>
      <c r="R74" s="65"/>
      <c r="S74" s="61" t="str">
        <f aca="false">IFERROR(INDEX(PARAMETRES!$B$536:$B$586,MATCH(R74,PARAMETRES!$J$536:$J$586,0)),"")</f>
        <v/>
      </c>
      <c r="T74" s="61" t="str">
        <f aca="false">IFERROR(INDEX(PARAMETRES!$D$536:$D$586,MATCH(R74,PARAMETRES!$J$536:$J$586,0)),"")</f>
        <v/>
      </c>
      <c r="U74" s="61" t="str">
        <f aca="false">IFERROR(INDEX(PARAMETRES!$F$536:$F$586,MATCH(R74,PARAMETRES!$J$536:$J$586,0)),"")</f>
        <v/>
      </c>
      <c r="V74" s="61" t="str">
        <f aca="false">IFERROR(INDEX(PARAMETRES!$G$536:$G$586,MATCH(R74,PARAMETRES!$J$536:$J$586,0)),"")</f>
        <v/>
      </c>
      <c r="W74" s="65"/>
      <c r="X74" s="79"/>
      <c r="Y74" s="79"/>
      <c r="Z74" s="79"/>
      <c r="AA74" s="79"/>
      <c r="AB74" s="61" t="str">
        <f aca="false">IF(OR(X74="",Z74=""),"",Z74-X74)</f>
        <v/>
      </c>
      <c r="AC74" s="61" t="str">
        <f aca="false">IF(OR(Y74="",AA74=""),"",AA74-Y74)</f>
        <v/>
      </c>
      <c r="AD74" s="65"/>
      <c r="AE74" s="65"/>
      <c r="AF74" s="80"/>
      <c r="AG74" s="80"/>
      <c r="AH74" s="81" t="n">
        <f aca="false">IF(A74="",0,SUMIF(tbl_Projets_Financements[ID Projet],A74,tbl_Projets_Financements[Montant recu]))</f>
        <v>0</v>
      </c>
      <c r="AI74" s="80"/>
      <c r="AJ74" s="81" t="n">
        <f aca="false">IF(AG74="",0,AG74)-IF(AI74="",0,AI74)</f>
        <v>0</v>
      </c>
      <c r="AK74" s="81" t="n">
        <f aca="false">AH74-AI74</f>
        <v>0</v>
      </c>
      <c r="AL74" s="82" t="n">
        <f aca="false">IF(OR(AG74="",AG74=0),0,AI74/AG74)</f>
        <v>0</v>
      </c>
      <c r="AM74" s="80"/>
      <c r="AN74" s="80"/>
      <c r="AO74" s="80"/>
      <c r="AP74" s="80"/>
      <c r="AQ74" s="80"/>
      <c r="AR74" s="80"/>
      <c r="AS74" s="61" t="n">
        <f aca="false">IF(A74="",0,COUNTIFS(tbl_Beneficiaires[ID projet],A74))</f>
        <v>0</v>
      </c>
      <c r="AT74" s="61" t="n">
        <f aca="false">IF(A74="",0,COUNTIFS(tbl_Beneficiaires[ID projet],A74,tbl_Beneficiaires[Sexe],"Feminin"))</f>
        <v>0</v>
      </c>
      <c r="AU74" s="61" t="n">
        <f aca="false">IF(A74="",0,COUNTIFS(tbl_Beneficiaires[ID projet],A74,tbl_Beneficiaires[Sexe],"Masculin"))</f>
        <v>0</v>
      </c>
      <c r="AV74" s="61" t="n">
        <f aca="false">IF(A74="",0,COUNTIFS(tbl_Beneficiaires[ID projet],A74,tbl_Beneficiaires[Menage vulnerable],"Oui"))</f>
        <v>0</v>
      </c>
      <c r="AW74" s="61" t="n">
        <f aca="false">IF(A74="",0,COUNTIFS(tbl_Beneficiaires[ID projet],A74,tbl_Beneficiaires[Handicap],"Oui"))</f>
        <v>0</v>
      </c>
      <c r="AX74" s="80"/>
      <c r="AY74" s="80"/>
      <c r="AZ74" s="80"/>
      <c r="BA74" s="80"/>
      <c r="BB74" s="80"/>
      <c r="BC74" s="82" t="n">
        <f aca="false">IF(OR(AX74="",AX74=0),0,BA74/AX74)</f>
        <v>0</v>
      </c>
      <c r="BD74" s="83"/>
      <c r="BE74" s="61" t="str">
        <f aca="true">IF(A74="","",IF(AND(Z74&lt;&gt;"",TODAY()&gt;Z74,NOT(OR(AD74="Termine",AD74="Cloture",AD74="Annule",AD74="Non retenu"))),"OUI","NON"))</f>
        <v/>
      </c>
      <c r="BF74" s="61" t="str">
        <f aca="true">IF(A74="","",IF(AND(Z74&lt;&gt;"",(Z74-TODAY())&gt;=0,(Z74-TODAY())&lt;=30,NOT(OR(AD74="Termine",AD74="Cloture",AD74="Annule",AD74="Non retenu"))),"OUI","NON"))</f>
        <v/>
      </c>
      <c r="BG74" s="61" t="str">
        <f aca="false">IF(A74="","",IF(AI74&gt;AG74,"OUI","NON"))</f>
        <v/>
      </c>
      <c r="BH74" s="61" t="str">
        <f aca="false">IF(A74="","",IF(AH74&lt;AG74,"OUI","NON"))</f>
        <v/>
      </c>
      <c r="BI74" s="78"/>
    </row>
    <row r="75" customFormat="false" ht="15" hidden="false" customHeight="true" outlineLevel="0" collapsed="false">
      <c r="A75" s="61" t="str">
        <f aca="false">IF(C75="","","PROJ"&amp;TEXT(ROW()-55,"0000"))</f>
        <v/>
      </c>
      <c r="B75" s="65"/>
      <c r="C75" s="65"/>
      <c r="D75" s="65"/>
      <c r="E75" s="78"/>
      <c r="F75" s="78"/>
      <c r="G75" s="78"/>
      <c r="H75" s="78"/>
      <c r="I75" s="78"/>
      <c r="J75" s="65"/>
      <c r="K75" s="65"/>
      <c r="L75" s="78"/>
      <c r="M75" s="65"/>
      <c r="N75" s="65"/>
      <c r="O75" s="65"/>
      <c r="P75" s="65"/>
      <c r="Q75" s="65"/>
      <c r="R75" s="65"/>
      <c r="S75" s="61" t="str">
        <f aca="false">IFERROR(INDEX(PARAMETRES!$B$536:$B$586,MATCH(R75,PARAMETRES!$J$536:$J$586,0)),"")</f>
        <v/>
      </c>
      <c r="T75" s="61" t="str">
        <f aca="false">IFERROR(INDEX(PARAMETRES!$D$536:$D$586,MATCH(R75,PARAMETRES!$J$536:$J$586,0)),"")</f>
        <v/>
      </c>
      <c r="U75" s="61" t="str">
        <f aca="false">IFERROR(INDEX(PARAMETRES!$F$536:$F$586,MATCH(R75,PARAMETRES!$J$536:$J$586,0)),"")</f>
        <v/>
      </c>
      <c r="V75" s="61" t="str">
        <f aca="false">IFERROR(INDEX(PARAMETRES!$G$536:$G$586,MATCH(R75,PARAMETRES!$J$536:$J$586,0)),"")</f>
        <v/>
      </c>
      <c r="W75" s="65"/>
      <c r="X75" s="79"/>
      <c r="Y75" s="79"/>
      <c r="Z75" s="79"/>
      <c r="AA75" s="79"/>
      <c r="AB75" s="61" t="str">
        <f aca="false">IF(OR(X75="",Z75=""),"",Z75-X75)</f>
        <v/>
      </c>
      <c r="AC75" s="61" t="str">
        <f aca="false">IF(OR(Y75="",AA75=""),"",AA75-Y75)</f>
        <v/>
      </c>
      <c r="AD75" s="65"/>
      <c r="AE75" s="65"/>
      <c r="AF75" s="80"/>
      <c r="AG75" s="80"/>
      <c r="AH75" s="81" t="n">
        <f aca="false">IF(A75="",0,SUMIF(tbl_Projets_Financements[ID Projet],A75,tbl_Projets_Financements[Montant recu]))</f>
        <v>0</v>
      </c>
      <c r="AI75" s="80"/>
      <c r="AJ75" s="81" t="n">
        <f aca="false">IF(AG75="",0,AG75)-IF(AI75="",0,AI75)</f>
        <v>0</v>
      </c>
      <c r="AK75" s="81" t="n">
        <f aca="false">AH75-AI75</f>
        <v>0</v>
      </c>
      <c r="AL75" s="82" t="n">
        <f aca="false">IF(OR(AG75="",AG75=0),0,AI75/AG75)</f>
        <v>0</v>
      </c>
      <c r="AM75" s="80"/>
      <c r="AN75" s="80"/>
      <c r="AO75" s="80"/>
      <c r="AP75" s="80"/>
      <c r="AQ75" s="80"/>
      <c r="AR75" s="80"/>
      <c r="AS75" s="61" t="n">
        <f aca="false">IF(A75="",0,COUNTIFS(tbl_Beneficiaires[ID projet],A75))</f>
        <v>0</v>
      </c>
      <c r="AT75" s="61" t="n">
        <f aca="false">IF(A75="",0,COUNTIFS(tbl_Beneficiaires[ID projet],A75,tbl_Beneficiaires[Sexe],"Feminin"))</f>
        <v>0</v>
      </c>
      <c r="AU75" s="61" t="n">
        <f aca="false">IF(A75="",0,COUNTIFS(tbl_Beneficiaires[ID projet],A75,tbl_Beneficiaires[Sexe],"Masculin"))</f>
        <v>0</v>
      </c>
      <c r="AV75" s="61" t="n">
        <f aca="false">IF(A75="",0,COUNTIFS(tbl_Beneficiaires[ID projet],A75,tbl_Beneficiaires[Menage vulnerable],"Oui"))</f>
        <v>0</v>
      </c>
      <c r="AW75" s="61" t="n">
        <f aca="false">IF(A75="",0,COUNTIFS(tbl_Beneficiaires[ID projet],A75,tbl_Beneficiaires[Handicap],"Oui"))</f>
        <v>0</v>
      </c>
      <c r="AX75" s="80"/>
      <c r="AY75" s="80"/>
      <c r="AZ75" s="80"/>
      <c r="BA75" s="80"/>
      <c r="BB75" s="80"/>
      <c r="BC75" s="82" t="n">
        <f aca="false">IF(OR(AX75="",AX75=0),0,BA75/AX75)</f>
        <v>0</v>
      </c>
      <c r="BD75" s="83"/>
      <c r="BE75" s="61" t="str">
        <f aca="true">IF(A75="","",IF(AND(Z75&lt;&gt;"",TODAY()&gt;Z75,NOT(OR(AD75="Termine",AD75="Cloture",AD75="Annule",AD75="Non retenu"))),"OUI","NON"))</f>
        <v/>
      </c>
      <c r="BF75" s="61" t="str">
        <f aca="true">IF(A75="","",IF(AND(Z75&lt;&gt;"",(Z75-TODAY())&gt;=0,(Z75-TODAY())&lt;=30,NOT(OR(AD75="Termine",AD75="Cloture",AD75="Annule",AD75="Non retenu"))),"OUI","NON"))</f>
        <v/>
      </c>
      <c r="BG75" s="61" t="str">
        <f aca="false">IF(A75="","",IF(AI75&gt;AG75,"OUI","NON"))</f>
        <v/>
      </c>
      <c r="BH75" s="61" t="str">
        <f aca="false">IF(A75="","",IF(AH75&lt;AG75,"OUI","NON"))</f>
        <v/>
      </c>
      <c r="BI75" s="78"/>
    </row>
    <row r="76" customFormat="false" ht="15" hidden="false" customHeight="true" outlineLevel="0" collapsed="false">
      <c r="A76" s="61" t="str">
        <f aca="false">IF(C76="","","PROJ"&amp;TEXT(ROW()-55,"0000"))</f>
        <v/>
      </c>
      <c r="B76" s="65"/>
      <c r="C76" s="65"/>
      <c r="D76" s="65"/>
      <c r="E76" s="78"/>
      <c r="F76" s="78"/>
      <c r="G76" s="78"/>
      <c r="H76" s="78"/>
      <c r="I76" s="78"/>
      <c r="J76" s="65"/>
      <c r="K76" s="65"/>
      <c r="L76" s="78"/>
      <c r="M76" s="65"/>
      <c r="N76" s="65"/>
      <c r="O76" s="65"/>
      <c r="P76" s="65"/>
      <c r="Q76" s="65"/>
      <c r="R76" s="65"/>
      <c r="S76" s="61" t="str">
        <f aca="false">IFERROR(INDEX(PARAMETRES!$B$536:$B$586,MATCH(R76,PARAMETRES!$J$536:$J$586,0)),"")</f>
        <v/>
      </c>
      <c r="T76" s="61" t="str">
        <f aca="false">IFERROR(INDEX(PARAMETRES!$D$536:$D$586,MATCH(R76,PARAMETRES!$J$536:$J$586,0)),"")</f>
        <v/>
      </c>
      <c r="U76" s="61" t="str">
        <f aca="false">IFERROR(INDEX(PARAMETRES!$F$536:$F$586,MATCH(R76,PARAMETRES!$J$536:$J$586,0)),"")</f>
        <v/>
      </c>
      <c r="V76" s="61" t="str">
        <f aca="false">IFERROR(INDEX(PARAMETRES!$G$536:$G$586,MATCH(R76,PARAMETRES!$J$536:$J$586,0)),"")</f>
        <v/>
      </c>
      <c r="W76" s="65"/>
      <c r="X76" s="79"/>
      <c r="Y76" s="79"/>
      <c r="Z76" s="79"/>
      <c r="AA76" s="79"/>
      <c r="AB76" s="61" t="str">
        <f aca="false">IF(OR(X76="",Z76=""),"",Z76-X76)</f>
        <v/>
      </c>
      <c r="AC76" s="61" t="str">
        <f aca="false">IF(OR(Y76="",AA76=""),"",AA76-Y76)</f>
        <v/>
      </c>
      <c r="AD76" s="65"/>
      <c r="AE76" s="65"/>
      <c r="AF76" s="80"/>
      <c r="AG76" s="80"/>
      <c r="AH76" s="81" t="n">
        <f aca="false">IF(A76="",0,SUMIF(tbl_Projets_Financements[ID Projet],A76,tbl_Projets_Financements[Montant recu]))</f>
        <v>0</v>
      </c>
      <c r="AI76" s="80"/>
      <c r="AJ76" s="81" t="n">
        <f aca="false">IF(AG76="",0,AG76)-IF(AI76="",0,AI76)</f>
        <v>0</v>
      </c>
      <c r="AK76" s="81" t="n">
        <f aca="false">AH76-AI76</f>
        <v>0</v>
      </c>
      <c r="AL76" s="82" t="n">
        <f aca="false">IF(OR(AG76="",AG76=0),0,AI76/AG76)</f>
        <v>0</v>
      </c>
      <c r="AM76" s="80"/>
      <c r="AN76" s="80"/>
      <c r="AO76" s="80"/>
      <c r="AP76" s="80"/>
      <c r="AQ76" s="80"/>
      <c r="AR76" s="80"/>
      <c r="AS76" s="61" t="n">
        <f aca="false">IF(A76="",0,COUNTIFS(tbl_Beneficiaires[ID projet],A76))</f>
        <v>0</v>
      </c>
      <c r="AT76" s="61" t="n">
        <f aca="false">IF(A76="",0,COUNTIFS(tbl_Beneficiaires[ID projet],A76,tbl_Beneficiaires[Sexe],"Feminin"))</f>
        <v>0</v>
      </c>
      <c r="AU76" s="61" t="n">
        <f aca="false">IF(A76="",0,COUNTIFS(tbl_Beneficiaires[ID projet],A76,tbl_Beneficiaires[Sexe],"Masculin"))</f>
        <v>0</v>
      </c>
      <c r="AV76" s="61" t="n">
        <f aca="false">IF(A76="",0,COUNTIFS(tbl_Beneficiaires[ID projet],A76,tbl_Beneficiaires[Menage vulnerable],"Oui"))</f>
        <v>0</v>
      </c>
      <c r="AW76" s="61" t="n">
        <f aca="false">IF(A76="",0,COUNTIFS(tbl_Beneficiaires[ID projet],A76,tbl_Beneficiaires[Handicap],"Oui"))</f>
        <v>0</v>
      </c>
      <c r="AX76" s="80"/>
      <c r="AY76" s="80"/>
      <c r="AZ76" s="80"/>
      <c r="BA76" s="80"/>
      <c r="BB76" s="80"/>
      <c r="BC76" s="82" t="n">
        <f aca="false">IF(OR(AX76="",AX76=0),0,BA76/AX76)</f>
        <v>0</v>
      </c>
      <c r="BD76" s="83"/>
      <c r="BE76" s="61" t="str">
        <f aca="true">IF(A76="","",IF(AND(Z76&lt;&gt;"",TODAY()&gt;Z76,NOT(OR(AD76="Termine",AD76="Cloture",AD76="Annule",AD76="Non retenu"))),"OUI","NON"))</f>
        <v/>
      </c>
      <c r="BF76" s="61" t="str">
        <f aca="true">IF(A76="","",IF(AND(Z76&lt;&gt;"",(Z76-TODAY())&gt;=0,(Z76-TODAY())&lt;=30,NOT(OR(AD76="Termine",AD76="Cloture",AD76="Annule",AD76="Non retenu"))),"OUI","NON"))</f>
        <v/>
      </c>
      <c r="BG76" s="61" t="str">
        <f aca="false">IF(A76="","",IF(AI76&gt;AG76,"OUI","NON"))</f>
        <v/>
      </c>
      <c r="BH76" s="61" t="str">
        <f aca="false">IF(A76="","",IF(AH76&lt;AG76,"OUI","NON"))</f>
        <v/>
      </c>
      <c r="BI76" s="78"/>
    </row>
    <row r="77" customFormat="false" ht="15" hidden="false" customHeight="true" outlineLevel="0" collapsed="false">
      <c r="A77" s="61" t="str">
        <f aca="false">IF(C77="","","PROJ"&amp;TEXT(ROW()-55,"0000"))</f>
        <v/>
      </c>
      <c r="B77" s="65"/>
      <c r="C77" s="65"/>
      <c r="D77" s="65"/>
      <c r="E77" s="78"/>
      <c r="F77" s="78"/>
      <c r="G77" s="78"/>
      <c r="H77" s="78"/>
      <c r="I77" s="78"/>
      <c r="J77" s="65"/>
      <c r="K77" s="65"/>
      <c r="L77" s="78"/>
      <c r="M77" s="65"/>
      <c r="N77" s="65"/>
      <c r="O77" s="65"/>
      <c r="P77" s="65"/>
      <c r="Q77" s="65"/>
      <c r="R77" s="65"/>
      <c r="S77" s="61" t="str">
        <f aca="false">IFERROR(INDEX(PARAMETRES!$B$536:$B$586,MATCH(R77,PARAMETRES!$J$536:$J$586,0)),"")</f>
        <v/>
      </c>
      <c r="T77" s="61" t="str">
        <f aca="false">IFERROR(INDEX(PARAMETRES!$D$536:$D$586,MATCH(R77,PARAMETRES!$J$536:$J$586,0)),"")</f>
        <v/>
      </c>
      <c r="U77" s="61" t="str">
        <f aca="false">IFERROR(INDEX(PARAMETRES!$F$536:$F$586,MATCH(R77,PARAMETRES!$J$536:$J$586,0)),"")</f>
        <v/>
      </c>
      <c r="V77" s="61" t="str">
        <f aca="false">IFERROR(INDEX(PARAMETRES!$G$536:$G$586,MATCH(R77,PARAMETRES!$J$536:$J$586,0)),"")</f>
        <v/>
      </c>
      <c r="W77" s="65"/>
      <c r="X77" s="79"/>
      <c r="Y77" s="79"/>
      <c r="Z77" s="79"/>
      <c r="AA77" s="79"/>
      <c r="AB77" s="61" t="str">
        <f aca="false">IF(OR(X77="",Z77=""),"",Z77-X77)</f>
        <v/>
      </c>
      <c r="AC77" s="61" t="str">
        <f aca="false">IF(OR(Y77="",AA77=""),"",AA77-Y77)</f>
        <v/>
      </c>
      <c r="AD77" s="65"/>
      <c r="AE77" s="65"/>
      <c r="AF77" s="80"/>
      <c r="AG77" s="80"/>
      <c r="AH77" s="81" t="n">
        <f aca="false">IF(A77="",0,SUMIF(tbl_Projets_Financements[ID Projet],A77,tbl_Projets_Financements[Montant recu]))</f>
        <v>0</v>
      </c>
      <c r="AI77" s="80"/>
      <c r="AJ77" s="81" t="n">
        <f aca="false">IF(AG77="",0,AG77)-IF(AI77="",0,AI77)</f>
        <v>0</v>
      </c>
      <c r="AK77" s="81" t="n">
        <f aca="false">AH77-AI77</f>
        <v>0</v>
      </c>
      <c r="AL77" s="82" t="n">
        <f aca="false">IF(OR(AG77="",AG77=0),0,AI77/AG77)</f>
        <v>0</v>
      </c>
      <c r="AM77" s="80"/>
      <c r="AN77" s="80"/>
      <c r="AO77" s="80"/>
      <c r="AP77" s="80"/>
      <c r="AQ77" s="80"/>
      <c r="AR77" s="80"/>
      <c r="AS77" s="61" t="n">
        <f aca="false">IF(A77="",0,COUNTIFS(tbl_Beneficiaires[ID projet],A77))</f>
        <v>0</v>
      </c>
      <c r="AT77" s="61" t="n">
        <f aca="false">IF(A77="",0,COUNTIFS(tbl_Beneficiaires[ID projet],A77,tbl_Beneficiaires[Sexe],"Feminin"))</f>
        <v>0</v>
      </c>
      <c r="AU77" s="61" t="n">
        <f aca="false">IF(A77="",0,COUNTIFS(tbl_Beneficiaires[ID projet],A77,tbl_Beneficiaires[Sexe],"Masculin"))</f>
        <v>0</v>
      </c>
      <c r="AV77" s="61" t="n">
        <f aca="false">IF(A77="",0,COUNTIFS(tbl_Beneficiaires[ID projet],A77,tbl_Beneficiaires[Menage vulnerable],"Oui"))</f>
        <v>0</v>
      </c>
      <c r="AW77" s="61" t="n">
        <f aca="false">IF(A77="",0,COUNTIFS(tbl_Beneficiaires[ID projet],A77,tbl_Beneficiaires[Handicap],"Oui"))</f>
        <v>0</v>
      </c>
      <c r="AX77" s="80"/>
      <c r="AY77" s="80"/>
      <c r="AZ77" s="80"/>
      <c r="BA77" s="80"/>
      <c r="BB77" s="80"/>
      <c r="BC77" s="82" t="n">
        <f aca="false">IF(OR(AX77="",AX77=0),0,BA77/AX77)</f>
        <v>0</v>
      </c>
      <c r="BD77" s="83"/>
      <c r="BE77" s="61" t="str">
        <f aca="true">IF(A77="","",IF(AND(Z77&lt;&gt;"",TODAY()&gt;Z77,NOT(OR(AD77="Termine",AD77="Cloture",AD77="Annule",AD77="Non retenu"))),"OUI","NON"))</f>
        <v/>
      </c>
      <c r="BF77" s="61" t="str">
        <f aca="true">IF(A77="","",IF(AND(Z77&lt;&gt;"",(Z77-TODAY())&gt;=0,(Z77-TODAY())&lt;=30,NOT(OR(AD77="Termine",AD77="Cloture",AD77="Annule",AD77="Non retenu"))),"OUI","NON"))</f>
        <v/>
      </c>
      <c r="BG77" s="61" t="str">
        <f aca="false">IF(A77="","",IF(AI77&gt;AG77,"OUI","NON"))</f>
        <v/>
      </c>
      <c r="BH77" s="61" t="str">
        <f aca="false">IF(A77="","",IF(AH77&lt;AG77,"OUI","NON"))</f>
        <v/>
      </c>
      <c r="BI77" s="78"/>
    </row>
    <row r="78" customFormat="false" ht="15" hidden="false" customHeight="true" outlineLevel="0" collapsed="false">
      <c r="A78" s="61" t="str">
        <f aca="false">IF(C78="","","PROJ"&amp;TEXT(ROW()-55,"0000"))</f>
        <v/>
      </c>
      <c r="B78" s="65"/>
      <c r="C78" s="65"/>
      <c r="D78" s="65"/>
      <c r="E78" s="78"/>
      <c r="F78" s="78"/>
      <c r="G78" s="78"/>
      <c r="H78" s="78"/>
      <c r="I78" s="78"/>
      <c r="J78" s="65"/>
      <c r="K78" s="65"/>
      <c r="L78" s="78"/>
      <c r="M78" s="65"/>
      <c r="N78" s="65"/>
      <c r="O78" s="65"/>
      <c r="P78" s="65"/>
      <c r="Q78" s="65"/>
      <c r="R78" s="65"/>
      <c r="S78" s="61" t="str">
        <f aca="false">IFERROR(INDEX(PARAMETRES!$B$536:$B$586,MATCH(R78,PARAMETRES!$J$536:$J$586,0)),"")</f>
        <v/>
      </c>
      <c r="T78" s="61" t="str">
        <f aca="false">IFERROR(INDEX(PARAMETRES!$D$536:$D$586,MATCH(R78,PARAMETRES!$J$536:$J$586,0)),"")</f>
        <v/>
      </c>
      <c r="U78" s="61" t="str">
        <f aca="false">IFERROR(INDEX(PARAMETRES!$F$536:$F$586,MATCH(R78,PARAMETRES!$J$536:$J$586,0)),"")</f>
        <v/>
      </c>
      <c r="V78" s="61" t="str">
        <f aca="false">IFERROR(INDEX(PARAMETRES!$G$536:$G$586,MATCH(R78,PARAMETRES!$J$536:$J$586,0)),"")</f>
        <v/>
      </c>
      <c r="W78" s="65"/>
      <c r="X78" s="79"/>
      <c r="Y78" s="79"/>
      <c r="Z78" s="79"/>
      <c r="AA78" s="79"/>
      <c r="AB78" s="61" t="str">
        <f aca="false">IF(OR(X78="",Z78=""),"",Z78-X78)</f>
        <v/>
      </c>
      <c r="AC78" s="61" t="str">
        <f aca="false">IF(OR(Y78="",AA78=""),"",AA78-Y78)</f>
        <v/>
      </c>
      <c r="AD78" s="65"/>
      <c r="AE78" s="65"/>
      <c r="AF78" s="80"/>
      <c r="AG78" s="80"/>
      <c r="AH78" s="81" t="n">
        <f aca="false">IF(A78="",0,SUMIF(tbl_Projets_Financements[ID Projet],A78,tbl_Projets_Financements[Montant recu]))</f>
        <v>0</v>
      </c>
      <c r="AI78" s="80"/>
      <c r="AJ78" s="81" t="n">
        <f aca="false">IF(AG78="",0,AG78)-IF(AI78="",0,AI78)</f>
        <v>0</v>
      </c>
      <c r="AK78" s="81" t="n">
        <f aca="false">AH78-AI78</f>
        <v>0</v>
      </c>
      <c r="AL78" s="82" t="n">
        <f aca="false">IF(OR(AG78="",AG78=0),0,AI78/AG78)</f>
        <v>0</v>
      </c>
      <c r="AM78" s="80"/>
      <c r="AN78" s="80"/>
      <c r="AO78" s="80"/>
      <c r="AP78" s="80"/>
      <c r="AQ78" s="80"/>
      <c r="AR78" s="80"/>
      <c r="AS78" s="61" t="n">
        <f aca="false">IF(A78="",0,COUNTIFS(tbl_Beneficiaires[ID projet],A78))</f>
        <v>0</v>
      </c>
      <c r="AT78" s="61" t="n">
        <f aca="false">IF(A78="",0,COUNTIFS(tbl_Beneficiaires[ID projet],A78,tbl_Beneficiaires[Sexe],"Feminin"))</f>
        <v>0</v>
      </c>
      <c r="AU78" s="61" t="n">
        <f aca="false">IF(A78="",0,COUNTIFS(tbl_Beneficiaires[ID projet],A78,tbl_Beneficiaires[Sexe],"Masculin"))</f>
        <v>0</v>
      </c>
      <c r="AV78" s="61" t="n">
        <f aca="false">IF(A78="",0,COUNTIFS(tbl_Beneficiaires[ID projet],A78,tbl_Beneficiaires[Menage vulnerable],"Oui"))</f>
        <v>0</v>
      </c>
      <c r="AW78" s="61" t="n">
        <f aca="false">IF(A78="",0,COUNTIFS(tbl_Beneficiaires[ID projet],A78,tbl_Beneficiaires[Handicap],"Oui"))</f>
        <v>0</v>
      </c>
      <c r="AX78" s="80"/>
      <c r="AY78" s="80"/>
      <c r="AZ78" s="80"/>
      <c r="BA78" s="80"/>
      <c r="BB78" s="80"/>
      <c r="BC78" s="82" t="n">
        <f aca="false">IF(OR(AX78="",AX78=0),0,BA78/AX78)</f>
        <v>0</v>
      </c>
      <c r="BD78" s="83"/>
      <c r="BE78" s="61" t="str">
        <f aca="true">IF(A78="","",IF(AND(Z78&lt;&gt;"",TODAY()&gt;Z78,NOT(OR(AD78="Termine",AD78="Cloture",AD78="Annule",AD78="Non retenu"))),"OUI","NON"))</f>
        <v/>
      </c>
      <c r="BF78" s="61" t="str">
        <f aca="true">IF(A78="","",IF(AND(Z78&lt;&gt;"",(Z78-TODAY())&gt;=0,(Z78-TODAY())&lt;=30,NOT(OR(AD78="Termine",AD78="Cloture",AD78="Annule",AD78="Non retenu"))),"OUI","NON"))</f>
        <v/>
      </c>
      <c r="BG78" s="61" t="str">
        <f aca="false">IF(A78="","",IF(AI78&gt;AG78,"OUI","NON"))</f>
        <v/>
      </c>
      <c r="BH78" s="61" t="str">
        <f aca="false">IF(A78="","",IF(AH78&lt;AG78,"OUI","NON"))</f>
        <v/>
      </c>
      <c r="BI78" s="78"/>
    </row>
    <row r="79" customFormat="false" ht="15" hidden="false" customHeight="true" outlineLevel="0" collapsed="false">
      <c r="A79" s="61" t="str">
        <f aca="false">IF(C79="","","PROJ"&amp;TEXT(ROW()-55,"0000"))</f>
        <v/>
      </c>
      <c r="B79" s="65"/>
      <c r="C79" s="65"/>
      <c r="D79" s="65"/>
      <c r="E79" s="78"/>
      <c r="F79" s="78"/>
      <c r="G79" s="78"/>
      <c r="H79" s="78"/>
      <c r="I79" s="78"/>
      <c r="J79" s="65"/>
      <c r="K79" s="65"/>
      <c r="L79" s="78"/>
      <c r="M79" s="65"/>
      <c r="N79" s="65"/>
      <c r="O79" s="65"/>
      <c r="P79" s="65"/>
      <c r="Q79" s="65"/>
      <c r="R79" s="65"/>
      <c r="S79" s="61" t="str">
        <f aca="false">IFERROR(INDEX(PARAMETRES!$B$536:$B$586,MATCH(R79,PARAMETRES!$J$536:$J$586,0)),"")</f>
        <v/>
      </c>
      <c r="T79" s="61" t="str">
        <f aca="false">IFERROR(INDEX(PARAMETRES!$D$536:$D$586,MATCH(R79,PARAMETRES!$J$536:$J$586,0)),"")</f>
        <v/>
      </c>
      <c r="U79" s="61" t="str">
        <f aca="false">IFERROR(INDEX(PARAMETRES!$F$536:$F$586,MATCH(R79,PARAMETRES!$J$536:$J$586,0)),"")</f>
        <v/>
      </c>
      <c r="V79" s="61" t="str">
        <f aca="false">IFERROR(INDEX(PARAMETRES!$G$536:$G$586,MATCH(R79,PARAMETRES!$J$536:$J$586,0)),"")</f>
        <v/>
      </c>
      <c r="W79" s="65"/>
      <c r="X79" s="79"/>
      <c r="Y79" s="79"/>
      <c r="Z79" s="79"/>
      <c r="AA79" s="79"/>
      <c r="AB79" s="61" t="str">
        <f aca="false">IF(OR(X79="",Z79=""),"",Z79-X79)</f>
        <v/>
      </c>
      <c r="AC79" s="61" t="str">
        <f aca="false">IF(OR(Y79="",AA79=""),"",AA79-Y79)</f>
        <v/>
      </c>
      <c r="AD79" s="65"/>
      <c r="AE79" s="65"/>
      <c r="AF79" s="80"/>
      <c r="AG79" s="80"/>
      <c r="AH79" s="81" t="n">
        <f aca="false">IF(A79="",0,SUMIF(tbl_Projets_Financements[ID Projet],A79,tbl_Projets_Financements[Montant recu]))</f>
        <v>0</v>
      </c>
      <c r="AI79" s="80"/>
      <c r="AJ79" s="81" t="n">
        <f aca="false">IF(AG79="",0,AG79)-IF(AI79="",0,AI79)</f>
        <v>0</v>
      </c>
      <c r="AK79" s="81" t="n">
        <f aca="false">AH79-AI79</f>
        <v>0</v>
      </c>
      <c r="AL79" s="82" t="n">
        <f aca="false">IF(OR(AG79="",AG79=0),0,AI79/AG79)</f>
        <v>0</v>
      </c>
      <c r="AM79" s="80"/>
      <c r="AN79" s="80"/>
      <c r="AO79" s="80"/>
      <c r="AP79" s="80"/>
      <c r="AQ79" s="80"/>
      <c r="AR79" s="80"/>
      <c r="AS79" s="61" t="n">
        <f aca="false">IF(A79="",0,COUNTIFS(tbl_Beneficiaires[ID projet],A79))</f>
        <v>0</v>
      </c>
      <c r="AT79" s="61" t="n">
        <f aca="false">IF(A79="",0,COUNTIFS(tbl_Beneficiaires[ID projet],A79,tbl_Beneficiaires[Sexe],"Feminin"))</f>
        <v>0</v>
      </c>
      <c r="AU79" s="61" t="n">
        <f aca="false">IF(A79="",0,COUNTIFS(tbl_Beneficiaires[ID projet],A79,tbl_Beneficiaires[Sexe],"Masculin"))</f>
        <v>0</v>
      </c>
      <c r="AV79" s="61" t="n">
        <f aca="false">IF(A79="",0,COUNTIFS(tbl_Beneficiaires[ID projet],A79,tbl_Beneficiaires[Menage vulnerable],"Oui"))</f>
        <v>0</v>
      </c>
      <c r="AW79" s="61" t="n">
        <f aca="false">IF(A79="",0,COUNTIFS(tbl_Beneficiaires[ID projet],A79,tbl_Beneficiaires[Handicap],"Oui"))</f>
        <v>0</v>
      </c>
      <c r="AX79" s="80"/>
      <c r="AY79" s="80"/>
      <c r="AZ79" s="80"/>
      <c r="BA79" s="80"/>
      <c r="BB79" s="80"/>
      <c r="BC79" s="82" t="n">
        <f aca="false">IF(OR(AX79="",AX79=0),0,BA79/AX79)</f>
        <v>0</v>
      </c>
      <c r="BD79" s="83"/>
      <c r="BE79" s="61" t="str">
        <f aca="true">IF(A79="","",IF(AND(Z79&lt;&gt;"",TODAY()&gt;Z79,NOT(OR(AD79="Termine",AD79="Cloture",AD79="Annule",AD79="Non retenu"))),"OUI","NON"))</f>
        <v/>
      </c>
      <c r="BF79" s="61" t="str">
        <f aca="true">IF(A79="","",IF(AND(Z79&lt;&gt;"",(Z79-TODAY())&gt;=0,(Z79-TODAY())&lt;=30,NOT(OR(AD79="Termine",AD79="Cloture",AD79="Annule",AD79="Non retenu"))),"OUI","NON"))</f>
        <v/>
      </c>
      <c r="BG79" s="61" t="str">
        <f aca="false">IF(A79="","",IF(AI79&gt;AG79,"OUI","NON"))</f>
        <v/>
      </c>
      <c r="BH79" s="61" t="str">
        <f aca="false">IF(A79="","",IF(AH79&lt;AG79,"OUI","NON"))</f>
        <v/>
      </c>
      <c r="BI79" s="78"/>
    </row>
    <row r="80" customFormat="false" ht="15" hidden="false" customHeight="true" outlineLevel="0" collapsed="false">
      <c r="A80" s="61" t="str">
        <f aca="false">IF(C80="","","PROJ"&amp;TEXT(ROW()-55,"0000"))</f>
        <v/>
      </c>
      <c r="B80" s="65"/>
      <c r="C80" s="65"/>
      <c r="D80" s="65"/>
      <c r="E80" s="78"/>
      <c r="F80" s="78"/>
      <c r="G80" s="78"/>
      <c r="H80" s="78"/>
      <c r="I80" s="78"/>
      <c r="J80" s="65"/>
      <c r="K80" s="65"/>
      <c r="L80" s="78"/>
      <c r="M80" s="65"/>
      <c r="N80" s="65"/>
      <c r="O80" s="65"/>
      <c r="P80" s="65"/>
      <c r="Q80" s="65"/>
      <c r="R80" s="65"/>
      <c r="S80" s="61" t="str">
        <f aca="false">IFERROR(INDEX(PARAMETRES!$B$536:$B$586,MATCH(R80,PARAMETRES!$J$536:$J$586,0)),"")</f>
        <v/>
      </c>
      <c r="T80" s="61" t="str">
        <f aca="false">IFERROR(INDEX(PARAMETRES!$D$536:$D$586,MATCH(R80,PARAMETRES!$J$536:$J$586,0)),"")</f>
        <v/>
      </c>
      <c r="U80" s="61" t="str">
        <f aca="false">IFERROR(INDEX(PARAMETRES!$F$536:$F$586,MATCH(R80,PARAMETRES!$J$536:$J$586,0)),"")</f>
        <v/>
      </c>
      <c r="V80" s="61" t="str">
        <f aca="false">IFERROR(INDEX(PARAMETRES!$G$536:$G$586,MATCH(R80,PARAMETRES!$J$536:$J$586,0)),"")</f>
        <v/>
      </c>
      <c r="W80" s="65"/>
      <c r="X80" s="79"/>
      <c r="Y80" s="79"/>
      <c r="Z80" s="79"/>
      <c r="AA80" s="79"/>
      <c r="AB80" s="61" t="str">
        <f aca="false">IF(OR(X80="",Z80=""),"",Z80-X80)</f>
        <v/>
      </c>
      <c r="AC80" s="61" t="str">
        <f aca="false">IF(OR(Y80="",AA80=""),"",AA80-Y80)</f>
        <v/>
      </c>
      <c r="AD80" s="65"/>
      <c r="AE80" s="65"/>
      <c r="AF80" s="80"/>
      <c r="AG80" s="80"/>
      <c r="AH80" s="81" t="n">
        <f aca="false">IF(A80="",0,SUMIF(tbl_Projets_Financements[ID Projet],A80,tbl_Projets_Financements[Montant recu]))</f>
        <v>0</v>
      </c>
      <c r="AI80" s="80"/>
      <c r="AJ80" s="81" t="n">
        <f aca="false">IF(AG80="",0,AG80)-IF(AI80="",0,AI80)</f>
        <v>0</v>
      </c>
      <c r="AK80" s="81" t="n">
        <f aca="false">AH80-AI80</f>
        <v>0</v>
      </c>
      <c r="AL80" s="82" t="n">
        <f aca="false">IF(OR(AG80="",AG80=0),0,AI80/AG80)</f>
        <v>0</v>
      </c>
      <c r="AM80" s="80"/>
      <c r="AN80" s="80"/>
      <c r="AO80" s="80"/>
      <c r="AP80" s="80"/>
      <c r="AQ80" s="80"/>
      <c r="AR80" s="80"/>
      <c r="AS80" s="61" t="n">
        <f aca="false">IF(A80="",0,COUNTIFS(tbl_Beneficiaires[ID projet],A80))</f>
        <v>0</v>
      </c>
      <c r="AT80" s="61" t="n">
        <f aca="false">IF(A80="",0,COUNTIFS(tbl_Beneficiaires[ID projet],A80,tbl_Beneficiaires[Sexe],"Feminin"))</f>
        <v>0</v>
      </c>
      <c r="AU80" s="61" t="n">
        <f aca="false">IF(A80="",0,COUNTIFS(tbl_Beneficiaires[ID projet],A80,tbl_Beneficiaires[Sexe],"Masculin"))</f>
        <v>0</v>
      </c>
      <c r="AV80" s="61" t="n">
        <f aca="false">IF(A80="",0,COUNTIFS(tbl_Beneficiaires[ID projet],A80,tbl_Beneficiaires[Menage vulnerable],"Oui"))</f>
        <v>0</v>
      </c>
      <c r="AW80" s="61" t="n">
        <f aca="false">IF(A80="",0,COUNTIFS(tbl_Beneficiaires[ID projet],A80,tbl_Beneficiaires[Handicap],"Oui"))</f>
        <v>0</v>
      </c>
      <c r="AX80" s="80"/>
      <c r="AY80" s="80"/>
      <c r="AZ80" s="80"/>
      <c r="BA80" s="80"/>
      <c r="BB80" s="80"/>
      <c r="BC80" s="82" t="n">
        <f aca="false">IF(OR(AX80="",AX80=0),0,BA80/AX80)</f>
        <v>0</v>
      </c>
      <c r="BD80" s="83"/>
      <c r="BE80" s="61" t="str">
        <f aca="true">IF(A80="","",IF(AND(Z80&lt;&gt;"",TODAY()&gt;Z80,NOT(OR(AD80="Termine",AD80="Cloture",AD80="Annule",AD80="Non retenu"))),"OUI","NON"))</f>
        <v/>
      </c>
      <c r="BF80" s="61" t="str">
        <f aca="true">IF(A80="","",IF(AND(Z80&lt;&gt;"",(Z80-TODAY())&gt;=0,(Z80-TODAY())&lt;=30,NOT(OR(AD80="Termine",AD80="Cloture",AD80="Annule",AD80="Non retenu"))),"OUI","NON"))</f>
        <v/>
      </c>
      <c r="BG80" s="61" t="str">
        <f aca="false">IF(A80="","",IF(AI80&gt;AG80,"OUI","NON"))</f>
        <v/>
      </c>
      <c r="BH80" s="61" t="str">
        <f aca="false">IF(A80="","",IF(AH80&lt;AG80,"OUI","NON"))</f>
        <v/>
      </c>
      <c r="BI80" s="78"/>
    </row>
    <row r="81" customFormat="false" ht="15" hidden="false" customHeight="true" outlineLevel="0" collapsed="false">
      <c r="A81" s="61" t="str">
        <f aca="false">IF(C81="","","PROJ"&amp;TEXT(ROW()-55,"0000"))</f>
        <v/>
      </c>
      <c r="B81" s="65"/>
      <c r="C81" s="65"/>
      <c r="D81" s="65"/>
      <c r="E81" s="78"/>
      <c r="F81" s="78"/>
      <c r="G81" s="78"/>
      <c r="H81" s="78"/>
      <c r="I81" s="78"/>
      <c r="J81" s="65"/>
      <c r="K81" s="65"/>
      <c r="L81" s="78"/>
      <c r="M81" s="65"/>
      <c r="N81" s="65"/>
      <c r="O81" s="65"/>
      <c r="P81" s="65"/>
      <c r="Q81" s="65"/>
      <c r="R81" s="65"/>
      <c r="S81" s="61" t="str">
        <f aca="false">IFERROR(INDEX(PARAMETRES!$B$536:$B$586,MATCH(R81,PARAMETRES!$J$536:$J$586,0)),"")</f>
        <v/>
      </c>
      <c r="T81" s="61" t="str">
        <f aca="false">IFERROR(INDEX(PARAMETRES!$D$536:$D$586,MATCH(R81,PARAMETRES!$J$536:$J$586,0)),"")</f>
        <v/>
      </c>
      <c r="U81" s="61" t="str">
        <f aca="false">IFERROR(INDEX(PARAMETRES!$F$536:$F$586,MATCH(R81,PARAMETRES!$J$536:$J$586,0)),"")</f>
        <v/>
      </c>
      <c r="V81" s="61" t="str">
        <f aca="false">IFERROR(INDEX(PARAMETRES!$G$536:$G$586,MATCH(R81,PARAMETRES!$J$536:$J$586,0)),"")</f>
        <v/>
      </c>
      <c r="W81" s="65"/>
      <c r="X81" s="79"/>
      <c r="Y81" s="79"/>
      <c r="Z81" s="79"/>
      <c r="AA81" s="79"/>
      <c r="AB81" s="61" t="str">
        <f aca="false">IF(OR(X81="",Z81=""),"",Z81-X81)</f>
        <v/>
      </c>
      <c r="AC81" s="61" t="str">
        <f aca="false">IF(OR(Y81="",AA81=""),"",AA81-Y81)</f>
        <v/>
      </c>
      <c r="AD81" s="65"/>
      <c r="AE81" s="65"/>
      <c r="AF81" s="80"/>
      <c r="AG81" s="80"/>
      <c r="AH81" s="81" t="n">
        <f aca="false">IF(A81="",0,SUMIF(tbl_Projets_Financements[ID Projet],A81,tbl_Projets_Financements[Montant recu]))</f>
        <v>0</v>
      </c>
      <c r="AI81" s="80"/>
      <c r="AJ81" s="81" t="n">
        <f aca="false">IF(AG81="",0,AG81)-IF(AI81="",0,AI81)</f>
        <v>0</v>
      </c>
      <c r="AK81" s="81" t="n">
        <f aca="false">AH81-AI81</f>
        <v>0</v>
      </c>
      <c r="AL81" s="82" t="n">
        <f aca="false">IF(OR(AG81="",AG81=0),0,AI81/AG81)</f>
        <v>0</v>
      </c>
      <c r="AM81" s="80"/>
      <c r="AN81" s="80"/>
      <c r="AO81" s="80"/>
      <c r="AP81" s="80"/>
      <c r="AQ81" s="80"/>
      <c r="AR81" s="80"/>
      <c r="AS81" s="61" t="n">
        <f aca="false">IF(A81="",0,COUNTIFS(tbl_Beneficiaires[ID projet],A81))</f>
        <v>0</v>
      </c>
      <c r="AT81" s="61" t="n">
        <f aca="false">IF(A81="",0,COUNTIFS(tbl_Beneficiaires[ID projet],A81,tbl_Beneficiaires[Sexe],"Feminin"))</f>
        <v>0</v>
      </c>
      <c r="AU81" s="61" t="n">
        <f aca="false">IF(A81="",0,COUNTIFS(tbl_Beneficiaires[ID projet],A81,tbl_Beneficiaires[Sexe],"Masculin"))</f>
        <v>0</v>
      </c>
      <c r="AV81" s="61" t="n">
        <f aca="false">IF(A81="",0,COUNTIFS(tbl_Beneficiaires[ID projet],A81,tbl_Beneficiaires[Menage vulnerable],"Oui"))</f>
        <v>0</v>
      </c>
      <c r="AW81" s="61" t="n">
        <f aca="false">IF(A81="",0,COUNTIFS(tbl_Beneficiaires[ID projet],A81,tbl_Beneficiaires[Handicap],"Oui"))</f>
        <v>0</v>
      </c>
      <c r="AX81" s="80"/>
      <c r="AY81" s="80"/>
      <c r="AZ81" s="80"/>
      <c r="BA81" s="80"/>
      <c r="BB81" s="80"/>
      <c r="BC81" s="82" t="n">
        <f aca="false">IF(OR(AX81="",AX81=0),0,BA81/AX81)</f>
        <v>0</v>
      </c>
      <c r="BD81" s="83"/>
      <c r="BE81" s="61" t="str">
        <f aca="true">IF(A81="","",IF(AND(Z81&lt;&gt;"",TODAY()&gt;Z81,NOT(OR(AD81="Termine",AD81="Cloture",AD81="Annule",AD81="Non retenu"))),"OUI","NON"))</f>
        <v/>
      </c>
      <c r="BF81" s="61" t="str">
        <f aca="true">IF(A81="","",IF(AND(Z81&lt;&gt;"",(Z81-TODAY())&gt;=0,(Z81-TODAY())&lt;=30,NOT(OR(AD81="Termine",AD81="Cloture",AD81="Annule",AD81="Non retenu"))),"OUI","NON"))</f>
        <v/>
      </c>
      <c r="BG81" s="61" t="str">
        <f aca="false">IF(A81="","",IF(AI81&gt;AG81,"OUI","NON"))</f>
        <v/>
      </c>
      <c r="BH81" s="61" t="str">
        <f aca="false">IF(A81="","",IF(AH81&lt;AG81,"OUI","NON"))</f>
        <v/>
      </c>
      <c r="BI81" s="78"/>
    </row>
    <row r="82" customFormat="false" ht="15" hidden="false" customHeight="true" outlineLevel="0" collapsed="false">
      <c r="A82" s="61" t="str">
        <f aca="false">IF(C82="","","PROJ"&amp;TEXT(ROW()-55,"0000"))</f>
        <v/>
      </c>
      <c r="B82" s="65"/>
      <c r="C82" s="65"/>
      <c r="D82" s="65"/>
      <c r="E82" s="78"/>
      <c r="F82" s="78"/>
      <c r="G82" s="78"/>
      <c r="H82" s="78"/>
      <c r="I82" s="78"/>
      <c r="J82" s="65"/>
      <c r="K82" s="65"/>
      <c r="L82" s="78"/>
      <c r="M82" s="65"/>
      <c r="N82" s="65"/>
      <c r="O82" s="65"/>
      <c r="P82" s="65"/>
      <c r="Q82" s="65"/>
      <c r="R82" s="65"/>
      <c r="S82" s="61" t="str">
        <f aca="false">IFERROR(INDEX(PARAMETRES!$B$536:$B$586,MATCH(R82,PARAMETRES!$J$536:$J$586,0)),"")</f>
        <v/>
      </c>
      <c r="T82" s="61" t="str">
        <f aca="false">IFERROR(INDEX(PARAMETRES!$D$536:$D$586,MATCH(R82,PARAMETRES!$J$536:$J$586,0)),"")</f>
        <v/>
      </c>
      <c r="U82" s="61" t="str">
        <f aca="false">IFERROR(INDEX(PARAMETRES!$F$536:$F$586,MATCH(R82,PARAMETRES!$J$536:$J$586,0)),"")</f>
        <v/>
      </c>
      <c r="V82" s="61" t="str">
        <f aca="false">IFERROR(INDEX(PARAMETRES!$G$536:$G$586,MATCH(R82,PARAMETRES!$J$536:$J$586,0)),"")</f>
        <v/>
      </c>
      <c r="W82" s="65"/>
      <c r="X82" s="79"/>
      <c r="Y82" s="79"/>
      <c r="Z82" s="79"/>
      <c r="AA82" s="79"/>
      <c r="AB82" s="61" t="str">
        <f aca="false">IF(OR(X82="",Z82=""),"",Z82-X82)</f>
        <v/>
      </c>
      <c r="AC82" s="61" t="str">
        <f aca="false">IF(OR(Y82="",AA82=""),"",AA82-Y82)</f>
        <v/>
      </c>
      <c r="AD82" s="65"/>
      <c r="AE82" s="65"/>
      <c r="AF82" s="80"/>
      <c r="AG82" s="80"/>
      <c r="AH82" s="81" t="n">
        <f aca="false">IF(A82="",0,SUMIF(tbl_Projets_Financements[ID Projet],A82,tbl_Projets_Financements[Montant recu]))</f>
        <v>0</v>
      </c>
      <c r="AI82" s="80"/>
      <c r="AJ82" s="81" t="n">
        <f aca="false">IF(AG82="",0,AG82)-IF(AI82="",0,AI82)</f>
        <v>0</v>
      </c>
      <c r="AK82" s="81" t="n">
        <f aca="false">AH82-AI82</f>
        <v>0</v>
      </c>
      <c r="AL82" s="82" t="n">
        <f aca="false">IF(OR(AG82="",AG82=0),0,AI82/AG82)</f>
        <v>0</v>
      </c>
      <c r="AM82" s="80"/>
      <c r="AN82" s="80"/>
      <c r="AO82" s="80"/>
      <c r="AP82" s="80"/>
      <c r="AQ82" s="80"/>
      <c r="AR82" s="80"/>
      <c r="AS82" s="61" t="n">
        <f aca="false">IF(A82="",0,COUNTIFS(tbl_Beneficiaires[ID projet],A82))</f>
        <v>0</v>
      </c>
      <c r="AT82" s="61" t="n">
        <f aca="false">IF(A82="",0,COUNTIFS(tbl_Beneficiaires[ID projet],A82,tbl_Beneficiaires[Sexe],"Feminin"))</f>
        <v>0</v>
      </c>
      <c r="AU82" s="61" t="n">
        <f aca="false">IF(A82="",0,COUNTIFS(tbl_Beneficiaires[ID projet],A82,tbl_Beneficiaires[Sexe],"Masculin"))</f>
        <v>0</v>
      </c>
      <c r="AV82" s="61" t="n">
        <f aca="false">IF(A82="",0,COUNTIFS(tbl_Beneficiaires[ID projet],A82,tbl_Beneficiaires[Menage vulnerable],"Oui"))</f>
        <v>0</v>
      </c>
      <c r="AW82" s="61" t="n">
        <f aca="false">IF(A82="",0,COUNTIFS(tbl_Beneficiaires[ID projet],A82,tbl_Beneficiaires[Handicap],"Oui"))</f>
        <v>0</v>
      </c>
      <c r="AX82" s="80"/>
      <c r="AY82" s="80"/>
      <c r="AZ82" s="80"/>
      <c r="BA82" s="80"/>
      <c r="BB82" s="80"/>
      <c r="BC82" s="82" t="n">
        <f aca="false">IF(OR(AX82="",AX82=0),0,BA82/AX82)</f>
        <v>0</v>
      </c>
      <c r="BD82" s="83"/>
      <c r="BE82" s="61" t="str">
        <f aca="true">IF(A82="","",IF(AND(Z82&lt;&gt;"",TODAY()&gt;Z82,NOT(OR(AD82="Termine",AD82="Cloture",AD82="Annule",AD82="Non retenu"))),"OUI","NON"))</f>
        <v/>
      </c>
      <c r="BF82" s="61" t="str">
        <f aca="true">IF(A82="","",IF(AND(Z82&lt;&gt;"",(Z82-TODAY())&gt;=0,(Z82-TODAY())&lt;=30,NOT(OR(AD82="Termine",AD82="Cloture",AD82="Annule",AD82="Non retenu"))),"OUI","NON"))</f>
        <v/>
      </c>
      <c r="BG82" s="61" t="str">
        <f aca="false">IF(A82="","",IF(AI82&gt;AG82,"OUI","NON"))</f>
        <v/>
      </c>
      <c r="BH82" s="61" t="str">
        <f aca="false">IF(A82="","",IF(AH82&lt;AG82,"OUI","NON"))</f>
        <v/>
      </c>
      <c r="BI82" s="78"/>
    </row>
    <row r="83" customFormat="false" ht="15" hidden="false" customHeight="true" outlineLevel="0" collapsed="false">
      <c r="A83" s="61" t="str">
        <f aca="false">IF(C83="","","PROJ"&amp;TEXT(ROW()-55,"0000"))</f>
        <v/>
      </c>
      <c r="B83" s="65"/>
      <c r="C83" s="65"/>
      <c r="D83" s="65"/>
      <c r="E83" s="78"/>
      <c r="F83" s="78"/>
      <c r="G83" s="78"/>
      <c r="H83" s="78"/>
      <c r="I83" s="78"/>
      <c r="J83" s="65"/>
      <c r="K83" s="65"/>
      <c r="L83" s="78"/>
      <c r="M83" s="65"/>
      <c r="N83" s="65"/>
      <c r="O83" s="65"/>
      <c r="P83" s="65"/>
      <c r="Q83" s="65"/>
      <c r="R83" s="65"/>
      <c r="S83" s="61" t="str">
        <f aca="false">IFERROR(INDEX(PARAMETRES!$B$536:$B$586,MATCH(R83,PARAMETRES!$J$536:$J$586,0)),"")</f>
        <v/>
      </c>
      <c r="T83" s="61" t="str">
        <f aca="false">IFERROR(INDEX(PARAMETRES!$D$536:$D$586,MATCH(R83,PARAMETRES!$J$536:$J$586,0)),"")</f>
        <v/>
      </c>
      <c r="U83" s="61" t="str">
        <f aca="false">IFERROR(INDEX(PARAMETRES!$F$536:$F$586,MATCH(R83,PARAMETRES!$J$536:$J$586,0)),"")</f>
        <v/>
      </c>
      <c r="V83" s="61" t="str">
        <f aca="false">IFERROR(INDEX(PARAMETRES!$G$536:$G$586,MATCH(R83,PARAMETRES!$J$536:$J$586,0)),"")</f>
        <v/>
      </c>
      <c r="W83" s="65"/>
      <c r="X83" s="79"/>
      <c r="Y83" s="79"/>
      <c r="Z83" s="79"/>
      <c r="AA83" s="79"/>
      <c r="AB83" s="61" t="str">
        <f aca="false">IF(OR(X83="",Z83=""),"",Z83-X83)</f>
        <v/>
      </c>
      <c r="AC83" s="61" t="str">
        <f aca="false">IF(OR(Y83="",AA83=""),"",AA83-Y83)</f>
        <v/>
      </c>
      <c r="AD83" s="65"/>
      <c r="AE83" s="65"/>
      <c r="AF83" s="80"/>
      <c r="AG83" s="80"/>
      <c r="AH83" s="81" t="n">
        <f aca="false">IF(A83="",0,SUMIF(tbl_Projets_Financements[ID Projet],A83,tbl_Projets_Financements[Montant recu]))</f>
        <v>0</v>
      </c>
      <c r="AI83" s="80"/>
      <c r="AJ83" s="81" t="n">
        <f aca="false">IF(AG83="",0,AG83)-IF(AI83="",0,AI83)</f>
        <v>0</v>
      </c>
      <c r="AK83" s="81" t="n">
        <f aca="false">AH83-AI83</f>
        <v>0</v>
      </c>
      <c r="AL83" s="82" t="n">
        <f aca="false">IF(OR(AG83="",AG83=0),0,AI83/AG83)</f>
        <v>0</v>
      </c>
      <c r="AM83" s="80"/>
      <c r="AN83" s="80"/>
      <c r="AO83" s="80"/>
      <c r="AP83" s="80"/>
      <c r="AQ83" s="80"/>
      <c r="AR83" s="80"/>
      <c r="AS83" s="61" t="n">
        <f aca="false">IF(A83="",0,COUNTIFS(tbl_Beneficiaires[ID projet],A83))</f>
        <v>0</v>
      </c>
      <c r="AT83" s="61" t="n">
        <f aca="false">IF(A83="",0,COUNTIFS(tbl_Beneficiaires[ID projet],A83,tbl_Beneficiaires[Sexe],"Feminin"))</f>
        <v>0</v>
      </c>
      <c r="AU83" s="61" t="n">
        <f aca="false">IF(A83="",0,COUNTIFS(tbl_Beneficiaires[ID projet],A83,tbl_Beneficiaires[Sexe],"Masculin"))</f>
        <v>0</v>
      </c>
      <c r="AV83" s="61" t="n">
        <f aca="false">IF(A83="",0,COUNTIFS(tbl_Beneficiaires[ID projet],A83,tbl_Beneficiaires[Menage vulnerable],"Oui"))</f>
        <v>0</v>
      </c>
      <c r="AW83" s="61" t="n">
        <f aca="false">IF(A83="",0,COUNTIFS(tbl_Beneficiaires[ID projet],A83,tbl_Beneficiaires[Handicap],"Oui"))</f>
        <v>0</v>
      </c>
      <c r="AX83" s="80"/>
      <c r="AY83" s="80"/>
      <c r="AZ83" s="80"/>
      <c r="BA83" s="80"/>
      <c r="BB83" s="80"/>
      <c r="BC83" s="82" t="n">
        <f aca="false">IF(OR(AX83="",AX83=0),0,BA83/AX83)</f>
        <v>0</v>
      </c>
      <c r="BD83" s="83"/>
      <c r="BE83" s="61" t="str">
        <f aca="true">IF(A83="","",IF(AND(Z83&lt;&gt;"",TODAY()&gt;Z83,NOT(OR(AD83="Termine",AD83="Cloture",AD83="Annule",AD83="Non retenu"))),"OUI","NON"))</f>
        <v/>
      </c>
      <c r="BF83" s="61" t="str">
        <f aca="true">IF(A83="","",IF(AND(Z83&lt;&gt;"",(Z83-TODAY())&gt;=0,(Z83-TODAY())&lt;=30,NOT(OR(AD83="Termine",AD83="Cloture",AD83="Annule",AD83="Non retenu"))),"OUI","NON"))</f>
        <v/>
      </c>
      <c r="BG83" s="61" t="str">
        <f aca="false">IF(A83="","",IF(AI83&gt;AG83,"OUI","NON"))</f>
        <v/>
      </c>
      <c r="BH83" s="61" t="str">
        <f aca="false">IF(A83="","",IF(AH83&lt;AG83,"OUI","NON"))</f>
        <v/>
      </c>
      <c r="BI83" s="78"/>
    </row>
    <row r="84" customFormat="false" ht="15" hidden="false" customHeight="true" outlineLevel="0" collapsed="false">
      <c r="A84" s="61" t="str">
        <f aca="false">IF(C84="","","PROJ"&amp;TEXT(ROW()-55,"0000"))</f>
        <v/>
      </c>
      <c r="B84" s="65"/>
      <c r="C84" s="65"/>
      <c r="D84" s="65"/>
      <c r="E84" s="78"/>
      <c r="F84" s="78"/>
      <c r="G84" s="78"/>
      <c r="H84" s="78"/>
      <c r="I84" s="78"/>
      <c r="J84" s="65"/>
      <c r="K84" s="65"/>
      <c r="L84" s="78"/>
      <c r="M84" s="65"/>
      <c r="N84" s="65"/>
      <c r="O84" s="65"/>
      <c r="P84" s="65"/>
      <c r="Q84" s="65"/>
      <c r="R84" s="65"/>
      <c r="S84" s="61" t="str">
        <f aca="false">IFERROR(INDEX(PARAMETRES!$B$536:$B$586,MATCH(R84,PARAMETRES!$J$536:$J$586,0)),"")</f>
        <v/>
      </c>
      <c r="T84" s="61" t="str">
        <f aca="false">IFERROR(INDEX(PARAMETRES!$D$536:$D$586,MATCH(R84,PARAMETRES!$J$536:$J$586,0)),"")</f>
        <v/>
      </c>
      <c r="U84" s="61" t="str">
        <f aca="false">IFERROR(INDEX(PARAMETRES!$F$536:$F$586,MATCH(R84,PARAMETRES!$J$536:$J$586,0)),"")</f>
        <v/>
      </c>
      <c r="V84" s="61" t="str">
        <f aca="false">IFERROR(INDEX(PARAMETRES!$G$536:$G$586,MATCH(R84,PARAMETRES!$J$536:$J$586,0)),"")</f>
        <v/>
      </c>
      <c r="W84" s="65"/>
      <c r="X84" s="79"/>
      <c r="Y84" s="79"/>
      <c r="Z84" s="79"/>
      <c r="AA84" s="79"/>
      <c r="AB84" s="61" t="str">
        <f aca="false">IF(OR(X84="",Z84=""),"",Z84-X84)</f>
        <v/>
      </c>
      <c r="AC84" s="61" t="str">
        <f aca="false">IF(OR(Y84="",AA84=""),"",AA84-Y84)</f>
        <v/>
      </c>
      <c r="AD84" s="65"/>
      <c r="AE84" s="65"/>
      <c r="AF84" s="80"/>
      <c r="AG84" s="80"/>
      <c r="AH84" s="81" t="n">
        <f aca="false">IF(A84="",0,SUMIF(tbl_Projets_Financements[ID Projet],A84,tbl_Projets_Financements[Montant recu]))</f>
        <v>0</v>
      </c>
      <c r="AI84" s="80"/>
      <c r="AJ84" s="81" t="n">
        <f aca="false">IF(AG84="",0,AG84)-IF(AI84="",0,AI84)</f>
        <v>0</v>
      </c>
      <c r="AK84" s="81" t="n">
        <f aca="false">AH84-AI84</f>
        <v>0</v>
      </c>
      <c r="AL84" s="82" t="n">
        <f aca="false">IF(OR(AG84="",AG84=0),0,AI84/AG84)</f>
        <v>0</v>
      </c>
      <c r="AM84" s="80"/>
      <c r="AN84" s="80"/>
      <c r="AO84" s="80"/>
      <c r="AP84" s="80"/>
      <c r="AQ84" s="80"/>
      <c r="AR84" s="80"/>
      <c r="AS84" s="61" t="n">
        <f aca="false">IF(A84="",0,COUNTIFS(tbl_Beneficiaires[ID projet],A84))</f>
        <v>0</v>
      </c>
      <c r="AT84" s="61" t="n">
        <f aca="false">IF(A84="",0,COUNTIFS(tbl_Beneficiaires[ID projet],A84,tbl_Beneficiaires[Sexe],"Feminin"))</f>
        <v>0</v>
      </c>
      <c r="AU84" s="61" t="n">
        <f aca="false">IF(A84="",0,COUNTIFS(tbl_Beneficiaires[ID projet],A84,tbl_Beneficiaires[Sexe],"Masculin"))</f>
        <v>0</v>
      </c>
      <c r="AV84" s="61" t="n">
        <f aca="false">IF(A84="",0,COUNTIFS(tbl_Beneficiaires[ID projet],A84,tbl_Beneficiaires[Menage vulnerable],"Oui"))</f>
        <v>0</v>
      </c>
      <c r="AW84" s="61" t="n">
        <f aca="false">IF(A84="",0,COUNTIFS(tbl_Beneficiaires[ID projet],A84,tbl_Beneficiaires[Handicap],"Oui"))</f>
        <v>0</v>
      </c>
      <c r="AX84" s="80"/>
      <c r="AY84" s="80"/>
      <c r="AZ84" s="80"/>
      <c r="BA84" s="80"/>
      <c r="BB84" s="80"/>
      <c r="BC84" s="82" t="n">
        <f aca="false">IF(OR(AX84="",AX84=0),0,BA84/AX84)</f>
        <v>0</v>
      </c>
      <c r="BD84" s="83"/>
      <c r="BE84" s="61" t="str">
        <f aca="true">IF(A84="","",IF(AND(Z84&lt;&gt;"",TODAY()&gt;Z84,NOT(OR(AD84="Termine",AD84="Cloture",AD84="Annule",AD84="Non retenu"))),"OUI","NON"))</f>
        <v/>
      </c>
      <c r="BF84" s="61" t="str">
        <f aca="true">IF(A84="","",IF(AND(Z84&lt;&gt;"",(Z84-TODAY())&gt;=0,(Z84-TODAY())&lt;=30,NOT(OR(AD84="Termine",AD84="Cloture",AD84="Annule",AD84="Non retenu"))),"OUI","NON"))</f>
        <v/>
      </c>
      <c r="BG84" s="61" t="str">
        <f aca="false">IF(A84="","",IF(AI84&gt;AG84,"OUI","NON"))</f>
        <v/>
      </c>
      <c r="BH84" s="61" t="str">
        <f aca="false">IF(A84="","",IF(AH84&lt;AG84,"OUI","NON"))</f>
        <v/>
      </c>
      <c r="BI84" s="78"/>
    </row>
    <row r="85" customFormat="false" ht="15" hidden="false" customHeight="true" outlineLevel="0" collapsed="false">
      <c r="A85" s="61" t="str">
        <f aca="false">IF(C85="","","PROJ"&amp;TEXT(ROW()-55,"0000"))</f>
        <v/>
      </c>
      <c r="B85" s="65"/>
      <c r="C85" s="65"/>
      <c r="D85" s="65"/>
      <c r="E85" s="78"/>
      <c r="F85" s="78"/>
      <c r="G85" s="78"/>
      <c r="H85" s="78"/>
      <c r="I85" s="78"/>
      <c r="J85" s="65"/>
      <c r="K85" s="65"/>
      <c r="L85" s="78"/>
      <c r="M85" s="65"/>
      <c r="N85" s="65"/>
      <c r="O85" s="65"/>
      <c r="P85" s="65"/>
      <c r="Q85" s="65"/>
      <c r="R85" s="65"/>
      <c r="S85" s="61" t="str">
        <f aca="false">IFERROR(INDEX(PARAMETRES!$B$536:$B$586,MATCH(R85,PARAMETRES!$J$536:$J$586,0)),"")</f>
        <v/>
      </c>
      <c r="T85" s="61" t="str">
        <f aca="false">IFERROR(INDEX(PARAMETRES!$D$536:$D$586,MATCH(R85,PARAMETRES!$J$536:$J$586,0)),"")</f>
        <v/>
      </c>
      <c r="U85" s="61" t="str">
        <f aca="false">IFERROR(INDEX(PARAMETRES!$F$536:$F$586,MATCH(R85,PARAMETRES!$J$536:$J$586,0)),"")</f>
        <v/>
      </c>
      <c r="V85" s="61" t="str">
        <f aca="false">IFERROR(INDEX(PARAMETRES!$G$536:$G$586,MATCH(R85,PARAMETRES!$J$536:$J$586,0)),"")</f>
        <v/>
      </c>
      <c r="W85" s="65"/>
      <c r="X85" s="79"/>
      <c r="Y85" s="79"/>
      <c r="Z85" s="79"/>
      <c r="AA85" s="79"/>
      <c r="AB85" s="61" t="str">
        <f aca="false">IF(OR(X85="",Z85=""),"",Z85-X85)</f>
        <v/>
      </c>
      <c r="AC85" s="61" t="str">
        <f aca="false">IF(OR(Y85="",AA85=""),"",AA85-Y85)</f>
        <v/>
      </c>
      <c r="AD85" s="65"/>
      <c r="AE85" s="65"/>
      <c r="AF85" s="80"/>
      <c r="AG85" s="80"/>
      <c r="AH85" s="81" t="n">
        <f aca="false">IF(A85="",0,SUMIF(tbl_Projets_Financements[ID Projet],A85,tbl_Projets_Financements[Montant recu]))</f>
        <v>0</v>
      </c>
      <c r="AI85" s="80"/>
      <c r="AJ85" s="81" t="n">
        <f aca="false">IF(AG85="",0,AG85)-IF(AI85="",0,AI85)</f>
        <v>0</v>
      </c>
      <c r="AK85" s="81" t="n">
        <f aca="false">AH85-AI85</f>
        <v>0</v>
      </c>
      <c r="AL85" s="82" t="n">
        <f aca="false">IF(OR(AG85="",AG85=0),0,AI85/AG85)</f>
        <v>0</v>
      </c>
      <c r="AM85" s="80"/>
      <c r="AN85" s="80"/>
      <c r="AO85" s="80"/>
      <c r="AP85" s="80"/>
      <c r="AQ85" s="80"/>
      <c r="AR85" s="80"/>
      <c r="AS85" s="61" t="n">
        <f aca="false">IF(A85="",0,COUNTIFS(tbl_Beneficiaires[ID projet],A85))</f>
        <v>0</v>
      </c>
      <c r="AT85" s="61" t="n">
        <f aca="false">IF(A85="",0,COUNTIFS(tbl_Beneficiaires[ID projet],A85,tbl_Beneficiaires[Sexe],"Feminin"))</f>
        <v>0</v>
      </c>
      <c r="AU85" s="61" t="n">
        <f aca="false">IF(A85="",0,COUNTIFS(tbl_Beneficiaires[ID projet],A85,tbl_Beneficiaires[Sexe],"Masculin"))</f>
        <v>0</v>
      </c>
      <c r="AV85" s="61" t="n">
        <f aca="false">IF(A85="",0,COUNTIFS(tbl_Beneficiaires[ID projet],A85,tbl_Beneficiaires[Menage vulnerable],"Oui"))</f>
        <v>0</v>
      </c>
      <c r="AW85" s="61" t="n">
        <f aca="false">IF(A85="",0,COUNTIFS(tbl_Beneficiaires[ID projet],A85,tbl_Beneficiaires[Handicap],"Oui"))</f>
        <v>0</v>
      </c>
      <c r="AX85" s="80"/>
      <c r="AY85" s="80"/>
      <c r="AZ85" s="80"/>
      <c r="BA85" s="80"/>
      <c r="BB85" s="80"/>
      <c r="BC85" s="82" t="n">
        <f aca="false">IF(OR(AX85="",AX85=0),0,BA85/AX85)</f>
        <v>0</v>
      </c>
      <c r="BD85" s="83"/>
      <c r="BE85" s="61" t="str">
        <f aca="true">IF(A85="","",IF(AND(Z85&lt;&gt;"",TODAY()&gt;Z85,NOT(OR(AD85="Termine",AD85="Cloture",AD85="Annule",AD85="Non retenu"))),"OUI","NON"))</f>
        <v/>
      </c>
      <c r="BF85" s="61" t="str">
        <f aca="true">IF(A85="","",IF(AND(Z85&lt;&gt;"",(Z85-TODAY())&gt;=0,(Z85-TODAY())&lt;=30,NOT(OR(AD85="Termine",AD85="Cloture",AD85="Annule",AD85="Non retenu"))),"OUI","NON"))</f>
        <v/>
      </c>
      <c r="BG85" s="61" t="str">
        <f aca="false">IF(A85="","",IF(AI85&gt;AG85,"OUI","NON"))</f>
        <v/>
      </c>
      <c r="BH85" s="61" t="str">
        <f aca="false">IF(A85="","",IF(AH85&lt;AG85,"OUI","NON"))</f>
        <v/>
      </c>
      <c r="BI85" s="78"/>
    </row>
    <row r="86" customFormat="false" ht="15" hidden="false" customHeight="true" outlineLevel="0" collapsed="false">
      <c r="A86" s="61" t="str">
        <f aca="false">IF(C86="","","PROJ"&amp;TEXT(ROW()-55,"0000"))</f>
        <v/>
      </c>
      <c r="B86" s="65"/>
      <c r="C86" s="65"/>
      <c r="D86" s="65"/>
      <c r="E86" s="78"/>
      <c r="F86" s="78"/>
      <c r="G86" s="78"/>
      <c r="H86" s="78"/>
      <c r="I86" s="78"/>
      <c r="J86" s="65"/>
      <c r="K86" s="65"/>
      <c r="L86" s="78"/>
      <c r="M86" s="65"/>
      <c r="N86" s="65"/>
      <c r="O86" s="65"/>
      <c r="P86" s="65"/>
      <c r="Q86" s="65"/>
      <c r="R86" s="65"/>
      <c r="S86" s="61" t="str">
        <f aca="false">IFERROR(INDEX(PARAMETRES!$B$536:$B$586,MATCH(R86,PARAMETRES!$J$536:$J$586,0)),"")</f>
        <v/>
      </c>
      <c r="T86" s="61" t="str">
        <f aca="false">IFERROR(INDEX(PARAMETRES!$D$536:$D$586,MATCH(R86,PARAMETRES!$J$536:$J$586,0)),"")</f>
        <v/>
      </c>
      <c r="U86" s="61" t="str">
        <f aca="false">IFERROR(INDEX(PARAMETRES!$F$536:$F$586,MATCH(R86,PARAMETRES!$J$536:$J$586,0)),"")</f>
        <v/>
      </c>
      <c r="V86" s="61" t="str">
        <f aca="false">IFERROR(INDEX(PARAMETRES!$G$536:$G$586,MATCH(R86,PARAMETRES!$J$536:$J$586,0)),"")</f>
        <v/>
      </c>
      <c r="W86" s="65"/>
      <c r="X86" s="79"/>
      <c r="Y86" s="79"/>
      <c r="Z86" s="79"/>
      <c r="AA86" s="79"/>
      <c r="AB86" s="61" t="str">
        <f aca="false">IF(OR(X86="",Z86=""),"",Z86-X86)</f>
        <v/>
      </c>
      <c r="AC86" s="61" t="str">
        <f aca="false">IF(OR(Y86="",AA86=""),"",AA86-Y86)</f>
        <v/>
      </c>
      <c r="AD86" s="65"/>
      <c r="AE86" s="65"/>
      <c r="AF86" s="80"/>
      <c r="AG86" s="80"/>
      <c r="AH86" s="81" t="n">
        <f aca="false">IF(A86="",0,SUMIF(tbl_Projets_Financements[ID Projet],A86,tbl_Projets_Financements[Montant recu]))</f>
        <v>0</v>
      </c>
      <c r="AI86" s="80"/>
      <c r="AJ86" s="81" t="n">
        <f aca="false">IF(AG86="",0,AG86)-IF(AI86="",0,AI86)</f>
        <v>0</v>
      </c>
      <c r="AK86" s="81" t="n">
        <f aca="false">AH86-AI86</f>
        <v>0</v>
      </c>
      <c r="AL86" s="82" t="n">
        <f aca="false">IF(OR(AG86="",AG86=0),0,AI86/AG86)</f>
        <v>0</v>
      </c>
      <c r="AM86" s="80"/>
      <c r="AN86" s="80"/>
      <c r="AO86" s="80"/>
      <c r="AP86" s="80"/>
      <c r="AQ86" s="80"/>
      <c r="AR86" s="80"/>
      <c r="AS86" s="61" t="n">
        <f aca="false">IF(A86="",0,COUNTIFS(tbl_Beneficiaires[ID projet],A86))</f>
        <v>0</v>
      </c>
      <c r="AT86" s="61" t="n">
        <f aca="false">IF(A86="",0,COUNTIFS(tbl_Beneficiaires[ID projet],A86,tbl_Beneficiaires[Sexe],"Feminin"))</f>
        <v>0</v>
      </c>
      <c r="AU86" s="61" t="n">
        <f aca="false">IF(A86="",0,COUNTIFS(tbl_Beneficiaires[ID projet],A86,tbl_Beneficiaires[Sexe],"Masculin"))</f>
        <v>0</v>
      </c>
      <c r="AV86" s="61" t="n">
        <f aca="false">IF(A86="",0,COUNTIFS(tbl_Beneficiaires[ID projet],A86,tbl_Beneficiaires[Menage vulnerable],"Oui"))</f>
        <v>0</v>
      </c>
      <c r="AW86" s="61" t="n">
        <f aca="false">IF(A86="",0,COUNTIFS(tbl_Beneficiaires[ID projet],A86,tbl_Beneficiaires[Handicap],"Oui"))</f>
        <v>0</v>
      </c>
      <c r="AX86" s="80"/>
      <c r="AY86" s="80"/>
      <c r="AZ86" s="80"/>
      <c r="BA86" s="80"/>
      <c r="BB86" s="80"/>
      <c r="BC86" s="82" t="n">
        <f aca="false">IF(OR(AX86="",AX86=0),0,BA86/AX86)</f>
        <v>0</v>
      </c>
      <c r="BD86" s="83"/>
      <c r="BE86" s="61" t="str">
        <f aca="true">IF(A86="","",IF(AND(Z86&lt;&gt;"",TODAY()&gt;Z86,NOT(OR(AD86="Termine",AD86="Cloture",AD86="Annule",AD86="Non retenu"))),"OUI","NON"))</f>
        <v/>
      </c>
      <c r="BF86" s="61" t="str">
        <f aca="true">IF(A86="","",IF(AND(Z86&lt;&gt;"",(Z86-TODAY())&gt;=0,(Z86-TODAY())&lt;=30,NOT(OR(AD86="Termine",AD86="Cloture",AD86="Annule",AD86="Non retenu"))),"OUI","NON"))</f>
        <v/>
      </c>
      <c r="BG86" s="61" t="str">
        <f aca="false">IF(A86="","",IF(AI86&gt;AG86,"OUI","NON"))</f>
        <v/>
      </c>
      <c r="BH86" s="61" t="str">
        <f aca="false">IF(A86="","",IF(AH86&lt;AG86,"OUI","NON"))</f>
        <v/>
      </c>
      <c r="BI86" s="78"/>
    </row>
    <row r="87" customFormat="false" ht="15" hidden="false" customHeight="true" outlineLevel="0" collapsed="false">
      <c r="A87" s="61" t="str">
        <f aca="false">IF(C87="","","PROJ"&amp;TEXT(ROW()-55,"0000"))</f>
        <v/>
      </c>
      <c r="B87" s="65"/>
      <c r="C87" s="65"/>
      <c r="D87" s="65"/>
      <c r="E87" s="78"/>
      <c r="F87" s="78"/>
      <c r="G87" s="78"/>
      <c r="H87" s="78"/>
      <c r="I87" s="78"/>
      <c r="J87" s="65"/>
      <c r="K87" s="65"/>
      <c r="L87" s="78"/>
      <c r="M87" s="65"/>
      <c r="N87" s="65"/>
      <c r="O87" s="65"/>
      <c r="P87" s="65"/>
      <c r="Q87" s="65"/>
      <c r="R87" s="65"/>
      <c r="S87" s="61" t="str">
        <f aca="false">IFERROR(INDEX(PARAMETRES!$B$536:$B$586,MATCH(R87,PARAMETRES!$J$536:$J$586,0)),"")</f>
        <v/>
      </c>
      <c r="T87" s="61" t="str">
        <f aca="false">IFERROR(INDEX(PARAMETRES!$D$536:$D$586,MATCH(R87,PARAMETRES!$J$536:$J$586,0)),"")</f>
        <v/>
      </c>
      <c r="U87" s="61" t="str">
        <f aca="false">IFERROR(INDEX(PARAMETRES!$F$536:$F$586,MATCH(R87,PARAMETRES!$J$536:$J$586,0)),"")</f>
        <v/>
      </c>
      <c r="V87" s="61" t="str">
        <f aca="false">IFERROR(INDEX(PARAMETRES!$G$536:$G$586,MATCH(R87,PARAMETRES!$J$536:$J$586,0)),"")</f>
        <v/>
      </c>
      <c r="W87" s="65"/>
      <c r="X87" s="79"/>
      <c r="Y87" s="79"/>
      <c r="Z87" s="79"/>
      <c r="AA87" s="79"/>
      <c r="AB87" s="61" t="str">
        <f aca="false">IF(OR(X87="",Z87=""),"",Z87-X87)</f>
        <v/>
      </c>
      <c r="AC87" s="61" t="str">
        <f aca="false">IF(OR(Y87="",AA87=""),"",AA87-Y87)</f>
        <v/>
      </c>
      <c r="AD87" s="65"/>
      <c r="AE87" s="65"/>
      <c r="AF87" s="80"/>
      <c r="AG87" s="80"/>
      <c r="AH87" s="81" t="n">
        <f aca="false">IF(A87="",0,SUMIF(tbl_Projets_Financements[ID Projet],A87,tbl_Projets_Financements[Montant recu]))</f>
        <v>0</v>
      </c>
      <c r="AI87" s="80"/>
      <c r="AJ87" s="81" t="n">
        <f aca="false">IF(AG87="",0,AG87)-IF(AI87="",0,AI87)</f>
        <v>0</v>
      </c>
      <c r="AK87" s="81" t="n">
        <f aca="false">AH87-AI87</f>
        <v>0</v>
      </c>
      <c r="AL87" s="82" t="n">
        <f aca="false">IF(OR(AG87="",AG87=0),0,AI87/AG87)</f>
        <v>0</v>
      </c>
      <c r="AM87" s="80"/>
      <c r="AN87" s="80"/>
      <c r="AO87" s="80"/>
      <c r="AP87" s="80"/>
      <c r="AQ87" s="80"/>
      <c r="AR87" s="80"/>
      <c r="AS87" s="61" t="n">
        <f aca="false">IF(A87="",0,COUNTIFS(tbl_Beneficiaires[ID projet],A87))</f>
        <v>0</v>
      </c>
      <c r="AT87" s="61" t="n">
        <f aca="false">IF(A87="",0,COUNTIFS(tbl_Beneficiaires[ID projet],A87,tbl_Beneficiaires[Sexe],"Feminin"))</f>
        <v>0</v>
      </c>
      <c r="AU87" s="61" t="n">
        <f aca="false">IF(A87="",0,COUNTIFS(tbl_Beneficiaires[ID projet],A87,tbl_Beneficiaires[Sexe],"Masculin"))</f>
        <v>0</v>
      </c>
      <c r="AV87" s="61" t="n">
        <f aca="false">IF(A87="",0,COUNTIFS(tbl_Beneficiaires[ID projet],A87,tbl_Beneficiaires[Menage vulnerable],"Oui"))</f>
        <v>0</v>
      </c>
      <c r="AW87" s="61" t="n">
        <f aca="false">IF(A87="",0,COUNTIFS(tbl_Beneficiaires[ID projet],A87,tbl_Beneficiaires[Handicap],"Oui"))</f>
        <v>0</v>
      </c>
      <c r="AX87" s="80"/>
      <c r="AY87" s="80"/>
      <c r="AZ87" s="80"/>
      <c r="BA87" s="80"/>
      <c r="BB87" s="80"/>
      <c r="BC87" s="82" t="n">
        <f aca="false">IF(OR(AX87="",AX87=0),0,BA87/AX87)</f>
        <v>0</v>
      </c>
      <c r="BD87" s="83"/>
      <c r="BE87" s="61" t="str">
        <f aca="true">IF(A87="","",IF(AND(Z87&lt;&gt;"",TODAY()&gt;Z87,NOT(OR(AD87="Termine",AD87="Cloture",AD87="Annule",AD87="Non retenu"))),"OUI","NON"))</f>
        <v/>
      </c>
      <c r="BF87" s="61" t="str">
        <f aca="true">IF(A87="","",IF(AND(Z87&lt;&gt;"",(Z87-TODAY())&gt;=0,(Z87-TODAY())&lt;=30,NOT(OR(AD87="Termine",AD87="Cloture",AD87="Annule",AD87="Non retenu"))),"OUI","NON"))</f>
        <v/>
      </c>
      <c r="BG87" s="61" t="str">
        <f aca="false">IF(A87="","",IF(AI87&gt;AG87,"OUI","NON"))</f>
        <v/>
      </c>
      <c r="BH87" s="61" t="str">
        <f aca="false">IF(A87="","",IF(AH87&lt;AG87,"OUI","NON"))</f>
        <v/>
      </c>
      <c r="BI87" s="78"/>
    </row>
    <row r="88" customFormat="false" ht="15" hidden="false" customHeight="true" outlineLevel="0" collapsed="false">
      <c r="A88" s="61" t="str">
        <f aca="false">IF(C88="","","PROJ"&amp;TEXT(ROW()-55,"0000"))</f>
        <v/>
      </c>
      <c r="B88" s="65"/>
      <c r="C88" s="65"/>
      <c r="D88" s="65"/>
      <c r="E88" s="78"/>
      <c r="F88" s="78"/>
      <c r="G88" s="78"/>
      <c r="H88" s="78"/>
      <c r="I88" s="78"/>
      <c r="J88" s="65"/>
      <c r="K88" s="65"/>
      <c r="L88" s="78"/>
      <c r="M88" s="65"/>
      <c r="N88" s="65"/>
      <c r="O88" s="65"/>
      <c r="P88" s="65"/>
      <c r="Q88" s="65"/>
      <c r="R88" s="65"/>
      <c r="S88" s="61" t="str">
        <f aca="false">IFERROR(INDEX(PARAMETRES!$B$536:$B$586,MATCH(R88,PARAMETRES!$J$536:$J$586,0)),"")</f>
        <v/>
      </c>
      <c r="T88" s="61" t="str">
        <f aca="false">IFERROR(INDEX(PARAMETRES!$D$536:$D$586,MATCH(R88,PARAMETRES!$J$536:$J$586,0)),"")</f>
        <v/>
      </c>
      <c r="U88" s="61" t="str">
        <f aca="false">IFERROR(INDEX(PARAMETRES!$F$536:$F$586,MATCH(R88,PARAMETRES!$J$536:$J$586,0)),"")</f>
        <v/>
      </c>
      <c r="V88" s="61" t="str">
        <f aca="false">IFERROR(INDEX(PARAMETRES!$G$536:$G$586,MATCH(R88,PARAMETRES!$J$536:$J$586,0)),"")</f>
        <v/>
      </c>
      <c r="W88" s="65"/>
      <c r="X88" s="79"/>
      <c r="Y88" s="79"/>
      <c r="Z88" s="79"/>
      <c r="AA88" s="79"/>
      <c r="AB88" s="61" t="str">
        <f aca="false">IF(OR(X88="",Z88=""),"",Z88-X88)</f>
        <v/>
      </c>
      <c r="AC88" s="61" t="str">
        <f aca="false">IF(OR(Y88="",AA88=""),"",AA88-Y88)</f>
        <v/>
      </c>
      <c r="AD88" s="65"/>
      <c r="AE88" s="65"/>
      <c r="AF88" s="80"/>
      <c r="AG88" s="80"/>
      <c r="AH88" s="81" t="n">
        <f aca="false">IF(A88="",0,SUMIF(tbl_Projets_Financements[ID Projet],A88,tbl_Projets_Financements[Montant recu]))</f>
        <v>0</v>
      </c>
      <c r="AI88" s="80"/>
      <c r="AJ88" s="81" t="n">
        <f aca="false">IF(AG88="",0,AG88)-IF(AI88="",0,AI88)</f>
        <v>0</v>
      </c>
      <c r="AK88" s="81" t="n">
        <f aca="false">AH88-AI88</f>
        <v>0</v>
      </c>
      <c r="AL88" s="82" t="n">
        <f aca="false">IF(OR(AG88="",AG88=0),0,AI88/AG88)</f>
        <v>0</v>
      </c>
      <c r="AM88" s="80"/>
      <c r="AN88" s="80"/>
      <c r="AO88" s="80"/>
      <c r="AP88" s="80"/>
      <c r="AQ88" s="80"/>
      <c r="AR88" s="80"/>
      <c r="AS88" s="61" t="n">
        <f aca="false">IF(A88="",0,COUNTIFS(tbl_Beneficiaires[ID projet],A88))</f>
        <v>0</v>
      </c>
      <c r="AT88" s="61" t="n">
        <f aca="false">IF(A88="",0,COUNTIFS(tbl_Beneficiaires[ID projet],A88,tbl_Beneficiaires[Sexe],"Feminin"))</f>
        <v>0</v>
      </c>
      <c r="AU88" s="61" t="n">
        <f aca="false">IF(A88="",0,COUNTIFS(tbl_Beneficiaires[ID projet],A88,tbl_Beneficiaires[Sexe],"Masculin"))</f>
        <v>0</v>
      </c>
      <c r="AV88" s="61" t="n">
        <f aca="false">IF(A88="",0,COUNTIFS(tbl_Beneficiaires[ID projet],A88,tbl_Beneficiaires[Menage vulnerable],"Oui"))</f>
        <v>0</v>
      </c>
      <c r="AW88" s="61" t="n">
        <f aca="false">IF(A88="",0,COUNTIFS(tbl_Beneficiaires[ID projet],A88,tbl_Beneficiaires[Handicap],"Oui"))</f>
        <v>0</v>
      </c>
      <c r="AX88" s="80"/>
      <c r="AY88" s="80"/>
      <c r="AZ88" s="80"/>
      <c r="BA88" s="80"/>
      <c r="BB88" s="80"/>
      <c r="BC88" s="82" t="n">
        <f aca="false">IF(OR(AX88="",AX88=0),0,BA88/AX88)</f>
        <v>0</v>
      </c>
      <c r="BD88" s="83"/>
      <c r="BE88" s="61" t="str">
        <f aca="true">IF(A88="","",IF(AND(Z88&lt;&gt;"",TODAY()&gt;Z88,NOT(OR(AD88="Termine",AD88="Cloture",AD88="Annule",AD88="Non retenu"))),"OUI","NON"))</f>
        <v/>
      </c>
      <c r="BF88" s="61" t="str">
        <f aca="true">IF(A88="","",IF(AND(Z88&lt;&gt;"",(Z88-TODAY())&gt;=0,(Z88-TODAY())&lt;=30,NOT(OR(AD88="Termine",AD88="Cloture",AD88="Annule",AD88="Non retenu"))),"OUI","NON"))</f>
        <v/>
      </c>
      <c r="BG88" s="61" t="str">
        <f aca="false">IF(A88="","",IF(AI88&gt;AG88,"OUI","NON"))</f>
        <v/>
      </c>
      <c r="BH88" s="61" t="str">
        <f aca="false">IF(A88="","",IF(AH88&lt;AG88,"OUI","NON"))</f>
        <v/>
      </c>
      <c r="BI88" s="78"/>
    </row>
    <row r="89" customFormat="false" ht="15" hidden="false" customHeight="true" outlineLevel="0" collapsed="false">
      <c r="A89" s="61" t="str">
        <f aca="false">IF(C89="","","PROJ"&amp;TEXT(ROW()-55,"0000"))</f>
        <v/>
      </c>
      <c r="B89" s="65"/>
      <c r="C89" s="65"/>
      <c r="D89" s="65"/>
      <c r="E89" s="78"/>
      <c r="F89" s="78"/>
      <c r="G89" s="78"/>
      <c r="H89" s="78"/>
      <c r="I89" s="78"/>
      <c r="J89" s="65"/>
      <c r="K89" s="65"/>
      <c r="L89" s="78"/>
      <c r="M89" s="65"/>
      <c r="N89" s="65"/>
      <c r="O89" s="65"/>
      <c r="P89" s="65"/>
      <c r="Q89" s="65"/>
      <c r="R89" s="65"/>
      <c r="S89" s="61" t="str">
        <f aca="false">IFERROR(INDEX(PARAMETRES!$B$536:$B$586,MATCH(R89,PARAMETRES!$J$536:$J$586,0)),"")</f>
        <v/>
      </c>
      <c r="T89" s="61" t="str">
        <f aca="false">IFERROR(INDEX(PARAMETRES!$D$536:$D$586,MATCH(R89,PARAMETRES!$J$536:$J$586,0)),"")</f>
        <v/>
      </c>
      <c r="U89" s="61" t="str">
        <f aca="false">IFERROR(INDEX(PARAMETRES!$F$536:$F$586,MATCH(R89,PARAMETRES!$J$536:$J$586,0)),"")</f>
        <v/>
      </c>
      <c r="V89" s="61" t="str">
        <f aca="false">IFERROR(INDEX(PARAMETRES!$G$536:$G$586,MATCH(R89,PARAMETRES!$J$536:$J$586,0)),"")</f>
        <v/>
      </c>
      <c r="W89" s="65"/>
      <c r="X89" s="79"/>
      <c r="Y89" s="79"/>
      <c r="Z89" s="79"/>
      <c r="AA89" s="79"/>
      <c r="AB89" s="61" t="str">
        <f aca="false">IF(OR(X89="",Z89=""),"",Z89-X89)</f>
        <v/>
      </c>
      <c r="AC89" s="61" t="str">
        <f aca="false">IF(OR(Y89="",AA89=""),"",AA89-Y89)</f>
        <v/>
      </c>
      <c r="AD89" s="65"/>
      <c r="AE89" s="65"/>
      <c r="AF89" s="80"/>
      <c r="AG89" s="80"/>
      <c r="AH89" s="81" t="n">
        <f aca="false">IF(A89="",0,SUMIF(tbl_Projets_Financements[ID Projet],A89,tbl_Projets_Financements[Montant recu]))</f>
        <v>0</v>
      </c>
      <c r="AI89" s="80"/>
      <c r="AJ89" s="81" t="n">
        <f aca="false">IF(AG89="",0,AG89)-IF(AI89="",0,AI89)</f>
        <v>0</v>
      </c>
      <c r="AK89" s="81" t="n">
        <f aca="false">AH89-AI89</f>
        <v>0</v>
      </c>
      <c r="AL89" s="82" t="n">
        <f aca="false">IF(OR(AG89="",AG89=0),0,AI89/AG89)</f>
        <v>0</v>
      </c>
      <c r="AM89" s="80"/>
      <c r="AN89" s="80"/>
      <c r="AO89" s="80"/>
      <c r="AP89" s="80"/>
      <c r="AQ89" s="80"/>
      <c r="AR89" s="80"/>
      <c r="AS89" s="61" t="n">
        <f aca="false">IF(A89="",0,COUNTIFS(tbl_Beneficiaires[ID projet],A89))</f>
        <v>0</v>
      </c>
      <c r="AT89" s="61" t="n">
        <f aca="false">IF(A89="",0,COUNTIFS(tbl_Beneficiaires[ID projet],A89,tbl_Beneficiaires[Sexe],"Feminin"))</f>
        <v>0</v>
      </c>
      <c r="AU89" s="61" t="n">
        <f aca="false">IF(A89="",0,COUNTIFS(tbl_Beneficiaires[ID projet],A89,tbl_Beneficiaires[Sexe],"Masculin"))</f>
        <v>0</v>
      </c>
      <c r="AV89" s="61" t="n">
        <f aca="false">IF(A89="",0,COUNTIFS(tbl_Beneficiaires[ID projet],A89,tbl_Beneficiaires[Menage vulnerable],"Oui"))</f>
        <v>0</v>
      </c>
      <c r="AW89" s="61" t="n">
        <f aca="false">IF(A89="",0,COUNTIFS(tbl_Beneficiaires[ID projet],A89,tbl_Beneficiaires[Handicap],"Oui"))</f>
        <v>0</v>
      </c>
      <c r="AX89" s="80"/>
      <c r="AY89" s="80"/>
      <c r="AZ89" s="80"/>
      <c r="BA89" s="80"/>
      <c r="BB89" s="80"/>
      <c r="BC89" s="82" t="n">
        <f aca="false">IF(OR(AX89="",AX89=0),0,BA89/AX89)</f>
        <v>0</v>
      </c>
      <c r="BD89" s="83"/>
      <c r="BE89" s="61" t="str">
        <f aca="true">IF(A89="","",IF(AND(Z89&lt;&gt;"",TODAY()&gt;Z89,NOT(OR(AD89="Termine",AD89="Cloture",AD89="Annule",AD89="Non retenu"))),"OUI","NON"))</f>
        <v/>
      </c>
      <c r="BF89" s="61" t="str">
        <f aca="true">IF(A89="","",IF(AND(Z89&lt;&gt;"",(Z89-TODAY())&gt;=0,(Z89-TODAY())&lt;=30,NOT(OR(AD89="Termine",AD89="Cloture",AD89="Annule",AD89="Non retenu"))),"OUI","NON"))</f>
        <v/>
      </c>
      <c r="BG89" s="61" t="str">
        <f aca="false">IF(A89="","",IF(AI89&gt;AG89,"OUI","NON"))</f>
        <v/>
      </c>
      <c r="BH89" s="61" t="str">
        <f aca="false">IF(A89="","",IF(AH89&lt;AG89,"OUI","NON"))</f>
        <v/>
      </c>
      <c r="BI89" s="78"/>
    </row>
    <row r="90" customFormat="false" ht="15" hidden="false" customHeight="true" outlineLevel="0" collapsed="false">
      <c r="A90" s="61" t="str">
        <f aca="false">IF(C90="","","PROJ"&amp;TEXT(ROW()-55,"0000"))</f>
        <v/>
      </c>
      <c r="B90" s="65"/>
      <c r="C90" s="65"/>
      <c r="D90" s="65"/>
      <c r="E90" s="78"/>
      <c r="F90" s="78"/>
      <c r="G90" s="78"/>
      <c r="H90" s="78"/>
      <c r="I90" s="78"/>
      <c r="J90" s="65"/>
      <c r="K90" s="65"/>
      <c r="L90" s="78"/>
      <c r="M90" s="65"/>
      <c r="N90" s="65"/>
      <c r="O90" s="65"/>
      <c r="P90" s="65"/>
      <c r="Q90" s="65"/>
      <c r="R90" s="65"/>
      <c r="S90" s="61" t="str">
        <f aca="false">IFERROR(INDEX(PARAMETRES!$B$536:$B$586,MATCH(R90,PARAMETRES!$J$536:$J$586,0)),"")</f>
        <v/>
      </c>
      <c r="T90" s="61" t="str">
        <f aca="false">IFERROR(INDEX(PARAMETRES!$D$536:$D$586,MATCH(R90,PARAMETRES!$J$536:$J$586,0)),"")</f>
        <v/>
      </c>
      <c r="U90" s="61" t="str">
        <f aca="false">IFERROR(INDEX(PARAMETRES!$F$536:$F$586,MATCH(R90,PARAMETRES!$J$536:$J$586,0)),"")</f>
        <v/>
      </c>
      <c r="V90" s="61" t="str">
        <f aca="false">IFERROR(INDEX(PARAMETRES!$G$536:$G$586,MATCH(R90,PARAMETRES!$J$536:$J$586,0)),"")</f>
        <v/>
      </c>
      <c r="W90" s="65"/>
      <c r="X90" s="79"/>
      <c r="Y90" s="79"/>
      <c r="Z90" s="79"/>
      <c r="AA90" s="79"/>
      <c r="AB90" s="61" t="str">
        <f aca="false">IF(OR(X90="",Z90=""),"",Z90-X90)</f>
        <v/>
      </c>
      <c r="AC90" s="61" t="str">
        <f aca="false">IF(OR(Y90="",AA90=""),"",AA90-Y90)</f>
        <v/>
      </c>
      <c r="AD90" s="65"/>
      <c r="AE90" s="65"/>
      <c r="AF90" s="80"/>
      <c r="AG90" s="80"/>
      <c r="AH90" s="81" t="n">
        <f aca="false">IF(A90="",0,SUMIF(tbl_Projets_Financements[ID Projet],A90,tbl_Projets_Financements[Montant recu]))</f>
        <v>0</v>
      </c>
      <c r="AI90" s="80"/>
      <c r="AJ90" s="81" t="n">
        <f aca="false">IF(AG90="",0,AG90)-IF(AI90="",0,AI90)</f>
        <v>0</v>
      </c>
      <c r="AK90" s="81" t="n">
        <f aca="false">AH90-AI90</f>
        <v>0</v>
      </c>
      <c r="AL90" s="82" t="n">
        <f aca="false">IF(OR(AG90="",AG90=0),0,AI90/AG90)</f>
        <v>0</v>
      </c>
      <c r="AM90" s="80"/>
      <c r="AN90" s="80"/>
      <c r="AO90" s="80"/>
      <c r="AP90" s="80"/>
      <c r="AQ90" s="80"/>
      <c r="AR90" s="80"/>
      <c r="AS90" s="61" t="n">
        <f aca="false">IF(A90="",0,COUNTIFS(tbl_Beneficiaires[ID projet],A90))</f>
        <v>0</v>
      </c>
      <c r="AT90" s="61" t="n">
        <f aca="false">IF(A90="",0,COUNTIFS(tbl_Beneficiaires[ID projet],A90,tbl_Beneficiaires[Sexe],"Feminin"))</f>
        <v>0</v>
      </c>
      <c r="AU90" s="61" t="n">
        <f aca="false">IF(A90="",0,COUNTIFS(tbl_Beneficiaires[ID projet],A90,tbl_Beneficiaires[Sexe],"Masculin"))</f>
        <v>0</v>
      </c>
      <c r="AV90" s="61" t="n">
        <f aca="false">IF(A90="",0,COUNTIFS(tbl_Beneficiaires[ID projet],A90,tbl_Beneficiaires[Menage vulnerable],"Oui"))</f>
        <v>0</v>
      </c>
      <c r="AW90" s="61" t="n">
        <f aca="false">IF(A90="",0,COUNTIFS(tbl_Beneficiaires[ID projet],A90,tbl_Beneficiaires[Handicap],"Oui"))</f>
        <v>0</v>
      </c>
      <c r="AX90" s="80"/>
      <c r="AY90" s="80"/>
      <c r="AZ90" s="80"/>
      <c r="BA90" s="80"/>
      <c r="BB90" s="80"/>
      <c r="BC90" s="82" t="n">
        <f aca="false">IF(OR(AX90="",AX90=0),0,BA90/AX90)</f>
        <v>0</v>
      </c>
      <c r="BD90" s="83"/>
      <c r="BE90" s="61" t="str">
        <f aca="true">IF(A90="","",IF(AND(Z90&lt;&gt;"",TODAY()&gt;Z90,NOT(OR(AD90="Termine",AD90="Cloture",AD90="Annule",AD90="Non retenu"))),"OUI","NON"))</f>
        <v/>
      </c>
      <c r="BF90" s="61" t="str">
        <f aca="true">IF(A90="","",IF(AND(Z90&lt;&gt;"",(Z90-TODAY())&gt;=0,(Z90-TODAY())&lt;=30,NOT(OR(AD90="Termine",AD90="Cloture",AD90="Annule",AD90="Non retenu"))),"OUI","NON"))</f>
        <v/>
      </c>
      <c r="BG90" s="61" t="str">
        <f aca="false">IF(A90="","",IF(AI90&gt;AG90,"OUI","NON"))</f>
        <v/>
      </c>
      <c r="BH90" s="61" t="str">
        <f aca="false">IF(A90="","",IF(AH90&lt;AG90,"OUI","NON"))</f>
        <v/>
      </c>
      <c r="BI90" s="78"/>
    </row>
    <row r="91" customFormat="false" ht="15" hidden="false" customHeight="true" outlineLevel="0" collapsed="false">
      <c r="A91" s="61" t="str">
        <f aca="false">IF(C91="","","PROJ"&amp;TEXT(ROW()-55,"0000"))</f>
        <v/>
      </c>
      <c r="B91" s="65"/>
      <c r="C91" s="65"/>
      <c r="D91" s="65"/>
      <c r="E91" s="78"/>
      <c r="F91" s="78"/>
      <c r="G91" s="78"/>
      <c r="H91" s="78"/>
      <c r="I91" s="78"/>
      <c r="J91" s="65"/>
      <c r="K91" s="65"/>
      <c r="L91" s="78"/>
      <c r="M91" s="65"/>
      <c r="N91" s="65"/>
      <c r="O91" s="65"/>
      <c r="P91" s="65"/>
      <c r="Q91" s="65"/>
      <c r="R91" s="65"/>
      <c r="S91" s="61" t="str">
        <f aca="false">IFERROR(INDEX(PARAMETRES!$B$536:$B$586,MATCH(R91,PARAMETRES!$J$536:$J$586,0)),"")</f>
        <v/>
      </c>
      <c r="T91" s="61" t="str">
        <f aca="false">IFERROR(INDEX(PARAMETRES!$D$536:$D$586,MATCH(R91,PARAMETRES!$J$536:$J$586,0)),"")</f>
        <v/>
      </c>
      <c r="U91" s="61" t="str">
        <f aca="false">IFERROR(INDEX(PARAMETRES!$F$536:$F$586,MATCH(R91,PARAMETRES!$J$536:$J$586,0)),"")</f>
        <v/>
      </c>
      <c r="V91" s="61" t="str">
        <f aca="false">IFERROR(INDEX(PARAMETRES!$G$536:$G$586,MATCH(R91,PARAMETRES!$J$536:$J$586,0)),"")</f>
        <v/>
      </c>
      <c r="W91" s="65"/>
      <c r="X91" s="79"/>
      <c r="Y91" s="79"/>
      <c r="Z91" s="79"/>
      <c r="AA91" s="79"/>
      <c r="AB91" s="61" t="str">
        <f aca="false">IF(OR(X91="",Z91=""),"",Z91-X91)</f>
        <v/>
      </c>
      <c r="AC91" s="61" t="str">
        <f aca="false">IF(OR(Y91="",AA91=""),"",AA91-Y91)</f>
        <v/>
      </c>
      <c r="AD91" s="65"/>
      <c r="AE91" s="65"/>
      <c r="AF91" s="80"/>
      <c r="AG91" s="80"/>
      <c r="AH91" s="81" t="n">
        <f aca="false">IF(A91="",0,SUMIF(tbl_Projets_Financements[ID Projet],A91,tbl_Projets_Financements[Montant recu]))</f>
        <v>0</v>
      </c>
      <c r="AI91" s="80"/>
      <c r="AJ91" s="81" t="n">
        <f aca="false">IF(AG91="",0,AG91)-IF(AI91="",0,AI91)</f>
        <v>0</v>
      </c>
      <c r="AK91" s="81" t="n">
        <f aca="false">AH91-AI91</f>
        <v>0</v>
      </c>
      <c r="AL91" s="82" t="n">
        <f aca="false">IF(OR(AG91="",AG91=0),0,AI91/AG91)</f>
        <v>0</v>
      </c>
      <c r="AM91" s="80"/>
      <c r="AN91" s="80"/>
      <c r="AO91" s="80"/>
      <c r="AP91" s="80"/>
      <c r="AQ91" s="80"/>
      <c r="AR91" s="80"/>
      <c r="AS91" s="61" t="n">
        <f aca="false">IF(A91="",0,COUNTIFS(tbl_Beneficiaires[ID projet],A91))</f>
        <v>0</v>
      </c>
      <c r="AT91" s="61" t="n">
        <f aca="false">IF(A91="",0,COUNTIFS(tbl_Beneficiaires[ID projet],A91,tbl_Beneficiaires[Sexe],"Feminin"))</f>
        <v>0</v>
      </c>
      <c r="AU91" s="61" t="n">
        <f aca="false">IF(A91="",0,COUNTIFS(tbl_Beneficiaires[ID projet],A91,tbl_Beneficiaires[Sexe],"Masculin"))</f>
        <v>0</v>
      </c>
      <c r="AV91" s="61" t="n">
        <f aca="false">IF(A91="",0,COUNTIFS(tbl_Beneficiaires[ID projet],A91,tbl_Beneficiaires[Menage vulnerable],"Oui"))</f>
        <v>0</v>
      </c>
      <c r="AW91" s="61" t="n">
        <f aca="false">IF(A91="",0,COUNTIFS(tbl_Beneficiaires[ID projet],A91,tbl_Beneficiaires[Handicap],"Oui"))</f>
        <v>0</v>
      </c>
      <c r="AX91" s="80"/>
      <c r="AY91" s="80"/>
      <c r="AZ91" s="80"/>
      <c r="BA91" s="80"/>
      <c r="BB91" s="80"/>
      <c r="BC91" s="82" t="n">
        <f aca="false">IF(OR(AX91="",AX91=0),0,BA91/AX91)</f>
        <v>0</v>
      </c>
      <c r="BD91" s="83"/>
      <c r="BE91" s="61" t="str">
        <f aca="true">IF(A91="","",IF(AND(Z91&lt;&gt;"",TODAY()&gt;Z91,NOT(OR(AD91="Termine",AD91="Cloture",AD91="Annule",AD91="Non retenu"))),"OUI","NON"))</f>
        <v/>
      </c>
      <c r="BF91" s="61" t="str">
        <f aca="true">IF(A91="","",IF(AND(Z91&lt;&gt;"",(Z91-TODAY())&gt;=0,(Z91-TODAY())&lt;=30,NOT(OR(AD91="Termine",AD91="Cloture",AD91="Annule",AD91="Non retenu"))),"OUI","NON"))</f>
        <v/>
      </c>
      <c r="BG91" s="61" t="str">
        <f aca="false">IF(A91="","",IF(AI91&gt;AG91,"OUI","NON"))</f>
        <v/>
      </c>
      <c r="BH91" s="61" t="str">
        <f aca="false">IF(A91="","",IF(AH91&lt;AG91,"OUI","NON"))</f>
        <v/>
      </c>
      <c r="BI91" s="78"/>
    </row>
    <row r="92" customFormat="false" ht="15" hidden="false" customHeight="true" outlineLevel="0" collapsed="false">
      <c r="A92" s="61" t="str">
        <f aca="false">IF(C92="","","PROJ"&amp;TEXT(ROW()-55,"0000"))</f>
        <v/>
      </c>
      <c r="B92" s="65"/>
      <c r="C92" s="65"/>
      <c r="D92" s="65"/>
      <c r="E92" s="78"/>
      <c r="F92" s="78"/>
      <c r="G92" s="78"/>
      <c r="H92" s="78"/>
      <c r="I92" s="78"/>
      <c r="J92" s="65"/>
      <c r="K92" s="65"/>
      <c r="L92" s="78"/>
      <c r="M92" s="65"/>
      <c r="N92" s="65"/>
      <c r="O92" s="65"/>
      <c r="P92" s="65"/>
      <c r="Q92" s="65"/>
      <c r="R92" s="65"/>
      <c r="S92" s="61" t="str">
        <f aca="false">IFERROR(INDEX(PARAMETRES!$B$536:$B$586,MATCH(R92,PARAMETRES!$J$536:$J$586,0)),"")</f>
        <v/>
      </c>
      <c r="T92" s="61" t="str">
        <f aca="false">IFERROR(INDEX(PARAMETRES!$D$536:$D$586,MATCH(R92,PARAMETRES!$J$536:$J$586,0)),"")</f>
        <v/>
      </c>
      <c r="U92" s="61" t="str">
        <f aca="false">IFERROR(INDEX(PARAMETRES!$F$536:$F$586,MATCH(R92,PARAMETRES!$J$536:$J$586,0)),"")</f>
        <v/>
      </c>
      <c r="V92" s="61" t="str">
        <f aca="false">IFERROR(INDEX(PARAMETRES!$G$536:$G$586,MATCH(R92,PARAMETRES!$J$536:$J$586,0)),"")</f>
        <v/>
      </c>
      <c r="W92" s="65"/>
      <c r="X92" s="79"/>
      <c r="Y92" s="79"/>
      <c r="Z92" s="79"/>
      <c r="AA92" s="79"/>
      <c r="AB92" s="61" t="str">
        <f aca="false">IF(OR(X92="",Z92=""),"",Z92-X92)</f>
        <v/>
      </c>
      <c r="AC92" s="61" t="str">
        <f aca="false">IF(OR(Y92="",AA92=""),"",AA92-Y92)</f>
        <v/>
      </c>
      <c r="AD92" s="65"/>
      <c r="AE92" s="65"/>
      <c r="AF92" s="80"/>
      <c r="AG92" s="80"/>
      <c r="AH92" s="81" t="n">
        <f aca="false">IF(A92="",0,SUMIF(tbl_Projets_Financements[ID Projet],A92,tbl_Projets_Financements[Montant recu]))</f>
        <v>0</v>
      </c>
      <c r="AI92" s="80"/>
      <c r="AJ92" s="81" t="n">
        <f aca="false">IF(AG92="",0,AG92)-IF(AI92="",0,AI92)</f>
        <v>0</v>
      </c>
      <c r="AK92" s="81" t="n">
        <f aca="false">AH92-AI92</f>
        <v>0</v>
      </c>
      <c r="AL92" s="82" t="n">
        <f aca="false">IF(OR(AG92="",AG92=0),0,AI92/AG92)</f>
        <v>0</v>
      </c>
      <c r="AM92" s="80"/>
      <c r="AN92" s="80"/>
      <c r="AO92" s="80"/>
      <c r="AP92" s="80"/>
      <c r="AQ92" s="80"/>
      <c r="AR92" s="80"/>
      <c r="AS92" s="61" t="n">
        <f aca="false">IF(A92="",0,COUNTIFS(tbl_Beneficiaires[ID projet],A92))</f>
        <v>0</v>
      </c>
      <c r="AT92" s="61" t="n">
        <f aca="false">IF(A92="",0,COUNTIFS(tbl_Beneficiaires[ID projet],A92,tbl_Beneficiaires[Sexe],"Feminin"))</f>
        <v>0</v>
      </c>
      <c r="AU92" s="61" t="n">
        <f aca="false">IF(A92="",0,COUNTIFS(tbl_Beneficiaires[ID projet],A92,tbl_Beneficiaires[Sexe],"Masculin"))</f>
        <v>0</v>
      </c>
      <c r="AV92" s="61" t="n">
        <f aca="false">IF(A92="",0,COUNTIFS(tbl_Beneficiaires[ID projet],A92,tbl_Beneficiaires[Menage vulnerable],"Oui"))</f>
        <v>0</v>
      </c>
      <c r="AW92" s="61" t="n">
        <f aca="false">IF(A92="",0,COUNTIFS(tbl_Beneficiaires[ID projet],A92,tbl_Beneficiaires[Handicap],"Oui"))</f>
        <v>0</v>
      </c>
      <c r="AX92" s="80"/>
      <c r="AY92" s="80"/>
      <c r="AZ92" s="80"/>
      <c r="BA92" s="80"/>
      <c r="BB92" s="80"/>
      <c r="BC92" s="82" t="n">
        <f aca="false">IF(OR(AX92="",AX92=0),0,BA92/AX92)</f>
        <v>0</v>
      </c>
      <c r="BD92" s="83"/>
      <c r="BE92" s="61" t="str">
        <f aca="true">IF(A92="","",IF(AND(Z92&lt;&gt;"",TODAY()&gt;Z92,NOT(OR(AD92="Termine",AD92="Cloture",AD92="Annule",AD92="Non retenu"))),"OUI","NON"))</f>
        <v/>
      </c>
      <c r="BF92" s="61" t="str">
        <f aca="true">IF(A92="","",IF(AND(Z92&lt;&gt;"",(Z92-TODAY())&gt;=0,(Z92-TODAY())&lt;=30,NOT(OR(AD92="Termine",AD92="Cloture",AD92="Annule",AD92="Non retenu"))),"OUI","NON"))</f>
        <v/>
      </c>
      <c r="BG92" s="61" t="str">
        <f aca="false">IF(A92="","",IF(AI92&gt;AG92,"OUI","NON"))</f>
        <v/>
      </c>
      <c r="BH92" s="61" t="str">
        <f aca="false">IF(A92="","",IF(AH92&lt;AG92,"OUI","NON"))</f>
        <v/>
      </c>
      <c r="BI92" s="78"/>
    </row>
    <row r="93" customFormat="false" ht="15" hidden="false" customHeight="true" outlineLevel="0" collapsed="false">
      <c r="A93" s="61" t="str">
        <f aca="false">IF(C93="","","PROJ"&amp;TEXT(ROW()-55,"0000"))</f>
        <v/>
      </c>
      <c r="B93" s="65"/>
      <c r="C93" s="65"/>
      <c r="D93" s="65"/>
      <c r="E93" s="78"/>
      <c r="F93" s="78"/>
      <c r="G93" s="78"/>
      <c r="H93" s="78"/>
      <c r="I93" s="78"/>
      <c r="J93" s="65"/>
      <c r="K93" s="65"/>
      <c r="L93" s="78"/>
      <c r="M93" s="65"/>
      <c r="N93" s="65"/>
      <c r="O93" s="65"/>
      <c r="P93" s="65"/>
      <c r="Q93" s="65"/>
      <c r="R93" s="65"/>
      <c r="S93" s="61" t="str">
        <f aca="false">IFERROR(INDEX(PARAMETRES!$B$536:$B$586,MATCH(R93,PARAMETRES!$J$536:$J$586,0)),"")</f>
        <v/>
      </c>
      <c r="T93" s="61" t="str">
        <f aca="false">IFERROR(INDEX(PARAMETRES!$D$536:$D$586,MATCH(R93,PARAMETRES!$J$536:$J$586,0)),"")</f>
        <v/>
      </c>
      <c r="U93" s="61" t="str">
        <f aca="false">IFERROR(INDEX(PARAMETRES!$F$536:$F$586,MATCH(R93,PARAMETRES!$J$536:$J$586,0)),"")</f>
        <v/>
      </c>
      <c r="V93" s="61" t="str">
        <f aca="false">IFERROR(INDEX(PARAMETRES!$G$536:$G$586,MATCH(R93,PARAMETRES!$J$536:$J$586,0)),"")</f>
        <v/>
      </c>
      <c r="W93" s="65"/>
      <c r="X93" s="79"/>
      <c r="Y93" s="79"/>
      <c r="Z93" s="79"/>
      <c r="AA93" s="79"/>
      <c r="AB93" s="61" t="str">
        <f aca="false">IF(OR(X93="",Z93=""),"",Z93-X93)</f>
        <v/>
      </c>
      <c r="AC93" s="61" t="str">
        <f aca="false">IF(OR(Y93="",AA93=""),"",AA93-Y93)</f>
        <v/>
      </c>
      <c r="AD93" s="65"/>
      <c r="AE93" s="65"/>
      <c r="AF93" s="80"/>
      <c r="AG93" s="80"/>
      <c r="AH93" s="81" t="n">
        <f aca="false">IF(A93="",0,SUMIF(tbl_Projets_Financements[ID Projet],A93,tbl_Projets_Financements[Montant recu]))</f>
        <v>0</v>
      </c>
      <c r="AI93" s="80"/>
      <c r="AJ93" s="81" t="n">
        <f aca="false">IF(AG93="",0,AG93)-IF(AI93="",0,AI93)</f>
        <v>0</v>
      </c>
      <c r="AK93" s="81" t="n">
        <f aca="false">AH93-AI93</f>
        <v>0</v>
      </c>
      <c r="AL93" s="82" t="n">
        <f aca="false">IF(OR(AG93="",AG93=0),0,AI93/AG93)</f>
        <v>0</v>
      </c>
      <c r="AM93" s="80"/>
      <c r="AN93" s="80"/>
      <c r="AO93" s="80"/>
      <c r="AP93" s="80"/>
      <c r="AQ93" s="80"/>
      <c r="AR93" s="80"/>
      <c r="AS93" s="61" t="n">
        <f aca="false">IF(A93="",0,COUNTIFS(tbl_Beneficiaires[ID projet],A93))</f>
        <v>0</v>
      </c>
      <c r="AT93" s="61" t="n">
        <f aca="false">IF(A93="",0,COUNTIFS(tbl_Beneficiaires[ID projet],A93,tbl_Beneficiaires[Sexe],"Feminin"))</f>
        <v>0</v>
      </c>
      <c r="AU93" s="61" t="n">
        <f aca="false">IF(A93="",0,COUNTIFS(tbl_Beneficiaires[ID projet],A93,tbl_Beneficiaires[Sexe],"Masculin"))</f>
        <v>0</v>
      </c>
      <c r="AV93" s="61" t="n">
        <f aca="false">IF(A93="",0,COUNTIFS(tbl_Beneficiaires[ID projet],A93,tbl_Beneficiaires[Menage vulnerable],"Oui"))</f>
        <v>0</v>
      </c>
      <c r="AW93" s="61" t="n">
        <f aca="false">IF(A93="",0,COUNTIFS(tbl_Beneficiaires[ID projet],A93,tbl_Beneficiaires[Handicap],"Oui"))</f>
        <v>0</v>
      </c>
      <c r="AX93" s="80"/>
      <c r="AY93" s="80"/>
      <c r="AZ93" s="80"/>
      <c r="BA93" s="80"/>
      <c r="BB93" s="80"/>
      <c r="BC93" s="82" t="n">
        <f aca="false">IF(OR(AX93="",AX93=0),0,BA93/AX93)</f>
        <v>0</v>
      </c>
      <c r="BD93" s="83"/>
      <c r="BE93" s="61" t="str">
        <f aca="true">IF(A93="","",IF(AND(Z93&lt;&gt;"",TODAY()&gt;Z93,NOT(OR(AD93="Termine",AD93="Cloture",AD93="Annule",AD93="Non retenu"))),"OUI","NON"))</f>
        <v/>
      </c>
      <c r="BF93" s="61" t="str">
        <f aca="true">IF(A93="","",IF(AND(Z93&lt;&gt;"",(Z93-TODAY())&gt;=0,(Z93-TODAY())&lt;=30,NOT(OR(AD93="Termine",AD93="Cloture",AD93="Annule",AD93="Non retenu"))),"OUI","NON"))</f>
        <v/>
      </c>
      <c r="BG93" s="61" t="str">
        <f aca="false">IF(A93="","",IF(AI93&gt;AG93,"OUI","NON"))</f>
        <v/>
      </c>
      <c r="BH93" s="61" t="str">
        <f aca="false">IF(A93="","",IF(AH93&lt;AG93,"OUI","NON"))</f>
        <v/>
      </c>
      <c r="BI93" s="78"/>
    </row>
    <row r="94" customFormat="false" ht="15" hidden="false" customHeight="true" outlineLevel="0" collapsed="false">
      <c r="A94" s="61" t="str">
        <f aca="false">IF(C94="","","PROJ"&amp;TEXT(ROW()-55,"0000"))</f>
        <v/>
      </c>
      <c r="B94" s="65"/>
      <c r="C94" s="65"/>
      <c r="D94" s="65"/>
      <c r="E94" s="78"/>
      <c r="F94" s="78"/>
      <c r="G94" s="78"/>
      <c r="H94" s="78"/>
      <c r="I94" s="78"/>
      <c r="J94" s="65"/>
      <c r="K94" s="65"/>
      <c r="L94" s="78"/>
      <c r="M94" s="65"/>
      <c r="N94" s="65"/>
      <c r="O94" s="65"/>
      <c r="P94" s="65"/>
      <c r="Q94" s="65"/>
      <c r="R94" s="65"/>
      <c r="S94" s="61" t="str">
        <f aca="false">IFERROR(INDEX(PARAMETRES!$B$536:$B$586,MATCH(R94,PARAMETRES!$J$536:$J$586,0)),"")</f>
        <v/>
      </c>
      <c r="T94" s="61" t="str">
        <f aca="false">IFERROR(INDEX(PARAMETRES!$D$536:$D$586,MATCH(R94,PARAMETRES!$J$536:$J$586,0)),"")</f>
        <v/>
      </c>
      <c r="U94" s="61" t="str">
        <f aca="false">IFERROR(INDEX(PARAMETRES!$F$536:$F$586,MATCH(R94,PARAMETRES!$J$536:$J$586,0)),"")</f>
        <v/>
      </c>
      <c r="V94" s="61" t="str">
        <f aca="false">IFERROR(INDEX(PARAMETRES!$G$536:$G$586,MATCH(R94,PARAMETRES!$J$536:$J$586,0)),"")</f>
        <v/>
      </c>
      <c r="W94" s="65"/>
      <c r="X94" s="79"/>
      <c r="Y94" s="79"/>
      <c r="Z94" s="79"/>
      <c r="AA94" s="79"/>
      <c r="AB94" s="61" t="str">
        <f aca="false">IF(OR(X94="",Z94=""),"",Z94-X94)</f>
        <v/>
      </c>
      <c r="AC94" s="61" t="str">
        <f aca="false">IF(OR(Y94="",AA94=""),"",AA94-Y94)</f>
        <v/>
      </c>
      <c r="AD94" s="65"/>
      <c r="AE94" s="65"/>
      <c r="AF94" s="80"/>
      <c r="AG94" s="80"/>
      <c r="AH94" s="81" t="n">
        <f aca="false">IF(A94="",0,SUMIF(tbl_Projets_Financements[ID Projet],A94,tbl_Projets_Financements[Montant recu]))</f>
        <v>0</v>
      </c>
      <c r="AI94" s="80"/>
      <c r="AJ94" s="81" t="n">
        <f aca="false">IF(AG94="",0,AG94)-IF(AI94="",0,AI94)</f>
        <v>0</v>
      </c>
      <c r="AK94" s="81" t="n">
        <f aca="false">AH94-AI94</f>
        <v>0</v>
      </c>
      <c r="AL94" s="82" t="n">
        <f aca="false">IF(OR(AG94="",AG94=0),0,AI94/AG94)</f>
        <v>0</v>
      </c>
      <c r="AM94" s="80"/>
      <c r="AN94" s="80"/>
      <c r="AO94" s="80"/>
      <c r="AP94" s="80"/>
      <c r="AQ94" s="80"/>
      <c r="AR94" s="80"/>
      <c r="AS94" s="61" t="n">
        <f aca="false">IF(A94="",0,COUNTIFS(tbl_Beneficiaires[ID projet],A94))</f>
        <v>0</v>
      </c>
      <c r="AT94" s="61" t="n">
        <f aca="false">IF(A94="",0,COUNTIFS(tbl_Beneficiaires[ID projet],A94,tbl_Beneficiaires[Sexe],"Feminin"))</f>
        <v>0</v>
      </c>
      <c r="AU94" s="61" t="n">
        <f aca="false">IF(A94="",0,COUNTIFS(tbl_Beneficiaires[ID projet],A94,tbl_Beneficiaires[Sexe],"Masculin"))</f>
        <v>0</v>
      </c>
      <c r="AV94" s="61" t="n">
        <f aca="false">IF(A94="",0,COUNTIFS(tbl_Beneficiaires[ID projet],A94,tbl_Beneficiaires[Menage vulnerable],"Oui"))</f>
        <v>0</v>
      </c>
      <c r="AW94" s="61" t="n">
        <f aca="false">IF(A94="",0,COUNTIFS(tbl_Beneficiaires[ID projet],A94,tbl_Beneficiaires[Handicap],"Oui"))</f>
        <v>0</v>
      </c>
      <c r="AX94" s="80"/>
      <c r="AY94" s="80"/>
      <c r="AZ94" s="80"/>
      <c r="BA94" s="80"/>
      <c r="BB94" s="80"/>
      <c r="BC94" s="82" t="n">
        <f aca="false">IF(OR(AX94="",AX94=0),0,BA94/AX94)</f>
        <v>0</v>
      </c>
      <c r="BD94" s="83"/>
      <c r="BE94" s="61" t="str">
        <f aca="true">IF(A94="","",IF(AND(Z94&lt;&gt;"",TODAY()&gt;Z94,NOT(OR(AD94="Termine",AD94="Cloture",AD94="Annule",AD94="Non retenu"))),"OUI","NON"))</f>
        <v/>
      </c>
      <c r="BF94" s="61" t="str">
        <f aca="true">IF(A94="","",IF(AND(Z94&lt;&gt;"",(Z94-TODAY())&gt;=0,(Z94-TODAY())&lt;=30,NOT(OR(AD94="Termine",AD94="Cloture",AD94="Annule",AD94="Non retenu"))),"OUI","NON"))</f>
        <v/>
      </c>
      <c r="BG94" s="61" t="str">
        <f aca="false">IF(A94="","",IF(AI94&gt;AG94,"OUI","NON"))</f>
        <v/>
      </c>
      <c r="BH94" s="61" t="str">
        <f aca="false">IF(A94="","",IF(AH94&lt;AG94,"OUI","NON"))</f>
        <v/>
      </c>
      <c r="BI94" s="78"/>
    </row>
    <row r="95" customFormat="false" ht="15" hidden="false" customHeight="true" outlineLevel="0" collapsed="false">
      <c r="A95" s="61" t="str">
        <f aca="false">IF(C95="","","PROJ"&amp;TEXT(ROW()-55,"0000"))</f>
        <v/>
      </c>
      <c r="B95" s="65"/>
      <c r="C95" s="65"/>
      <c r="D95" s="65"/>
      <c r="E95" s="78"/>
      <c r="F95" s="78"/>
      <c r="G95" s="78"/>
      <c r="H95" s="78"/>
      <c r="I95" s="78"/>
      <c r="J95" s="65"/>
      <c r="K95" s="65"/>
      <c r="L95" s="78"/>
      <c r="M95" s="65"/>
      <c r="N95" s="65"/>
      <c r="O95" s="65"/>
      <c r="P95" s="65"/>
      <c r="Q95" s="65"/>
      <c r="R95" s="65"/>
      <c r="S95" s="61" t="str">
        <f aca="false">IFERROR(INDEX(PARAMETRES!$B$536:$B$586,MATCH(R95,PARAMETRES!$J$536:$J$586,0)),"")</f>
        <v/>
      </c>
      <c r="T95" s="61" t="str">
        <f aca="false">IFERROR(INDEX(PARAMETRES!$D$536:$D$586,MATCH(R95,PARAMETRES!$J$536:$J$586,0)),"")</f>
        <v/>
      </c>
      <c r="U95" s="61" t="str">
        <f aca="false">IFERROR(INDEX(PARAMETRES!$F$536:$F$586,MATCH(R95,PARAMETRES!$J$536:$J$586,0)),"")</f>
        <v/>
      </c>
      <c r="V95" s="61" t="str">
        <f aca="false">IFERROR(INDEX(PARAMETRES!$G$536:$G$586,MATCH(R95,PARAMETRES!$J$536:$J$586,0)),"")</f>
        <v/>
      </c>
      <c r="W95" s="65"/>
      <c r="X95" s="79"/>
      <c r="Y95" s="79"/>
      <c r="Z95" s="79"/>
      <c r="AA95" s="79"/>
      <c r="AB95" s="61" t="str">
        <f aca="false">IF(OR(X95="",Z95=""),"",Z95-X95)</f>
        <v/>
      </c>
      <c r="AC95" s="61" t="str">
        <f aca="false">IF(OR(Y95="",AA95=""),"",AA95-Y95)</f>
        <v/>
      </c>
      <c r="AD95" s="65"/>
      <c r="AE95" s="65"/>
      <c r="AF95" s="80"/>
      <c r="AG95" s="80"/>
      <c r="AH95" s="81" t="n">
        <f aca="false">IF(A95="",0,SUMIF(tbl_Projets_Financements[ID Projet],A95,tbl_Projets_Financements[Montant recu]))</f>
        <v>0</v>
      </c>
      <c r="AI95" s="80"/>
      <c r="AJ95" s="81" t="n">
        <f aca="false">IF(AG95="",0,AG95)-IF(AI95="",0,AI95)</f>
        <v>0</v>
      </c>
      <c r="AK95" s="81" t="n">
        <f aca="false">AH95-AI95</f>
        <v>0</v>
      </c>
      <c r="AL95" s="82" t="n">
        <f aca="false">IF(OR(AG95="",AG95=0),0,AI95/AG95)</f>
        <v>0</v>
      </c>
      <c r="AM95" s="80"/>
      <c r="AN95" s="80"/>
      <c r="AO95" s="80"/>
      <c r="AP95" s="80"/>
      <c r="AQ95" s="80"/>
      <c r="AR95" s="80"/>
      <c r="AS95" s="61" t="n">
        <f aca="false">IF(A95="",0,COUNTIFS(tbl_Beneficiaires[ID projet],A95))</f>
        <v>0</v>
      </c>
      <c r="AT95" s="61" t="n">
        <f aca="false">IF(A95="",0,COUNTIFS(tbl_Beneficiaires[ID projet],A95,tbl_Beneficiaires[Sexe],"Feminin"))</f>
        <v>0</v>
      </c>
      <c r="AU95" s="61" t="n">
        <f aca="false">IF(A95="",0,COUNTIFS(tbl_Beneficiaires[ID projet],A95,tbl_Beneficiaires[Sexe],"Masculin"))</f>
        <v>0</v>
      </c>
      <c r="AV95" s="61" t="n">
        <f aca="false">IF(A95="",0,COUNTIFS(tbl_Beneficiaires[ID projet],A95,tbl_Beneficiaires[Menage vulnerable],"Oui"))</f>
        <v>0</v>
      </c>
      <c r="AW95" s="61" t="n">
        <f aca="false">IF(A95="",0,COUNTIFS(tbl_Beneficiaires[ID projet],A95,tbl_Beneficiaires[Handicap],"Oui"))</f>
        <v>0</v>
      </c>
      <c r="AX95" s="80"/>
      <c r="AY95" s="80"/>
      <c r="AZ95" s="80"/>
      <c r="BA95" s="80"/>
      <c r="BB95" s="80"/>
      <c r="BC95" s="82" t="n">
        <f aca="false">IF(OR(AX95="",AX95=0),0,BA95/AX95)</f>
        <v>0</v>
      </c>
      <c r="BD95" s="83"/>
      <c r="BE95" s="61" t="str">
        <f aca="true">IF(A95="","",IF(AND(Z95&lt;&gt;"",TODAY()&gt;Z95,NOT(OR(AD95="Termine",AD95="Cloture",AD95="Annule",AD95="Non retenu"))),"OUI","NON"))</f>
        <v/>
      </c>
      <c r="BF95" s="61" t="str">
        <f aca="true">IF(A95="","",IF(AND(Z95&lt;&gt;"",(Z95-TODAY())&gt;=0,(Z95-TODAY())&lt;=30,NOT(OR(AD95="Termine",AD95="Cloture",AD95="Annule",AD95="Non retenu"))),"OUI","NON"))</f>
        <v/>
      </c>
      <c r="BG95" s="61" t="str">
        <f aca="false">IF(A95="","",IF(AI95&gt;AG95,"OUI","NON"))</f>
        <v/>
      </c>
      <c r="BH95" s="61" t="str">
        <f aca="false">IF(A95="","",IF(AH95&lt;AG95,"OUI","NON"))</f>
        <v/>
      </c>
      <c r="BI95" s="78"/>
    </row>
    <row r="98" customFormat="false" ht="19.5" hidden="false" customHeight="true" outlineLevel="0" collapsed="false">
      <c r="A98" s="24" t="s">
        <v>1629</v>
      </c>
      <c r="B98" s="24"/>
      <c r="C98" s="24"/>
      <c r="D98" s="24"/>
      <c r="E98" s="24"/>
      <c r="F98" s="24"/>
      <c r="G98" s="24"/>
    </row>
    <row r="99" customFormat="false" ht="25.5" hidden="false" customHeight="true" outlineLevel="0" collapsed="false">
      <c r="A99" s="59" t="s">
        <v>1570</v>
      </c>
      <c r="B99" s="59" t="s">
        <v>1630</v>
      </c>
      <c r="C99" s="59" t="s">
        <v>1631</v>
      </c>
      <c r="D99" s="59" t="s">
        <v>1632</v>
      </c>
      <c r="E99" s="59" t="s">
        <v>1633</v>
      </c>
      <c r="F99" s="59" t="s">
        <v>1634</v>
      </c>
      <c r="G99" s="59" t="s">
        <v>54</v>
      </c>
    </row>
    <row r="100" customFormat="false" ht="15" hidden="false" customHeight="true" outlineLevel="0" collapsed="false">
      <c r="A100" s="65"/>
      <c r="B100" s="65"/>
      <c r="C100" s="78"/>
      <c r="D100" s="65"/>
      <c r="E100" s="80"/>
      <c r="F100" s="79"/>
      <c r="G100" s="65"/>
    </row>
    <row r="101" customFormat="false" ht="15" hidden="false" customHeight="true" outlineLevel="0" collapsed="false">
      <c r="A101" s="65"/>
      <c r="B101" s="65"/>
      <c r="C101" s="78"/>
      <c r="D101" s="65"/>
      <c r="E101" s="80"/>
      <c r="F101" s="79"/>
      <c r="G101" s="65"/>
    </row>
    <row r="102" customFormat="false" ht="15" hidden="false" customHeight="true" outlineLevel="0" collapsed="false">
      <c r="A102" s="65"/>
      <c r="B102" s="65"/>
      <c r="C102" s="78"/>
      <c r="D102" s="65"/>
      <c r="E102" s="80"/>
      <c r="F102" s="79"/>
      <c r="G102" s="65"/>
    </row>
    <row r="103" customFormat="false" ht="15" hidden="false" customHeight="true" outlineLevel="0" collapsed="false">
      <c r="A103" s="65"/>
      <c r="B103" s="65"/>
      <c r="C103" s="78"/>
      <c r="D103" s="65"/>
      <c r="E103" s="80"/>
      <c r="F103" s="79"/>
      <c r="G103" s="65"/>
    </row>
    <row r="104" customFormat="false" ht="15" hidden="false" customHeight="true" outlineLevel="0" collapsed="false">
      <c r="A104" s="65"/>
      <c r="B104" s="65"/>
      <c r="C104" s="78"/>
      <c r="D104" s="65"/>
      <c r="E104" s="80"/>
      <c r="F104" s="79"/>
      <c r="G104" s="65"/>
    </row>
    <row r="105" customFormat="false" ht="15" hidden="false" customHeight="true" outlineLevel="0" collapsed="false">
      <c r="A105" s="65"/>
      <c r="B105" s="65"/>
      <c r="C105" s="78"/>
      <c r="D105" s="65"/>
      <c r="E105" s="80"/>
      <c r="F105" s="79"/>
      <c r="G105" s="65"/>
    </row>
    <row r="106" customFormat="false" ht="15" hidden="false" customHeight="true" outlineLevel="0" collapsed="false">
      <c r="A106" s="65"/>
      <c r="B106" s="65"/>
      <c r="C106" s="78"/>
      <c r="D106" s="65"/>
      <c r="E106" s="80"/>
      <c r="F106" s="79"/>
      <c r="G106" s="65"/>
    </row>
    <row r="107" customFormat="false" ht="15" hidden="false" customHeight="true" outlineLevel="0" collapsed="false">
      <c r="A107" s="65"/>
      <c r="B107" s="65"/>
      <c r="C107" s="78"/>
      <c r="D107" s="65"/>
      <c r="E107" s="80"/>
      <c r="F107" s="79"/>
      <c r="G107" s="65"/>
    </row>
    <row r="108" customFormat="false" ht="15" hidden="false" customHeight="true" outlineLevel="0" collapsed="false">
      <c r="A108" s="65"/>
      <c r="B108" s="65"/>
      <c r="C108" s="78"/>
      <c r="D108" s="65"/>
      <c r="E108" s="80"/>
      <c r="F108" s="79"/>
      <c r="G108" s="65"/>
    </row>
    <row r="109" customFormat="false" ht="15" hidden="false" customHeight="true" outlineLevel="0" collapsed="false">
      <c r="A109" s="65"/>
      <c r="B109" s="65"/>
      <c r="C109" s="78"/>
      <c r="D109" s="65"/>
      <c r="E109" s="80"/>
      <c r="F109" s="79"/>
      <c r="G109" s="65"/>
    </row>
    <row r="110" customFormat="false" ht="15" hidden="false" customHeight="true" outlineLevel="0" collapsed="false">
      <c r="A110" s="65"/>
      <c r="B110" s="65"/>
      <c r="C110" s="78"/>
      <c r="D110" s="65"/>
      <c r="E110" s="80"/>
      <c r="F110" s="79"/>
      <c r="G110" s="65"/>
    </row>
    <row r="111" customFormat="false" ht="15" hidden="false" customHeight="true" outlineLevel="0" collapsed="false">
      <c r="A111" s="65"/>
      <c r="B111" s="65"/>
      <c r="C111" s="78"/>
      <c r="D111" s="65"/>
      <c r="E111" s="80"/>
      <c r="F111" s="79"/>
      <c r="G111" s="65"/>
    </row>
    <row r="112" customFormat="false" ht="15" hidden="false" customHeight="true" outlineLevel="0" collapsed="false">
      <c r="A112" s="65"/>
      <c r="B112" s="65"/>
      <c r="C112" s="78"/>
      <c r="D112" s="65"/>
      <c r="E112" s="80"/>
      <c r="F112" s="79"/>
      <c r="G112" s="65"/>
    </row>
    <row r="113" customFormat="false" ht="15" hidden="false" customHeight="true" outlineLevel="0" collapsed="false">
      <c r="A113" s="65"/>
      <c r="B113" s="65"/>
      <c r="C113" s="78"/>
      <c r="D113" s="65"/>
      <c r="E113" s="80"/>
      <c r="F113" s="79"/>
      <c r="G113" s="65"/>
    </row>
    <row r="114" customFormat="false" ht="15" hidden="false" customHeight="true" outlineLevel="0" collapsed="false">
      <c r="A114" s="65"/>
      <c r="B114" s="65"/>
      <c r="C114" s="78"/>
      <c r="D114" s="65"/>
      <c r="E114" s="80"/>
      <c r="F114" s="79"/>
      <c r="G114" s="65"/>
    </row>
    <row r="115" customFormat="false" ht="15" hidden="false" customHeight="true" outlineLevel="0" collapsed="false">
      <c r="A115" s="65"/>
      <c r="B115" s="65"/>
      <c r="C115" s="78"/>
      <c r="D115" s="65"/>
      <c r="E115" s="80"/>
      <c r="F115" s="79"/>
      <c r="G115" s="65"/>
    </row>
    <row r="116" customFormat="false" ht="15" hidden="false" customHeight="true" outlineLevel="0" collapsed="false">
      <c r="A116" s="65"/>
      <c r="B116" s="65"/>
      <c r="C116" s="78"/>
      <c r="D116" s="65"/>
      <c r="E116" s="80"/>
      <c r="F116" s="79"/>
      <c r="G116" s="65"/>
    </row>
    <row r="117" customFormat="false" ht="15" hidden="false" customHeight="true" outlineLevel="0" collapsed="false">
      <c r="A117" s="65"/>
      <c r="B117" s="65"/>
      <c r="C117" s="78"/>
      <c r="D117" s="65"/>
      <c r="E117" s="80"/>
      <c r="F117" s="79"/>
      <c r="G117" s="65"/>
    </row>
    <row r="118" customFormat="false" ht="15" hidden="false" customHeight="true" outlineLevel="0" collapsed="false">
      <c r="A118" s="65"/>
      <c r="B118" s="65"/>
      <c r="C118" s="78"/>
      <c r="D118" s="65"/>
      <c r="E118" s="80"/>
      <c r="F118" s="79"/>
      <c r="G118" s="65"/>
    </row>
    <row r="119" customFormat="false" ht="15" hidden="false" customHeight="true" outlineLevel="0" collapsed="false">
      <c r="A119" s="65"/>
      <c r="B119" s="65"/>
      <c r="C119" s="78"/>
      <c r="D119" s="65"/>
      <c r="E119" s="80"/>
      <c r="F119" s="79"/>
      <c r="G119" s="65"/>
    </row>
    <row r="120" customFormat="false" ht="15" hidden="false" customHeight="true" outlineLevel="0" collapsed="false">
      <c r="A120" s="65"/>
      <c r="B120" s="65"/>
      <c r="C120" s="78"/>
      <c r="D120" s="65"/>
      <c r="E120" s="80"/>
      <c r="F120" s="79"/>
      <c r="G120" s="65"/>
    </row>
    <row r="121" customFormat="false" ht="15" hidden="false" customHeight="true" outlineLevel="0" collapsed="false">
      <c r="A121" s="65"/>
      <c r="B121" s="65"/>
      <c r="C121" s="78"/>
      <c r="D121" s="65"/>
      <c r="E121" s="80"/>
      <c r="F121" s="79"/>
      <c r="G121" s="65"/>
    </row>
    <row r="122" customFormat="false" ht="15" hidden="false" customHeight="true" outlineLevel="0" collapsed="false">
      <c r="A122" s="65"/>
      <c r="B122" s="65"/>
      <c r="C122" s="78"/>
      <c r="D122" s="65"/>
      <c r="E122" s="80"/>
      <c r="F122" s="79"/>
      <c r="G122" s="65"/>
    </row>
    <row r="123" customFormat="false" ht="15" hidden="false" customHeight="true" outlineLevel="0" collapsed="false">
      <c r="A123" s="65"/>
      <c r="B123" s="65"/>
      <c r="C123" s="78"/>
      <c r="D123" s="65"/>
      <c r="E123" s="80"/>
      <c r="F123" s="79"/>
      <c r="G123" s="65"/>
    </row>
    <row r="124" customFormat="false" ht="15" hidden="false" customHeight="true" outlineLevel="0" collapsed="false">
      <c r="A124" s="65"/>
      <c r="B124" s="65"/>
      <c r="C124" s="78"/>
      <c r="D124" s="65"/>
      <c r="E124" s="80"/>
      <c r="F124" s="79"/>
      <c r="G124" s="65"/>
    </row>
    <row r="125" customFormat="false" ht="15" hidden="false" customHeight="true" outlineLevel="0" collapsed="false">
      <c r="A125" s="65"/>
      <c r="B125" s="65"/>
      <c r="C125" s="78"/>
      <c r="D125" s="65"/>
      <c r="E125" s="80"/>
      <c r="F125" s="79"/>
      <c r="G125" s="65"/>
    </row>
    <row r="126" customFormat="false" ht="15" hidden="false" customHeight="true" outlineLevel="0" collapsed="false">
      <c r="A126" s="65"/>
      <c r="B126" s="65"/>
      <c r="C126" s="78"/>
      <c r="D126" s="65"/>
      <c r="E126" s="80"/>
      <c r="F126" s="79"/>
      <c r="G126" s="65"/>
    </row>
    <row r="127" customFormat="false" ht="15" hidden="false" customHeight="true" outlineLevel="0" collapsed="false">
      <c r="A127" s="65"/>
      <c r="B127" s="65"/>
      <c r="C127" s="78"/>
      <c r="D127" s="65"/>
      <c r="E127" s="80"/>
      <c r="F127" s="79"/>
      <c r="G127" s="65"/>
    </row>
    <row r="128" customFormat="false" ht="15" hidden="false" customHeight="true" outlineLevel="0" collapsed="false">
      <c r="A128" s="65"/>
      <c r="B128" s="65"/>
      <c r="C128" s="78"/>
      <c r="D128" s="65"/>
      <c r="E128" s="80"/>
      <c r="F128" s="79"/>
      <c r="G128" s="65"/>
    </row>
    <row r="129" customFormat="false" ht="15" hidden="false" customHeight="true" outlineLevel="0" collapsed="false">
      <c r="A129" s="65"/>
      <c r="B129" s="65"/>
      <c r="C129" s="78"/>
      <c r="D129" s="65"/>
      <c r="E129" s="80"/>
      <c r="F129" s="79"/>
      <c r="G129" s="65"/>
    </row>
    <row r="132" customFormat="false" ht="19.5" hidden="false" customHeight="true" outlineLevel="0" collapsed="false">
      <c r="A132" s="24" t="s">
        <v>1635</v>
      </c>
      <c r="B132" s="24"/>
      <c r="C132" s="24"/>
      <c r="D132" s="24"/>
      <c r="E132" s="24"/>
      <c r="F132" s="24"/>
      <c r="G132" s="24"/>
      <c r="H132" s="24"/>
    </row>
    <row r="133" customFormat="false" ht="25.5" hidden="false" customHeight="true" outlineLevel="0" collapsed="false">
      <c r="A133" s="59" t="s">
        <v>1570</v>
      </c>
      <c r="B133" s="59" t="s">
        <v>1636</v>
      </c>
      <c r="C133" s="59" t="s">
        <v>1637</v>
      </c>
      <c r="D133" s="59" t="s">
        <v>1638</v>
      </c>
      <c r="E133" s="59" t="s">
        <v>1639</v>
      </c>
      <c r="F133" s="59" t="s">
        <v>1640</v>
      </c>
      <c r="G133" s="59" t="s">
        <v>1641</v>
      </c>
      <c r="H133" s="59" t="s">
        <v>1642</v>
      </c>
    </row>
    <row r="134" customFormat="false" ht="15" hidden="false" customHeight="true" outlineLevel="0" collapsed="false">
      <c r="A134" s="65"/>
      <c r="B134" s="65"/>
      <c r="C134" s="78"/>
      <c r="D134" s="65"/>
      <c r="E134" s="65"/>
      <c r="F134" s="80"/>
      <c r="G134" s="80"/>
      <c r="H134" s="82" t="str">
        <f aca="false">IF(OR(F134="",F134=0,G134=""),"",G134/F134)</f>
        <v/>
      </c>
    </row>
    <row r="135" customFormat="false" ht="15" hidden="false" customHeight="true" outlineLevel="0" collapsed="false">
      <c r="A135" s="65"/>
      <c r="B135" s="65"/>
      <c r="C135" s="78"/>
      <c r="D135" s="65"/>
      <c r="E135" s="65"/>
      <c r="F135" s="80"/>
      <c r="G135" s="80"/>
      <c r="H135" s="82" t="str">
        <f aca="false">IF(OR(F135="",F135=0,G135=""),"",G135/F135)</f>
        <v/>
      </c>
    </row>
    <row r="136" customFormat="false" ht="15" hidden="false" customHeight="true" outlineLevel="0" collapsed="false">
      <c r="A136" s="65"/>
      <c r="B136" s="65"/>
      <c r="C136" s="78"/>
      <c r="D136" s="65"/>
      <c r="E136" s="65"/>
      <c r="F136" s="80"/>
      <c r="G136" s="80"/>
      <c r="H136" s="82" t="str">
        <f aca="false">IF(OR(F136="",F136=0,G136=""),"",G136/F136)</f>
        <v/>
      </c>
    </row>
    <row r="137" customFormat="false" ht="15" hidden="false" customHeight="true" outlineLevel="0" collapsed="false">
      <c r="A137" s="65"/>
      <c r="B137" s="65"/>
      <c r="C137" s="78"/>
      <c r="D137" s="65"/>
      <c r="E137" s="65"/>
      <c r="F137" s="80"/>
      <c r="G137" s="80"/>
      <c r="H137" s="82" t="str">
        <f aca="false">IF(OR(F137="",F137=0,G137=""),"",G137/F137)</f>
        <v/>
      </c>
    </row>
    <row r="138" customFormat="false" ht="15" hidden="false" customHeight="true" outlineLevel="0" collapsed="false">
      <c r="A138" s="65"/>
      <c r="B138" s="65"/>
      <c r="C138" s="78"/>
      <c r="D138" s="65"/>
      <c r="E138" s="65"/>
      <c r="F138" s="80"/>
      <c r="G138" s="80"/>
      <c r="H138" s="82" t="str">
        <f aca="false">IF(OR(F138="",F138=0,G138=""),"",G138/F138)</f>
        <v/>
      </c>
    </row>
    <row r="139" customFormat="false" ht="15" hidden="false" customHeight="true" outlineLevel="0" collapsed="false">
      <c r="A139" s="65"/>
      <c r="B139" s="65"/>
      <c r="C139" s="78"/>
      <c r="D139" s="65"/>
      <c r="E139" s="65"/>
      <c r="F139" s="80"/>
      <c r="G139" s="80"/>
      <c r="H139" s="82" t="str">
        <f aca="false">IF(OR(F139="",F139=0,G139=""),"",G139/F139)</f>
        <v/>
      </c>
    </row>
    <row r="140" customFormat="false" ht="15" hidden="false" customHeight="true" outlineLevel="0" collapsed="false">
      <c r="A140" s="65"/>
      <c r="B140" s="65"/>
      <c r="C140" s="78"/>
      <c r="D140" s="65"/>
      <c r="E140" s="65"/>
      <c r="F140" s="80"/>
      <c r="G140" s="80"/>
      <c r="H140" s="82" t="str">
        <f aca="false">IF(OR(F140="",F140=0,G140=""),"",G140/F140)</f>
        <v/>
      </c>
    </row>
    <row r="141" customFormat="false" ht="15" hidden="false" customHeight="true" outlineLevel="0" collapsed="false">
      <c r="A141" s="65"/>
      <c r="B141" s="65"/>
      <c r="C141" s="78"/>
      <c r="D141" s="65"/>
      <c r="E141" s="65"/>
      <c r="F141" s="80"/>
      <c r="G141" s="80"/>
      <c r="H141" s="82" t="str">
        <f aca="false">IF(OR(F141="",F141=0,G141=""),"",G141/F141)</f>
        <v/>
      </c>
    </row>
    <row r="142" customFormat="false" ht="15" hidden="false" customHeight="true" outlineLevel="0" collapsed="false">
      <c r="A142" s="65"/>
      <c r="B142" s="65"/>
      <c r="C142" s="78"/>
      <c r="D142" s="65"/>
      <c r="E142" s="65"/>
      <c r="F142" s="80"/>
      <c r="G142" s="80"/>
      <c r="H142" s="82" t="str">
        <f aca="false">IF(OR(F142="",F142=0,G142=""),"",G142/F142)</f>
        <v/>
      </c>
    </row>
    <row r="143" customFormat="false" ht="15" hidden="false" customHeight="true" outlineLevel="0" collapsed="false">
      <c r="A143" s="65"/>
      <c r="B143" s="65"/>
      <c r="C143" s="78"/>
      <c r="D143" s="65"/>
      <c r="E143" s="65"/>
      <c r="F143" s="80"/>
      <c r="G143" s="80"/>
      <c r="H143" s="82" t="str">
        <f aca="false">IF(OR(F143="",F143=0,G143=""),"",G143/F143)</f>
        <v/>
      </c>
    </row>
    <row r="144" customFormat="false" ht="15" hidden="false" customHeight="true" outlineLevel="0" collapsed="false">
      <c r="A144" s="65"/>
      <c r="B144" s="65"/>
      <c r="C144" s="78"/>
      <c r="D144" s="65"/>
      <c r="E144" s="65"/>
      <c r="F144" s="80"/>
      <c r="G144" s="80"/>
      <c r="H144" s="82" t="str">
        <f aca="false">IF(OR(F144="",F144=0,G144=""),"",G144/F144)</f>
        <v/>
      </c>
    </row>
    <row r="145" customFormat="false" ht="15" hidden="false" customHeight="true" outlineLevel="0" collapsed="false">
      <c r="A145" s="65"/>
      <c r="B145" s="65"/>
      <c r="C145" s="78"/>
      <c r="D145" s="65"/>
      <c r="E145" s="65"/>
      <c r="F145" s="80"/>
      <c r="G145" s="80"/>
      <c r="H145" s="82" t="str">
        <f aca="false">IF(OR(F145="",F145=0,G145=""),"",G145/F145)</f>
        <v/>
      </c>
    </row>
    <row r="146" customFormat="false" ht="15" hidden="false" customHeight="true" outlineLevel="0" collapsed="false">
      <c r="A146" s="65"/>
      <c r="B146" s="65"/>
      <c r="C146" s="78"/>
      <c r="D146" s="65"/>
      <c r="E146" s="65"/>
      <c r="F146" s="80"/>
      <c r="G146" s="80"/>
      <c r="H146" s="82" t="str">
        <f aca="false">IF(OR(F146="",F146=0,G146=""),"",G146/F146)</f>
        <v/>
      </c>
    </row>
    <row r="147" customFormat="false" ht="15" hidden="false" customHeight="true" outlineLevel="0" collapsed="false">
      <c r="A147" s="65"/>
      <c r="B147" s="65"/>
      <c r="C147" s="78"/>
      <c r="D147" s="65"/>
      <c r="E147" s="65"/>
      <c r="F147" s="80"/>
      <c r="G147" s="80"/>
      <c r="H147" s="82" t="str">
        <f aca="false">IF(OR(F147="",F147=0,G147=""),"",G147/F147)</f>
        <v/>
      </c>
    </row>
    <row r="148" customFormat="false" ht="15" hidden="false" customHeight="true" outlineLevel="0" collapsed="false">
      <c r="A148" s="65"/>
      <c r="B148" s="65"/>
      <c r="C148" s="78"/>
      <c r="D148" s="65"/>
      <c r="E148" s="65"/>
      <c r="F148" s="80"/>
      <c r="G148" s="80"/>
      <c r="H148" s="82" t="str">
        <f aca="false">IF(OR(F148="",F148=0,G148=""),"",G148/F148)</f>
        <v/>
      </c>
    </row>
    <row r="149" customFormat="false" ht="15" hidden="false" customHeight="true" outlineLevel="0" collapsed="false">
      <c r="A149" s="65"/>
      <c r="B149" s="65"/>
      <c r="C149" s="78"/>
      <c r="D149" s="65"/>
      <c r="E149" s="65"/>
      <c r="F149" s="80"/>
      <c r="G149" s="80"/>
      <c r="H149" s="82" t="str">
        <f aca="false">IF(OR(F149="",F149=0,G149=""),"",G149/F149)</f>
        <v/>
      </c>
    </row>
    <row r="150" customFormat="false" ht="15" hidden="false" customHeight="true" outlineLevel="0" collapsed="false">
      <c r="A150" s="65"/>
      <c r="B150" s="65"/>
      <c r="C150" s="78"/>
      <c r="D150" s="65"/>
      <c r="E150" s="65"/>
      <c r="F150" s="80"/>
      <c r="G150" s="80"/>
      <c r="H150" s="82" t="str">
        <f aca="false">IF(OR(F150="",F150=0,G150=""),"",G150/F150)</f>
        <v/>
      </c>
    </row>
    <row r="151" customFormat="false" ht="15" hidden="false" customHeight="true" outlineLevel="0" collapsed="false">
      <c r="A151" s="65"/>
      <c r="B151" s="65"/>
      <c r="C151" s="78"/>
      <c r="D151" s="65"/>
      <c r="E151" s="65"/>
      <c r="F151" s="80"/>
      <c r="G151" s="80"/>
      <c r="H151" s="82" t="str">
        <f aca="false">IF(OR(F151="",F151=0,G151=""),"",G151/F151)</f>
        <v/>
      </c>
    </row>
    <row r="152" customFormat="false" ht="15" hidden="false" customHeight="true" outlineLevel="0" collapsed="false">
      <c r="A152" s="65"/>
      <c r="B152" s="65"/>
      <c r="C152" s="78"/>
      <c r="D152" s="65"/>
      <c r="E152" s="65"/>
      <c r="F152" s="80"/>
      <c r="G152" s="80"/>
      <c r="H152" s="82" t="str">
        <f aca="false">IF(OR(F152="",F152=0,G152=""),"",G152/F152)</f>
        <v/>
      </c>
    </row>
    <row r="153" customFormat="false" ht="15" hidden="false" customHeight="true" outlineLevel="0" collapsed="false">
      <c r="A153" s="65"/>
      <c r="B153" s="65"/>
      <c r="C153" s="78"/>
      <c r="D153" s="65"/>
      <c r="E153" s="65"/>
      <c r="F153" s="80"/>
      <c r="G153" s="80"/>
      <c r="H153" s="82" t="str">
        <f aca="false">IF(OR(F153="",F153=0,G153=""),"",G153/F153)</f>
        <v/>
      </c>
    </row>
    <row r="154" customFormat="false" ht="15" hidden="false" customHeight="true" outlineLevel="0" collapsed="false">
      <c r="A154" s="65"/>
      <c r="B154" s="65"/>
      <c r="C154" s="78"/>
      <c r="D154" s="65"/>
      <c r="E154" s="65"/>
      <c r="F154" s="80"/>
      <c r="G154" s="80"/>
      <c r="H154" s="82" t="str">
        <f aca="false">IF(OR(F154="",F154=0,G154=""),"",G154/F154)</f>
        <v/>
      </c>
    </row>
    <row r="155" customFormat="false" ht="15" hidden="false" customHeight="true" outlineLevel="0" collapsed="false">
      <c r="A155" s="65"/>
      <c r="B155" s="65"/>
      <c r="C155" s="78"/>
      <c r="D155" s="65"/>
      <c r="E155" s="65"/>
      <c r="F155" s="80"/>
      <c r="G155" s="80"/>
      <c r="H155" s="82" t="str">
        <f aca="false">IF(OR(F155="",F155=0,G155=""),"",G155/F155)</f>
        <v/>
      </c>
    </row>
    <row r="156" customFormat="false" ht="15" hidden="false" customHeight="true" outlineLevel="0" collapsed="false">
      <c r="A156" s="65"/>
      <c r="B156" s="65"/>
      <c r="C156" s="78"/>
      <c r="D156" s="65"/>
      <c r="E156" s="65"/>
      <c r="F156" s="80"/>
      <c r="G156" s="80"/>
      <c r="H156" s="82" t="str">
        <f aca="false">IF(OR(F156="",F156=0,G156=""),"",G156/F156)</f>
        <v/>
      </c>
    </row>
    <row r="157" customFormat="false" ht="15" hidden="false" customHeight="true" outlineLevel="0" collapsed="false">
      <c r="A157" s="65"/>
      <c r="B157" s="65"/>
      <c r="C157" s="78"/>
      <c r="D157" s="65"/>
      <c r="E157" s="65"/>
      <c r="F157" s="80"/>
      <c r="G157" s="80"/>
      <c r="H157" s="82" t="str">
        <f aca="false">IF(OR(F157="",F157=0,G157=""),"",G157/F157)</f>
        <v/>
      </c>
    </row>
    <row r="158" customFormat="false" ht="15" hidden="false" customHeight="true" outlineLevel="0" collapsed="false">
      <c r="A158" s="65"/>
      <c r="B158" s="65"/>
      <c r="C158" s="78"/>
      <c r="D158" s="65"/>
      <c r="E158" s="65"/>
      <c r="F158" s="80"/>
      <c r="G158" s="80"/>
      <c r="H158" s="82" t="str">
        <f aca="false">IF(OR(F158="",F158=0,G158=""),"",G158/F158)</f>
        <v/>
      </c>
    </row>
    <row r="159" customFormat="false" ht="15" hidden="false" customHeight="true" outlineLevel="0" collapsed="false">
      <c r="A159" s="65"/>
      <c r="B159" s="65"/>
      <c r="C159" s="78"/>
      <c r="D159" s="65"/>
      <c r="E159" s="65"/>
      <c r="F159" s="80"/>
      <c r="G159" s="80"/>
      <c r="H159" s="82" t="str">
        <f aca="false">IF(OR(F159="",F159=0,G159=""),"",G159/F159)</f>
        <v/>
      </c>
    </row>
    <row r="160" customFormat="false" ht="15" hidden="false" customHeight="true" outlineLevel="0" collapsed="false">
      <c r="A160" s="65"/>
      <c r="B160" s="65"/>
      <c r="C160" s="78"/>
      <c r="D160" s="65"/>
      <c r="E160" s="65"/>
      <c r="F160" s="80"/>
      <c r="G160" s="80"/>
      <c r="H160" s="82" t="str">
        <f aca="false">IF(OR(F160="",F160=0,G160=""),"",G160/F160)</f>
        <v/>
      </c>
    </row>
    <row r="161" customFormat="false" ht="15" hidden="false" customHeight="true" outlineLevel="0" collapsed="false">
      <c r="A161" s="65"/>
      <c r="B161" s="65"/>
      <c r="C161" s="78"/>
      <c r="D161" s="65"/>
      <c r="E161" s="65"/>
      <c r="F161" s="80"/>
      <c r="G161" s="80"/>
      <c r="H161" s="82" t="str">
        <f aca="false">IF(OR(F161="",F161=0,G161=""),"",G161/F161)</f>
        <v/>
      </c>
    </row>
    <row r="162" customFormat="false" ht="15" hidden="false" customHeight="true" outlineLevel="0" collapsed="false">
      <c r="A162" s="65"/>
      <c r="B162" s="65"/>
      <c r="C162" s="78"/>
      <c r="D162" s="65"/>
      <c r="E162" s="65"/>
      <c r="F162" s="80"/>
      <c r="G162" s="80"/>
      <c r="H162" s="82" t="str">
        <f aca="false">IF(OR(F162="",F162=0,G162=""),"",G162/F162)</f>
        <v/>
      </c>
    </row>
    <row r="163" customFormat="false" ht="15" hidden="false" customHeight="true" outlineLevel="0" collapsed="false">
      <c r="A163" s="65"/>
      <c r="B163" s="65"/>
      <c r="C163" s="78"/>
      <c r="D163" s="65"/>
      <c r="E163" s="65"/>
      <c r="F163" s="80"/>
      <c r="G163" s="80"/>
      <c r="H163" s="82" t="str">
        <f aca="false">IF(OR(F163="",F163=0,G163=""),"",G163/F163)</f>
        <v/>
      </c>
    </row>
    <row r="166" customFormat="false" ht="19.5" hidden="false" customHeight="true" outlineLevel="0" collapsed="false">
      <c r="A166" s="24" t="s">
        <v>1643</v>
      </c>
      <c r="B166" s="24"/>
      <c r="C166" s="24"/>
      <c r="D166" s="24"/>
      <c r="E166" s="24"/>
      <c r="F166" s="24"/>
      <c r="G166" s="24"/>
    </row>
    <row r="167" customFormat="false" ht="25.5" hidden="false" customHeight="true" outlineLevel="0" collapsed="false">
      <c r="A167" s="59" t="s">
        <v>1570</v>
      </c>
      <c r="B167" s="59" t="s">
        <v>1644</v>
      </c>
      <c r="C167" s="59" t="s">
        <v>1467</v>
      </c>
      <c r="D167" s="59" t="s">
        <v>1298</v>
      </c>
      <c r="E167" s="59" t="s">
        <v>1645</v>
      </c>
      <c r="F167" s="59" t="s">
        <v>1646</v>
      </c>
      <c r="G167" s="59" t="s">
        <v>54</v>
      </c>
    </row>
    <row r="168" customFormat="false" ht="15" hidden="false" customHeight="true" outlineLevel="0" collapsed="false">
      <c r="A168" s="65"/>
      <c r="B168" s="65"/>
      <c r="C168" s="65"/>
      <c r="D168" s="65"/>
      <c r="E168" s="65"/>
      <c r="F168" s="79"/>
      <c r="G168" s="65"/>
    </row>
    <row r="169" customFormat="false" ht="15" hidden="false" customHeight="true" outlineLevel="0" collapsed="false">
      <c r="A169" s="65"/>
      <c r="B169" s="65"/>
      <c r="C169" s="65"/>
      <c r="D169" s="65"/>
      <c r="E169" s="65"/>
      <c r="F169" s="79"/>
      <c r="G169" s="65"/>
    </row>
    <row r="170" customFormat="false" ht="15" hidden="false" customHeight="true" outlineLevel="0" collapsed="false">
      <c r="A170" s="65"/>
      <c r="B170" s="65"/>
      <c r="C170" s="65"/>
      <c r="D170" s="65"/>
      <c r="E170" s="65"/>
      <c r="F170" s="79"/>
      <c r="G170" s="65"/>
    </row>
    <row r="171" customFormat="false" ht="15" hidden="false" customHeight="true" outlineLevel="0" collapsed="false">
      <c r="A171" s="65"/>
      <c r="B171" s="65"/>
      <c r="C171" s="65"/>
      <c r="D171" s="65"/>
      <c r="E171" s="65"/>
      <c r="F171" s="79"/>
      <c r="G171" s="65"/>
    </row>
    <row r="172" customFormat="false" ht="15" hidden="false" customHeight="true" outlineLevel="0" collapsed="false">
      <c r="A172" s="65"/>
      <c r="B172" s="65"/>
      <c r="C172" s="65"/>
      <c r="D172" s="65"/>
      <c r="E172" s="65"/>
      <c r="F172" s="79"/>
      <c r="G172" s="65"/>
    </row>
    <row r="173" customFormat="false" ht="15" hidden="false" customHeight="true" outlineLevel="0" collapsed="false">
      <c r="A173" s="65"/>
      <c r="B173" s="65"/>
      <c r="C173" s="65"/>
      <c r="D173" s="65"/>
      <c r="E173" s="65"/>
      <c r="F173" s="79"/>
      <c r="G173" s="65"/>
    </row>
    <row r="174" customFormat="false" ht="15" hidden="false" customHeight="true" outlineLevel="0" collapsed="false">
      <c r="A174" s="65"/>
      <c r="B174" s="65"/>
      <c r="C174" s="65"/>
      <c r="D174" s="65"/>
      <c r="E174" s="65"/>
      <c r="F174" s="79"/>
      <c r="G174" s="65"/>
    </row>
    <row r="175" customFormat="false" ht="15" hidden="false" customHeight="true" outlineLevel="0" collapsed="false">
      <c r="A175" s="65"/>
      <c r="B175" s="65"/>
      <c r="C175" s="65"/>
      <c r="D175" s="65"/>
      <c r="E175" s="65"/>
      <c r="F175" s="79"/>
      <c r="G175" s="65"/>
    </row>
    <row r="176" customFormat="false" ht="15" hidden="false" customHeight="true" outlineLevel="0" collapsed="false">
      <c r="A176" s="65"/>
      <c r="B176" s="65"/>
      <c r="C176" s="65"/>
      <c r="D176" s="65"/>
      <c r="E176" s="65"/>
      <c r="F176" s="79"/>
      <c r="G176" s="65"/>
    </row>
    <row r="177" customFormat="false" ht="15" hidden="false" customHeight="true" outlineLevel="0" collapsed="false">
      <c r="A177" s="65"/>
      <c r="B177" s="65"/>
      <c r="C177" s="65"/>
      <c r="D177" s="65"/>
      <c r="E177" s="65"/>
      <c r="F177" s="79"/>
      <c r="G177" s="65"/>
    </row>
    <row r="178" customFormat="false" ht="15" hidden="false" customHeight="true" outlineLevel="0" collapsed="false">
      <c r="A178" s="65"/>
      <c r="B178" s="65"/>
      <c r="C178" s="65"/>
      <c r="D178" s="65"/>
      <c r="E178" s="65"/>
      <c r="F178" s="79"/>
      <c r="G178" s="65"/>
    </row>
    <row r="179" customFormat="false" ht="15" hidden="false" customHeight="true" outlineLevel="0" collapsed="false">
      <c r="A179" s="65"/>
      <c r="B179" s="65"/>
      <c r="C179" s="65"/>
      <c r="D179" s="65"/>
      <c r="E179" s="65"/>
      <c r="F179" s="79"/>
      <c r="G179" s="65"/>
    </row>
    <row r="180" customFormat="false" ht="15" hidden="false" customHeight="true" outlineLevel="0" collapsed="false">
      <c r="A180" s="65"/>
      <c r="B180" s="65"/>
      <c r="C180" s="65"/>
      <c r="D180" s="65"/>
      <c r="E180" s="65"/>
      <c r="F180" s="79"/>
      <c r="G180" s="65"/>
    </row>
    <row r="181" customFormat="false" ht="15" hidden="false" customHeight="true" outlineLevel="0" collapsed="false">
      <c r="A181" s="65"/>
      <c r="B181" s="65"/>
      <c r="C181" s="65"/>
      <c r="D181" s="65"/>
      <c r="E181" s="65"/>
      <c r="F181" s="79"/>
      <c r="G181" s="65"/>
    </row>
    <row r="182" customFormat="false" ht="15" hidden="false" customHeight="true" outlineLevel="0" collapsed="false">
      <c r="A182" s="65"/>
      <c r="B182" s="65"/>
      <c r="C182" s="65"/>
      <c r="D182" s="65"/>
      <c r="E182" s="65"/>
      <c r="F182" s="79"/>
      <c r="G182" s="65"/>
    </row>
    <row r="183" customFormat="false" ht="15" hidden="false" customHeight="true" outlineLevel="0" collapsed="false">
      <c r="A183" s="65"/>
      <c r="B183" s="65"/>
      <c r="C183" s="65"/>
      <c r="D183" s="65"/>
      <c r="E183" s="65"/>
      <c r="F183" s="79"/>
      <c r="G183" s="65"/>
    </row>
    <row r="184" customFormat="false" ht="15" hidden="false" customHeight="true" outlineLevel="0" collapsed="false">
      <c r="A184" s="65"/>
      <c r="B184" s="65"/>
      <c r="C184" s="65"/>
      <c r="D184" s="65"/>
      <c r="E184" s="65"/>
      <c r="F184" s="79"/>
      <c r="G184" s="65"/>
    </row>
    <row r="185" customFormat="false" ht="15" hidden="false" customHeight="true" outlineLevel="0" collapsed="false">
      <c r="A185" s="65"/>
      <c r="B185" s="65"/>
      <c r="C185" s="65"/>
      <c r="D185" s="65"/>
      <c r="E185" s="65"/>
      <c r="F185" s="79"/>
      <c r="G185" s="65"/>
    </row>
    <row r="186" customFormat="false" ht="15" hidden="false" customHeight="true" outlineLevel="0" collapsed="false">
      <c r="A186" s="65"/>
      <c r="B186" s="65"/>
      <c r="C186" s="65"/>
      <c r="D186" s="65"/>
      <c r="E186" s="65"/>
      <c r="F186" s="79"/>
      <c r="G186" s="65"/>
    </row>
    <row r="187" customFormat="false" ht="15" hidden="false" customHeight="true" outlineLevel="0" collapsed="false">
      <c r="A187" s="65"/>
      <c r="B187" s="65"/>
      <c r="C187" s="65"/>
      <c r="D187" s="65"/>
      <c r="E187" s="65"/>
      <c r="F187" s="79"/>
      <c r="G187" s="65"/>
    </row>
    <row r="188" customFormat="false" ht="15" hidden="false" customHeight="true" outlineLevel="0" collapsed="false">
      <c r="A188" s="65"/>
      <c r="B188" s="65"/>
      <c r="C188" s="65"/>
      <c r="D188" s="65"/>
      <c r="E188" s="65"/>
      <c r="F188" s="79"/>
      <c r="G188" s="65"/>
    </row>
    <row r="189" customFormat="false" ht="15" hidden="false" customHeight="true" outlineLevel="0" collapsed="false">
      <c r="A189" s="65"/>
      <c r="B189" s="65"/>
      <c r="C189" s="65"/>
      <c r="D189" s="65"/>
      <c r="E189" s="65"/>
      <c r="F189" s="79"/>
      <c r="G189" s="65"/>
    </row>
    <row r="190" customFormat="false" ht="15" hidden="false" customHeight="true" outlineLevel="0" collapsed="false">
      <c r="A190" s="65"/>
      <c r="B190" s="65"/>
      <c r="C190" s="65"/>
      <c r="D190" s="65"/>
      <c r="E190" s="65"/>
      <c r="F190" s="79"/>
      <c r="G190" s="65"/>
    </row>
    <row r="191" customFormat="false" ht="15" hidden="false" customHeight="true" outlineLevel="0" collapsed="false">
      <c r="A191" s="65"/>
      <c r="B191" s="65"/>
      <c r="C191" s="65"/>
      <c r="D191" s="65"/>
      <c r="E191" s="65"/>
      <c r="F191" s="79"/>
      <c r="G191" s="65"/>
    </row>
    <row r="192" customFormat="false" ht="15" hidden="false" customHeight="true" outlineLevel="0" collapsed="false">
      <c r="A192" s="65"/>
      <c r="B192" s="65"/>
      <c r="C192" s="65"/>
      <c r="D192" s="65"/>
      <c r="E192" s="65"/>
      <c r="F192" s="79"/>
      <c r="G192" s="65"/>
    </row>
    <row r="193" customFormat="false" ht="15" hidden="false" customHeight="true" outlineLevel="0" collapsed="false">
      <c r="A193" s="65"/>
      <c r="B193" s="65"/>
      <c r="C193" s="65"/>
      <c r="D193" s="65"/>
      <c r="E193" s="65"/>
      <c r="F193" s="79"/>
      <c r="G193" s="65"/>
    </row>
    <row r="194" customFormat="false" ht="15" hidden="false" customHeight="true" outlineLevel="0" collapsed="false">
      <c r="A194" s="65"/>
      <c r="B194" s="65"/>
      <c r="C194" s="65"/>
      <c r="D194" s="65"/>
      <c r="E194" s="65"/>
      <c r="F194" s="79"/>
      <c r="G194" s="65"/>
    </row>
    <row r="195" customFormat="false" ht="15" hidden="false" customHeight="true" outlineLevel="0" collapsed="false">
      <c r="A195" s="65"/>
      <c r="B195" s="65"/>
      <c r="C195" s="65"/>
      <c r="D195" s="65"/>
      <c r="E195" s="65"/>
      <c r="F195" s="79"/>
      <c r="G195" s="65"/>
    </row>
    <row r="196" customFormat="false" ht="15" hidden="false" customHeight="true" outlineLevel="0" collapsed="false">
      <c r="A196" s="65"/>
      <c r="B196" s="65"/>
      <c r="C196" s="65"/>
      <c r="D196" s="65"/>
      <c r="E196" s="65"/>
      <c r="F196" s="79"/>
      <c r="G196" s="65"/>
    </row>
    <row r="197" customFormat="false" ht="15" hidden="false" customHeight="true" outlineLevel="0" collapsed="false">
      <c r="A197" s="65"/>
      <c r="B197" s="65"/>
      <c r="C197" s="65"/>
      <c r="D197" s="65"/>
      <c r="E197" s="65"/>
      <c r="F197" s="79"/>
      <c r="G197" s="65"/>
    </row>
    <row r="200" customFormat="false" ht="19.5" hidden="false" customHeight="true" outlineLevel="0" collapsed="false">
      <c r="A200" s="24" t="s">
        <v>1647</v>
      </c>
      <c r="B200" s="24"/>
      <c r="C200" s="24"/>
      <c r="D200" s="24"/>
      <c r="E200" s="24"/>
      <c r="F200" s="24"/>
    </row>
    <row r="201" customFormat="false" ht="25.5" hidden="false" customHeight="true" outlineLevel="0" collapsed="false">
      <c r="A201" s="59" t="s">
        <v>1570</v>
      </c>
      <c r="B201" s="59" t="s">
        <v>1648</v>
      </c>
      <c r="C201" s="59" t="s">
        <v>1649</v>
      </c>
      <c r="D201" s="59" t="s">
        <v>1650</v>
      </c>
      <c r="E201" s="59" t="s">
        <v>1651</v>
      </c>
      <c r="F201" s="59" t="s">
        <v>54</v>
      </c>
    </row>
    <row r="202" customFormat="false" ht="15" hidden="false" customHeight="true" outlineLevel="0" collapsed="false">
      <c r="A202" s="65"/>
      <c r="B202" s="65"/>
      <c r="C202" s="65"/>
      <c r="D202" s="65"/>
      <c r="E202" s="65"/>
      <c r="F202" s="65"/>
    </row>
    <row r="203" customFormat="false" ht="15" hidden="false" customHeight="true" outlineLevel="0" collapsed="false">
      <c r="A203" s="65"/>
      <c r="B203" s="65"/>
      <c r="C203" s="65"/>
      <c r="D203" s="65"/>
      <c r="E203" s="65"/>
      <c r="F203" s="65"/>
    </row>
    <row r="204" customFormat="false" ht="15" hidden="false" customHeight="true" outlineLevel="0" collapsed="false">
      <c r="A204" s="65"/>
      <c r="B204" s="65"/>
      <c r="C204" s="65"/>
      <c r="D204" s="65"/>
      <c r="E204" s="65"/>
      <c r="F204" s="65"/>
    </row>
    <row r="205" customFormat="false" ht="15" hidden="false" customHeight="true" outlineLevel="0" collapsed="false">
      <c r="A205" s="65"/>
      <c r="B205" s="65"/>
      <c r="C205" s="65"/>
      <c r="D205" s="65"/>
      <c r="E205" s="65"/>
      <c r="F205" s="65"/>
    </row>
    <row r="206" customFormat="false" ht="15" hidden="false" customHeight="true" outlineLevel="0" collapsed="false">
      <c r="A206" s="65"/>
      <c r="B206" s="65"/>
      <c r="C206" s="65"/>
      <c r="D206" s="65"/>
      <c r="E206" s="65"/>
      <c r="F206" s="65"/>
    </row>
    <row r="207" customFormat="false" ht="15" hidden="false" customHeight="true" outlineLevel="0" collapsed="false">
      <c r="A207" s="65"/>
      <c r="B207" s="65"/>
      <c r="C207" s="65"/>
      <c r="D207" s="65"/>
      <c r="E207" s="65"/>
      <c r="F207" s="65"/>
    </row>
    <row r="208" customFormat="false" ht="15" hidden="false" customHeight="true" outlineLevel="0" collapsed="false">
      <c r="A208" s="65"/>
      <c r="B208" s="65"/>
      <c r="C208" s="65"/>
      <c r="D208" s="65"/>
      <c r="E208" s="65"/>
      <c r="F208" s="65"/>
    </row>
    <row r="209" customFormat="false" ht="15" hidden="false" customHeight="true" outlineLevel="0" collapsed="false">
      <c r="A209" s="65"/>
      <c r="B209" s="65"/>
      <c r="C209" s="65"/>
      <c r="D209" s="65"/>
      <c r="E209" s="65"/>
      <c r="F209" s="65"/>
    </row>
    <row r="210" customFormat="false" ht="15" hidden="false" customHeight="true" outlineLevel="0" collapsed="false">
      <c r="A210" s="65"/>
      <c r="B210" s="65"/>
      <c r="C210" s="65"/>
      <c r="D210" s="65"/>
      <c r="E210" s="65"/>
      <c r="F210" s="65"/>
    </row>
    <row r="211" customFormat="false" ht="15" hidden="false" customHeight="true" outlineLevel="0" collapsed="false">
      <c r="A211" s="65"/>
      <c r="B211" s="65"/>
      <c r="C211" s="65"/>
      <c r="D211" s="65"/>
      <c r="E211" s="65"/>
      <c r="F211" s="65"/>
    </row>
    <row r="212" customFormat="false" ht="15" hidden="false" customHeight="true" outlineLevel="0" collapsed="false">
      <c r="A212" s="65"/>
      <c r="B212" s="65"/>
      <c r="C212" s="65"/>
      <c r="D212" s="65"/>
      <c r="E212" s="65"/>
      <c r="F212" s="65"/>
    </row>
    <row r="213" customFormat="false" ht="15" hidden="false" customHeight="true" outlineLevel="0" collapsed="false">
      <c r="A213" s="65"/>
      <c r="B213" s="65"/>
      <c r="C213" s="65"/>
      <c r="D213" s="65"/>
      <c r="E213" s="65"/>
      <c r="F213" s="65"/>
    </row>
    <row r="214" customFormat="false" ht="15" hidden="false" customHeight="true" outlineLevel="0" collapsed="false">
      <c r="A214" s="65"/>
      <c r="B214" s="65"/>
      <c r="C214" s="65"/>
      <c r="D214" s="65"/>
      <c r="E214" s="65"/>
      <c r="F214" s="65"/>
    </row>
    <row r="215" customFormat="false" ht="15" hidden="false" customHeight="true" outlineLevel="0" collapsed="false">
      <c r="A215" s="65"/>
      <c r="B215" s="65"/>
      <c r="C215" s="65"/>
      <c r="D215" s="65"/>
      <c r="E215" s="65"/>
      <c r="F215" s="65"/>
    </row>
    <row r="216" customFormat="false" ht="15" hidden="false" customHeight="true" outlineLevel="0" collapsed="false">
      <c r="A216" s="65"/>
      <c r="B216" s="65"/>
      <c r="C216" s="65"/>
      <c r="D216" s="65"/>
      <c r="E216" s="65"/>
      <c r="F216" s="65"/>
    </row>
    <row r="217" customFormat="false" ht="15" hidden="false" customHeight="true" outlineLevel="0" collapsed="false">
      <c r="A217" s="65"/>
      <c r="B217" s="65"/>
      <c r="C217" s="65"/>
      <c r="D217" s="65"/>
      <c r="E217" s="65"/>
      <c r="F217" s="65"/>
    </row>
    <row r="218" customFormat="false" ht="15" hidden="false" customHeight="true" outlineLevel="0" collapsed="false">
      <c r="A218" s="65"/>
      <c r="B218" s="65"/>
      <c r="C218" s="65"/>
      <c r="D218" s="65"/>
      <c r="E218" s="65"/>
      <c r="F218" s="65"/>
    </row>
    <row r="219" customFormat="false" ht="15" hidden="false" customHeight="true" outlineLevel="0" collapsed="false">
      <c r="A219" s="65"/>
      <c r="B219" s="65"/>
      <c r="C219" s="65"/>
      <c r="D219" s="65"/>
      <c r="E219" s="65"/>
      <c r="F219" s="65"/>
    </row>
    <row r="220" customFormat="false" ht="15" hidden="false" customHeight="true" outlineLevel="0" collapsed="false">
      <c r="A220" s="65"/>
      <c r="B220" s="65"/>
      <c r="C220" s="65"/>
      <c r="D220" s="65"/>
      <c r="E220" s="65"/>
      <c r="F220" s="65"/>
    </row>
    <row r="221" customFormat="false" ht="15" hidden="false" customHeight="true" outlineLevel="0" collapsed="false">
      <c r="A221" s="65"/>
      <c r="B221" s="65"/>
      <c r="C221" s="65"/>
      <c r="D221" s="65"/>
      <c r="E221" s="65"/>
      <c r="F221" s="65"/>
    </row>
    <row r="222" customFormat="false" ht="15" hidden="false" customHeight="true" outlineLevel="0" collapsed="false">
      <c r="A222" s="65"/>
      <c r="B222" s="65"/>
      <c r="C222" s="65"/>
      <c r="D222" s="65"/>
      <c r="E222" s="65"/>
      <c r="F222" s="65"/>
    </row>
    <row r="223" customFormat="false" ht="15" hidden="false" customHeight="true" outlineLevel="0" collapsed="false">
      <c r="A223" s="65"/>
      <c r="B223" s="65"/>
      <c r="C223" s="65"/>
      <c r="D223" s="65"/>
      <c r="E223" s="65"/>
      <c r="F223" s="65"/>
    </row>
    <row r="224" customFormat="false" ht="15" hidden="false" customHeight="true" outlineLevel="0" collapsed="false">
      <c r="A224" s="65"/>
      <c r="B224" s="65"/>
      <c r="C224" s="65"/>
      <c r="D224" s="65"/>
      <c r="E224" s="65"/>
      <c r="F224" s="65"/>
    </row>
    <row r="225" customFormat="false" ht="15" hidden="false" customHeight="true" outlineLevel="0" collapsed="false">
      <c r="A225" s="65"/>
      <c r="B225" s="65"/>
      <c r="C225" s="65"/>
      <c r="D225" s="65"/>
      <c r="E225" s="65"/>
      <c r="F225" s="65"/>
    </row>
    <row r="226" customFormat="false" ht="15" hidden="false" customHeight="true" outlineLevel="0" collapsed="false">
      <c r="A226" s="65"/>
      <c r="B226" s="65"/>
      <c r="C226" s="65"/>
      <c r="D226" s="65"/>
      <c r="E226" s="65"/>
      <c r="F226" s="65"/>
    </row>
    <row r="227" customFormat="false" ht="15" hidden="false" customHeight="true" outlineLevel="0" collapsed="false">
      <c r="A227" s="65"/>
      <c r="B227" s="65"/>
      <c r="C227" s="65"/>
      <c r="D227" s="65"/>
      <c r="E227" s="65"/>
      <c r="F227" s="65"/>
    </row>
    <row r="228" customFormat="false" ht="15" hidden="false" customHeight="true" outlineLevel="0" collapsed="false">
      <c r="A228" s="65"/>
      <c r="B228" s="65"/>
      <c r="C228" s="65"/>
      <c r="D228" s="65"/>
      <c r="E228" s="65"/>
      <c r="F228" s="65"/>
    </row>
    <row r="229" customFormat="false" ht="15" hidden="false" customHeight="true" outlineLevel="0" collapsed="false">
      <c r="A229" s="65"/>
      <c r="B229" s="65"/>
      <c r="C229" s="65"/>
      <c r="D229" s="65"/>
      <c r="E229" s="65"/>
      <c r="F229" s="65"/>
    </row>
    <row r="230" customFormat="false" ht="15" hidden="false" customHeight="true" outlineLevel="0" collapsed="false">
      <c r="A230" s="65"/>
      <c r="B230" s="65"/>
      <c r="C230" s="65"/>
      <c r="D230" s="65"/>
      <c r="E230" s="65"/>
      <c r="F230" s="65"/>
    </row>
    <row r="231" customFormat="false" ht="15" hidden="false" customHeight="true" outlineLevel="0" collapsed="false">
      <c r="A231" s="65"/>
      <c r="B231" s="65"/>
      <c r="C231" s="65"/>
      <c r="D231" s="65"/>
      <c r="E231" s="65"/>
      <c r="F231" s="65"/>
    </row>
    <row r="234" customFormat="false" ht="19.5" hidden="false" customHeight="true" outlineLevel="0" collapsed="false">
      <c r="A234" s="24" t="s">
        <v>1652</v>
      </c>
      <c r="B234" s="24"/>
      <c r="C234" s="24"/>
      <c r="D234" s="24"/>
      <c r="E234" s="24"/>
      <c r="F234" s="24"/>
      <c r="G234" s="24"/>
      <c r="H234" s="24"/>
      <c r="I234" s="24"/>
      <c r="J234" s="24"/>
      <c r="K234" s="24"/>
      <c r="L234" s="24"/>
    </row>
    <row r="235" customFormat="false" ht="25.5" hidden="false" customHeight="true" outlineLevel="0" collapsed="false">
      <c r="A235" s="59" t="s">
        <v>1570</v>
      </c>
      <c r="B235" s="59" t="s">
        <v>1653</v>
      </c>
      <c r="C235" s="59" t="s">
        <v>1654</v>
      </c>
      <c r="D235" s="59" t="s">
        <v>1655</v>
      </c>
      <c r="E235" s="59" t="s">
        <v>1656</v>
      </c>
      <c r="F235" s="59" t="s">
        <v>1354</v>
      </c>
      <c r="G235" s="59" t="s">
        <v>1657</v>
      </c>
      <c r="H235" s="59" t="s">
        <v>1658</v>
      </c>
      <c r="I235" s="59" t="s">
        <v>1659</v>
      </c>
      <c r="J235" s="59" t="s">
        <v>1368</v>
      </c>
      <c r="K235" s="59" t="s">
        <v>1660</v>
      </c>
      <c r="L235" s="59" t="s">
        <v>54</v>
      </c>
    </row>
    <row r="236" customFormat="false" ht="15" hidden="false" customHeight="true" outlineLevel="0" collapsed="false">
      <c r="A236" s="65" t="s">
        <v>1539</v>
      </c>
      <c r="B236" s="65"/>
      <c r="C236" s="65" t="s">
        <v>1661</v>
      </c>
      <c r="D236" s="65"/>
      <c r="E236" s="65" t="s">
        <v>1662</v>
      </c>
      <c r="F236" s="65" t="s">
        <v>516</v>
      </c>
      <c r="G236" s="80" t="n">
        <v>10000000</v>
      </c>
      <c r="H236" s="80" t="n">
        <v>10000000</v>
      </c>
      <c r="I236" s="80" t="n">
        <v>6000000</v>
      </c>
      <c r="J236" s="65" t="s">
        <v>1663</v>
      </c>
      <c r="K236" s="79" t="n">
        <v>45323</v>
      </c>
      <c r="L236" s="65" t="s">
        <v>56</v>
      </c>
    </row>
    <row r="237" customFormat="false" ht="15" hidden="false" customHeight="true" outlineLevel="0" collapsed="false">
      <c r="A237" s="65"/>
      <c r="B237" s="65"/>
      <c r="C237" s="65"/>
      <c r="D237" s="65"/>
      <c r="E237" s="65"/>
      <c r="F237" s="65"/>
      <c r="G237" s="80"/>
      <c r="H237" s="80"/>
      <c r="I237" s="80"/>
      <c r="J237" s="65"/>
      <c r="K237" s="79"/>
      <c r="L237" s="65"/>
    </row>
    <row r="238" customFormat="false" ht="15" hidden="false" customHeight="true" outlineLevel="0" collapsed="false">
      <c r="A238" s="65"/>
      <c r="B238" s="65"/>
      <c r="C238" s="65"/>
      <c r="D238" s="65"/>
      <c r="E238" s="65"/>
      <c r="F238" s="65"/>
      <c r="G238" s="80"/>
      <c r="H238" s="80"/>
      <c r="I238" s="80"/>
      <c r="J238" s="65"/>
      <c r="K238" s="79"/>
      <c r="L238" s="65"/>
    </row>
    <row r="239" customFormat="false" ht="15" hidden="false" customHeight="true" outlineLevel="0" collapsed="false">
      <c r="A239" s="65"/>
      <c r="B239" s="65"/>
      <c r="C239" s="65"/>
      <c r="D239" s="65"/>
      <c r="E239" s="65"/>
      <c r="F239" s="65"/>
      <c r="G239" s="80"/>
      <c r="H239" s="80"/>
      <c r="I239" s="80"/>
      <c r="J239" s="65"/>
      <c r="K239" s="79"/>
      <c r="L239" s="65"/>
    </row>
    <row r="240" customFormat="false" ht="15" hidden="false" customHeight="true" outlineLevel="0" collapsed="false">
      <c r="A240" s="65"/>
      <c r="B240" s="65"/>
      <c r="C240" s="65"/>
      <c r="D240" s="65"/>
      <c r="E240" s="65"/>
      <c r="F240" s="65"/>
      <c r="G240" s="80"/>
      <c r="H240" s="80"/>
      <c r="I240" s="80"/>
      <c r="J240" s="65"/>
      <c r="K240" s="79"/>
      <c r="L240" s="65"/>
    </row>
    <row r="241" customFormat="false" ht="15" hidden="false" customHeight="true" outlineLevel="0" collapsed="false">
      <c r="A241" s="65"/>
      <c r="B241" s="65"/>
      <c r="C241" s="65"/>
      <c r="D241" s="65"/>
      <c r="E241" s="65"/>
      <c r="F241" s="65"/>
      <c r="G241" s="80"/>
      <c r="H241" s="80"/>
      <c r="I241" s="80"/>
      <c r="J241" s="65"/>
      <c r="K241" s="79"/>
      <c r="L241" s="65"/>
    </row>
    <row r="242" customFormat="false" ht="15" hidden="false" customHeight="true" outlineLevel="0" collapsed="false">
      <c r="A242" s="65"/>
      <c r="B242" s="65"/>
      <c r="C242" s="65"/>
      <c r="D242" s="65"/>
      <c r="E242" s="65"/>
      <c r="F242" s="65"/>
      <c r="G242" s="80"/>
      <c r="H242" s="80"/>
      <c r="I242" s="80"/>
      <c r="J242" s="65"/>
      <c r="K242" s="79"/>
      <c r="L242" s="65"/>
    </row>
    <row r="243" customFormat="false" ht="15" hidden="false" customHeight="true" outlineLevel="0" collapsed="false">
      <c r="A243" s="65"/>
      <c r="B243" s="65"/>
      <c r="C243" s="65"/>
      <c r="D243" s="65"/>
      <c r="E243" s="65"/>
      <c r="F243" s="65"/>
      <c r="G243" s="80"/>
      <c r="H243" s="80"/>
      <c r="I243" s="80"/>
      <c r="J243" s="65"/>
      <c r="K243" s="79"/>
      <c r="L243" s="65"/>
    </row>
    <row r="244" customFormat="false" ht="15" hidden="false" customHeight="true" outlineLevel="0" collapsed="false">
      <c r="A244" s="65"/>
      <c r="B244" s="65"/>
      <c r="C244" s="65"/>
      <c r="D244" s="65"/>
      <c r="E244" s="65"/>
      <c r="F244" s="65"/>
      <c r="G244" s="80"/>
      <c r="H244" s="80"/>
      <c r="I244" s="80"/>
      <c r="J244" s="65"/>
      <c r="K244" s="79"/>
      <c r="L244" s="65"/>
    </row>
    <row r="245" customFormat="false" ht="15" hidden="false" customHeight="true" outlineLevel="0" collapsed="false">
      <c r="A245" s="65"/>
      <c r="B245" s="65"/>
      <c r="C245" s="65"/>
      <c r="D245" s="65"/>
      <c r="E245" s="65"/>
      <c r="F245" s="65"/>
      <c r="G245" s="80"/>
      <c r="H245" s="80"/>
      <c r="I245" s="80"/>
      <c r="J245" s="65"/>
      <c r="K245" s="79"/>
      <c r="L245" s="65"/>
    </row>
    <row r="246" customFormat="false" ht="15" hidden="false" customHeight="true" outlineLevel="0" collapsed="false">
      <c r="A246" s="65"/>
      <c r="B246" s="65"/>
      <c r="C246" s="65"/>
      <c r="D246" s="65"/>
      <c r="E246" s="65"/>
      <c r="F246" s="65"/>
      <c r="G246" s="80"/>
      <c r="H246" s="80"/>
      <c r="I246" s="80"/>
      <c r="J246" s="65"/>
      <c r="K246" s="79"/>
      <c r="L246" s="65"/>
    </row>
    <row r="247" customFormat="false" ht="15" hidden="false" customHeight="true" outlineLevel="0" collapsed="false">
      <c r="A247" s="65"/>
      <c r="B247" s="65"/>
      <c r="C247" s="65"/>
      <c r="D247" s="65"/>
      <c r="E247" s="65"/>
      <c r="F247" s="65"/>
      <c r="G247" s="80"/>
      <c r="H247" s="80"/>
      <c r="I247" s="80"/>
      <c r="J247" s="65"/>
      <c r="K247" s="79"/>
      <c r="L247" s="65"/>
    </row>
    <row r="248" customFormat="false" ht="15" hidden="false" customHeight="true" outlineLevel="0" collapsed="false">
      <c r="A248" s="65"/>
      <c r="B248" s="65"/>
      <c r="C248" s="65"/>
      <c r="D248" s="65"/>
      <c r="E248" s="65"/>
      <c r="F248" s="65"/>
      <c r="G248" s="80"/>
      <c r="H248" s="80"/>
      <c r="I248" s="80"/>
      <c r="J248" s="65"/>
      <c r="K248" s="79"/>
      <c r="L248" s="65"/>
    </row>
    <row r="249" customFormat="false" ht="15" hidden="false" customHeight="true" outlineLevel="0" collapsed="false">
      <c r="A249" s="65"/>
      <c r="B249" s="65"/>
      <c r="C249" s="65"/>
      <c r="D249" s="65"/>
      <c r="E249" s="65"/>
      <c r="F249" s="65"/>
      <c r="G249" s="80"/>
      <c r="H249" s="80"/>
      <c r="I249" s="80"/>
      <c r="J249" s="65"/>
      <c r="K249" s="79"/>
      <c r="L249" s="65"/>
    </row>
    <row r="250" customFormat="false" ht="15" hidden="false" customHeight="true" outlineLevel="0" collapsed="false">
      <c r="A250" s="65"/>
      <c r="B250" s="65"/>
      <c r="C250" s="65"/>
      <c r="D250" s="65"/>
      <c r="E250" s="65"/>
      <c r="F250" s="65"/>
      <c r="G250" s="80"/>
      <c r="H250" s="80"/>
      <c r="I250" s="80"/>
      <c r="J250" s="65"/>
      <c r="K250" s="79"/>
      <c r="L250" s="65"/>
    </row>
    <row r="251" customFormat="false" ht="15" hidden="false" customHeight="true" outlineLevel="0" collapsed="false">
      <c r="A251" s="65"/>
      <c r="B251" s="65"/>
      <c r="C251" s="65"/>
      <c r="D251" s="65"/>
      <c r="E251" s="65"/>
      <c r="F251" s="65"/>
      <c r="G251" s="80"/>
      <c r="H251" s="80"/>
      <c r="I251" s="80"/>
      <c r="J251" s="65"/>
      <c r="K251" s="79"/>
      <c r="L251" s="65"/>
    </row>
    <row r="252" customFormat="false" ht="15" hidden="false" customHeight="true" outlineLevel="0" collapsed="false">
      <c r="A252" s="65"/>
      <c r="B252" s="65"/>
      <c r="C252" s="65"/>
      <c r="D252" s="65"/>
      <c r="E252" s="65"/>
      <c r="F252" s="65"/>
      <c r="G252" s="80"/>
      <c r="H252" s="80"/>
      <c r="I252" s="80"/>
      <c r="J252" s="65"/>
      <c r="K252" s="79"/>
      <c r="L252" s="65"/>
    </row>
    <row r="253" customFormat="false" ht="15" hidden="false" customHeight="true" outlineLevel="0" collapsed="false">
      <c r="A253" s="65"/>
      <c r="B253" s="65"/>
      <c r="C253" s="65"/>
      <c r="D253" s="65"/>
      <c r="E253" s="65"/>
      <c r="F253" s="65"/>
      <c r="G253" s="80"/>
      <c r="H253" s="80"/>
      <c r="I253" s="80"/>
      <c r="J253" s="65"/>
      <c r="K253" s="79"/>
      <c r="L253" s="65"/>
    </row>
    <row r="254" customFormat="false" ht="15" hidden="false" customHeight="true" outlineLevel="0" collapsed="false">
      <c r="A254" s="65"/>
      <c r="B254" s="65"/>
      <c r="C254" s="65"/>
      <c r="D254" s="65"/>
      <c r="E254" s="65"/>
      <c r="F254" s="65"/>
      <c r="G254" s="80"/>
      <c r="H254" s="80"/>
      <c r="I254" s="80"/>
      <c r="J254" s="65"/>
      <c r="K254" s="79"/>
      <c r="L254" s="65"/>
    </row>
    <row r="255" customFormat="false" ht="15" hidden="false" customHeight="true" outlineLevel="0" collapsed="false">
      <c r="A255" s="65"/>
      <c r="B255" s="65"/>
      <c r="C255" s="65"/>
      <c r="D255" s="65"/>
      <c r="E255" s="65"/>
      <c r="F255" s="65"/>
      <c r="G255" s="80"/>
      <c r="H255" s="80"/>
      <c r="I255" s="80"/>
      <c r="J255" s="65"/>
      <c r="K255" s="79"/>
      <c r="L255" s="65"/>
    </row>
    <row r="256" customFormat="false" ht="15" hidden="false" customHeight="true" outlineLevel="0" collapsed="false">
      <c r="A256" s="65"/>
      <c r="B256" s="65"/>
      <c r="C256" s="65"/>
      <c r="D256" s="65"/>
      <c r="E256" s="65"/>
      <c r="F256" s="65"/>
      <c r="G256" s="80"/>
      <c r="H256" s="80"/>
      <c r="I256" s="80"/>
      <c r="J256" s="65"/>
      <c r="K256" s="79"/>
      <c r="L256" s="65"/>
    </row>
    <row r="257" customFormat="false" ht="15" hidden="false" customHeight="true" outlineLevel="0" collapsed="false">
      <c r="A257" s="65"/>
      <c r="B257" s="65"/>
      <c r="C257" s="65"/>
      <c r="D257" s="65"/>
      <c r="E257" s="65"/>
      <c r="F257" s="65"/>
      <c r="G257" s="80"/>
      <c r="H257" s="80"/>
      <c r="I257" s="80"/>
      <c r="J257" s="65"/>
      <c r="K257" s="79"/>
      <c r="L257" s="65"/>
    </row>
    <row r="258" customFormat="false" ht="15" hidden="false" customHeight="true" outlineLevel="0" collapsed="false">
      <c r="A258" s="65"/>
      <c r="B258" s="65"/>
      <c r="C258" s="65"/>
      <c r="D258" s="65"/>
      <c r="E258" s="65"/>
      <c r="F258" s="65"/>
      <c r="G258" s="80"/>
      <c r="H258" s="80"/>
      <c r="I258" s="80"/>
      <c r="J258" s="65"/>
      <c r="K258" s="79"/>
      <c r="L258" s="65"/>
    </row>
    <row r="259" customFormat="false" ht="15" hidden="false" customHeight="true" outlineLevel="0" collapsed="false">
      <c r="A259" s="65"/>
      <c r="B259" s="65"/>
      <c r="C259" s="65"/>
      <c r="D259" s="65"/>
      <c r="E259" s="65"/>
      <c r="F259" s="65"/>
      <c r="G259" s="80"/>
      <c r="H259" s="80"/>
      <c r="I259" s="80"/>
      <c r="J259" s="65"/>
      <c r="K259" s="79"/>
      <c r="L259" s="65"/>
    </row>
    <row r="260" customFormat="false" ht="15" hidden="false" customHeight="true" outlineLevel="0" collapsed="false">
      <c r="A260" s="65"/>
      <c r="B260" s="65"/>
      <c r="C260" s="65"/>
      <c r="D260" s="65"/>
      <c r="E260" s="65"/>
      <c r="F260" s="65"/>
      <c r="G260" s="80"/>
      <c r="H260" s="80"/>
      <c r="I260" s="80"/>
      <c r="J260" s="65"/>
      <c r="K260" s="79"/>
      <c r="L260" s="65"/>
    </row>
    <row r="261" customFormat="false" ht="15" hidden="false" customHeight="true" outlineLevel="0" collapsed="false">
      <c r="A261" s="65"/>
      <c r="B261" s="65"/>
      <c r="C261" s="65"/>
      <c r="D261" s="65"/>
      <c r="E261" s="65"/>
      <c r="F261" s="65"/>
      <c r="G261" s="80"/>
      <c r="H261" s="80"/>
      <c r="I261" s="80"/>
      <c r="J261" s="65"/>
      <c r="K261" s="79"/>
      <c r="L261" s="65"/>
    </row>
    <row r="262" customFormat="false" ht="15" hidden="false" customHeight="true" outlineLevel="0" collapsed="false">
      <c r="A262" s="65"/>
      <c r="B262" s="65"/>
      <c r="C262" s="65"/>
      <c r="D262" s="65"/>
      <c r="E262" s="65"/>
      <c r="F262" s="65"/>
      <c r="G262" s="80"/>
      <c r="H262" s="80"/>
      <c r="I262" s="80"/>
      <c r="J262" s="65"/>
      <c r="K262" s="79"/>
      <c r="L262" s="65"/>
    </row>
    <row r="263" customFormat="false" ht="15" hidden="false" customHeight="true" outlineLevel="0" collapsed="false">
      <c r="A263" s="65"/>
      <c r="B263" s="65"/>
      <c r="C263" s="65"/>
      <c r="D263" s="65"/>
      <c r="E263" s="65"/>
      <c r="F263" s="65"/>
      <c r="G263" s="80"/>
      <c r="H263" s="80"/>
      <c r="I263" s="80"/>
      <c r="J263" s="65"/>
      <c r="K263" s="79"/>
      <c r="L263" s="65"/>
    </row>
    <row r="264" customFormat="false" ht="15" hidden="false" customHeight="true" outlineLevel="0" collapsed="false">
      <c r="A264" s="65"/>
      <c r="B264" s="65"/>
      <c r="C264" s="65"/>
      <c r="D264" s="65"/>
      <c r="E264" s="65"/>
      <c r="F264" s="65"/>
      <c r="G264" s="80"/>
      <c r="H264" s="80"/>
      <c r="I264" s="80"/>
      <c r="J264" s="65"/>
      <c r="K264" s="79"/>
      <c r="L264" s="65"/>
    </row>
    <row r="265" customFormat="false" ht="15" hidden="false" customHeight="true" outlineLevel="0" collapsed="false">
      <c r="A265" s="65"/>
      <c r="B265" s="65"/>
      <c r="C265" s="65"/>
      <c r="D265" s="65"/>
      <c r="E265" s="65"/>
      <c r="F265" s="65"/>
      <c r="G265" s="80"/>
      <c r="H265" s="80"/>
      <c r="I265" s="80"/>
      <c r="J265" s="65"/>
      <c r="K265" s="79"/>
      <c r="L265" s="65"/>
    </row>
    <row r="268" customFormat="false" ht="19.5" hidden="false" customHeight="true" outlineLevel="0" collapsed="false">
      <c r="A268" s="24" t="s">
        <v>1664</v>
      </c>
      <c r="B268" s="24"/>
      <c r="C268" s="24"/>
      <c r="D268" s="24"/>
      <c r="E268" s="24"/>
      <c r="F268" s="24"/>
      <c r="G268" s="24"/>
    </row>
    <row r="269" customFormat="false" ht="25.5" hidden="false" customHeight="true" outlineLevel="0" collapsed="false">
      <c r="A269" s="59" t="s">
        <v>1570</v>
      </c>
      <c r="B269" s="59" t="s">
        <v>882</v>
      </c>
      <c r="C269" s="59" t="s">
        <v>874</v>
      </c>
      <c r="D269" s="59" t="s">
        <v>876</v>
      </c>
      <c r="E269" s="59" t="s">
        <v>878</v>
      </c>
      <c r="F269" s="59" t="s">
        <v>880</v>
      </c>
      <c r="G269" s="59" t="s">
        <v>1586</v>
      </c>
    </row>
    <row r="270" customFormat="false" ht="15" hidden="false" customHeight="true" outlineLevel="0" collapsed="false">
      <c r="A270" s="65"/>
      <c r="B270" s="65"/>
      <c r="C270" s="61" t="str">
        <f aca="false">IFERROR(INDEX(#REF!,MATCH(B270,#REF!,0)),"")</f>
        <v/>
      </c>
      <c r="D270" s="61" t="str">
        <f aca="false">IFERROR(INDEX(#REF!,MATCH(B270,#REF!,0)),"")</f>
        <v/>
      </c>
      <c r="E270" s="61" t="str">
        <f aca="false">IFERROR(INDEX(#REF!,MATCH(B270,#REF!,0)),"")</f>
        <v/>
      </c>
      <c r="F270" s="61" t="str">
        <f aca="false">IFERROR(INDEX(#REF!,MATCH(B270,#REF!,0)),"")</f>
        <v/>
      </c>
      <c r="G270" s="65"/>
    </row>
    <row r="271" customFormat="false" ht="15" hidden="false" customHeight="true" outlineLevel="0" collapsed="false">
      <c r="A271" s="65"/>
      <c r="B271" s="65"/>
      <c r="C271" s="61" t="str">
        <f aca="false">IFERROR(INDEX(#REF!,MATCH(B271,#REF!,0)),"")</f>
        <v/>
      </c>
      <c r="D271" s="61" t="str">
        <f aca="false">IFERROR(INDEX(#REF!,MATCH(B271,#REF!,0)),"")</f>
        <v/>
      </c>
      <c r="E271" s="61" t="str">
        <f aca="false">IFERROR(INDEX(#REF!,MATCH(B271,#REF!,0)),"")</f>
        <v/>
      </c>
      <c r="F271" s="61" t="str">
        <f aca="false">IFERROR(INDEX(#REF!,MATCH(B271,#REF!,0)),"")</f>
        <v/>
      </c>
      <c r="G271" s="65"/>
    </row>
    <row r="272" customFormat="false" ht="15" hidden="false" customHeight="true" outlineLevel="0" collapsed="false">
      <c r="A272" s="65"/>
      <c r="B272" s="65"/>
      <c r="C272" s="61" t="str">
        <f aca="false">IFERROR(INDEX(#REF!,MATCH(B272,#REF!,0)),"")</f>
        <v/>
      </c>
      <c r="D272" s="61" t="str">
        <f aca="false">IFERROR(INDEX(#REF!,MATCH(B272,#REF!,0)),"")</f>
        <v/>
      </c>
      <c r="E272" s="61" t="str">
        <f aca="false">IFERROR(INDEX(#REF!,MATCH(B272,#REF!,0)),"")</f>
        <v/>
      </c>
      <c r="F272" s="61" t="str">
        <f aca="false">IFERROR(INDEX(#REF!,MATCH(B272,#REF!,0)),"")</f>
        <v/>
      </c>
      <c r="G272" s="65"/>
    </row>
    <row r="273" customFormat="false" ht="15" hidden="false" customHeight="true" outlineLevel="0" collapsed="false">
      <c r="A273" s="65"/>
      <c r="B273" s="65"/>
      <c r="C273" s="61" t="str">
        <f aca="false">IFERROR(INDEX(#REF!,MATCH(B273,#REF!,0)),"")</f>
        <v/>
      </c>
      <c r="D273" s="61" t="str">
        <f aca="false">IFERROR(INDEX(#REF!,MATCH(B273,#REF!,0)),"")</f>
        <v/>
      </c>
      <c r="E273" s="61" t="str">
        <f aca="false">IFERROR(INDEX(#REF!,MATCH(B273,#REF!,0)),"")</f>
        <v/>
      </c>
      <c r="F273" s="61" t="str">
        <f aca="false">IFERROR(INDEX(#REF!,MATCH(B273,#REF!,0)),"")</f>
        <v/>
      </c>
      <c r="G273" s="65"/>
    </row>
    <row r="274" customFormat="false" ht="15" hidden="false" customHeight="true" outlineLevel="0" collapsed="false">
      <c r="A274" s="65"/>
      <c r="B274" s="65"/>
      <c r="C274" s="61" t="str">
        <f aca="false">IFERROR(INDEX(#REF!,MATCH(B274,#REF!,0)),"")</f>
        <v/>
      </c>
      <c r="D274" s="61" t="str">
        <f aca="false">IFERROR(INDEX(#REF!,MATCH(B274,#REF!,0)),"")</f>
        <v/>
      </c>
      <c r="E274" s="61" t="str">
        <f aca="false">IFERROR(INDEX(#REF!,MATCH(B274,#REF!,0)),"")</f>
        <v/>
      </c>
      <c r="F274" s="61" t="str">
        <f aca="false">IFERROR(INDEX(#REF!,MATCH(B274,#REF!,0)),"")</f>
        <v/>
      </c>
      <c r="G274" s="65"/>
    </row>
    <row r="275" customFormat="false" ht="15" hidden="false" customHeight="true" outlineLevel="0" collapsed="false">
      <c r="A275" s="65"/>
      <c r="B275" s="65"/>
      <c r="C275" s="61" t="str">
        <f aca="false">IFERROR(INDEX(#REF!,MATCH(B275,#REF!,0)),"")</f>
        <v/>
      </c>
      <c r="D275" s="61" t="str">
        <f aca="false">IFERROR(INDEX(#REF!,MATCH(B275,#REF!,0)),"")</f>
        <v/>
      </c>
      <c r="E275" s="61" t="str">
        <f aca="false">IFERROR(INDEX(#REF!,MATCH(B275,#REF!,0)),"")</f>
        <v/>
      </c>
      <c r="F275" s="61" t="str">
        <f aca="false">IFERROR(INDEX(#REF!,MATCH(B275,#REF!,0)),"")</f>
        <v/>
      </c>
      <c r="G275" s="65"/>
    </row>
    <row r="276" customFormat="false" ht="15" hidden="false" customHeight="true" outlineLevel="0" collapsed="false">
      <c r="A276" s="65"/>
      <c r="B276" s="65"/>
      <c r="C276" s="61" t="str">
        <f aca="false">IFERROR(INDEX(#REF!,MATCH(B276,#REF!,0)),"")</f>
        <v/>
      </c>
      <c r="D276" s="61" t="str">
        <f aca="false">IFERROR(INDEX(#REF!,MATCH(B276,#REF!,0)),"")</f>
        <v/>
      </c>
      <c r="E276" s="61" t="str">
        <f aca="false">IFERROR(INDEX(#REF!,MATCH(B276,#REF!,0)),"")</f>
        <v/>
      </c>
      <c r="F276" s="61" t="str">
        <f aca="false">IFERROR(INDEX(#REF!,MATCH(B276,#REF!,0)),"")</f>
        <v/>
      </c>
      <c r="G276" s="65"/>
    </row>
    <row r="277" customFormat="false" ht="15" hidden="false" customHeight="true" outlineLevel="0" collapsed="false">
      <c r="A277" s="65"/>
      <c r="B277" s="65"/>
      <c r="C277" s="61" t="str">
        <f aca="false">IFERROR(INDEX(#REF!,MATCH(B277,#REF!,0)),"")</f>
        <v/>
      </c>
      <c r="D277" s="61" t="str">
        <f aca="false">IFERROR(INDEX(#REF!,MATCH(B277,#REF!,0)),"")</f>
        <v/>
      </c>
      <c r="E277" s="61" t="str">
        <f aca="false">IFERROR(INDEX(#REF!,MATCH(B277,#REF!,0)),"")</f>
        <v/>
      </c>
      <c r="F277" s="61" t="str">
        <f aca="false">IFERROR(INDEX(#REF!,MATCH(B277,#REF!,0)),"")</f>
        <v/>
      </c>
      <c r="G277" s="65"/>
    </row>
    <row r="278" customFormat="false" ht="15" hidden="false" customHeight="true" outlineLevel="0" collapsed="false">
      <c r="A278" s="65"/>
      <c r="B278" s="65"/>
      <c r="C278" s="61" t="str">
        <f aca="false">IFERROR(INDEX(#REF!,MATCH(B278,#REF!,0)),"")</f>
        <v/>
      </c>
      <c r="D278" s="61" t="str">
        <f aca="false">IFERROR(INDEX(#REF!,MATCH(B278,#REF!,0)),"")</f>
        <v/>
      </c>
      <c r="E278" s="61" t="str">
        <f aca="false">IFERROR(INDEX(#REF!,MATCH(B278,#REF!,0)),"")</f>
        <v/>
      </c>
      <c r="F278" s="61" t="str">
        <f aca="false">IFERROR(INDEX(#REF!,MATCH(B278,#REF!,0)),"")</f>
        <v/>
      </c>
      <c r="G278" s="65"/>
    </row>
    <row r="279" customFormat="false" ht="15" hidden="false" customHeight="true" outlineLevel="0" collapsed="false">
      <c r="A279" s="65"/>
      <c r="B279" s="65"/>
      <c r="C279" s="61" t="str">
        <f aca="false">IFERROR(INDEX(#REF!,MATCH(B279,#REF!,0)),"")</f>
        <v/>
      </c>
      <c r="D279" s="61" t="str">
        <f aca="false">IFERROR(INDEX(#REF!,MATCH(B279,#REF!,0)),"")</f>
        <v/>
      </c>
      <c r="E279" s="61" t="str">
        <f aca="false">IFERROR(INDEX(#REF!,MATCH(B279,#REF!,0)),"")</f>
        <v/>
      </c>
      <c r="F279" s="61" t="str">
        <f aca="false">IFERROR(INDEX(#REF!,MATCH(B279,#REF!,0)),"")</f>
        <v/>
      </c>
      <c r="G279" s="65"/>
    </row>
    <row r="280" customFormat="false" ht="15" hidden="false" customHeight="true" outlineLevel="0" collapsed="false">
      <c r="A280" s="65"/>
      <c r="B280" s="65"/>
      <c r="C280" s="61" t="str">
        <f aca="false">IFERROR(INDEX(#REF!,MATCH(B280,#REF!,0)),"")</f>
        <v/>
      </c>
      <c r="D280" s="61" t="str">
        <f aca="false">IFERROR(INDEX(#REF!,MATCH(B280,#REF!,0)),"")</f>
        <v/>
      </c>
      <c r="E280" s="61" t="str">
        <f aca="false">IFERROR(INDEX(#REF!,MATCH(B280,#REF!,0)),"")</f>
        <v/>
      </c>
      <c r="F280" s="61" t="str">
        <f aca="false">IFERROR(INDEX(#REF!,MATCH(B280,#REF!,0)),"")</f>
        <v/>
      </c>
      <c r="G280" s="65"/>
    </row>
    <row r="281" customFormat="false" ht="15" hidden="false" customHeight="true" outlineLevel="0" collapsed="false">
      <c r="A281" s="65"/>
      <c r="B281" s="65"/>
      <c r="C281" s="61" t="str">
        <f aca="false">IFERROR(INDEX(#REF!,MATCH(B281,#REF!,0)),"")</f>
        <v/>
      </c>
      <c r="D281" s="61" t="str">
        <f aca="false">IFERROR(INDEX(#REF!,MATCH(B281,#REF!,0)),"")</f>
        <v/>
      </c>
      <c r="E281" s="61" t="str">
        <f aca="false">IFERROR(INDEX(#REF!,MATCH(B281,#REF!,0)),"")</f>
        <v/>
      </c>
      <c r="F281" s="61" t="str">
        <f aca="false">IFERROR(INDEX(#REF!,MATCH(B281,#REF!,0)),"")</f>
        <v/>
      </c>
      <c r="G281" s="65"/>
    </row>
    <row r="282" customFormat="false" ht="15" hidden="false" customHeight="true" outlineLevel="0" collapsed="false">
      <c r="A282" s="65"/>
      <c r="B282" s="65"/>
      <c r="C282" s="61" t="str">
        <f aca="false">IFERROR(INDEX(#REF!,MATCH(B282,#REF!,0)),"")</f>
        <v/>
      </c>
      <c r="D282" s="61" t="str">
        <f aca="false">IFERROR(INDEX(#REF!,MATCH(B282,#REF!,0)),"")</f>
        <v/>
      </c>
      <c r="E282" s="61" t="str">
        <f aca="false">IFERROR(INDEX(#REF!,MATCH(B282,#REF!,0)),"")</f>
        <v/>
      </c>
      <c r="F282" s="61" t="str">
        <f aca="false">IFERROR(INDEX(#REF!,MATCH(B282,#REF!,0)),"")</f>
        <v/>
      </c>
      <c r="G282" s="65"/>
    </row>
    <row r="283" customFormat="false" ht="15" hidden="false" customHeight="true" outlineLevel="0" collapsed="false">
      <c r="A283" s="65"/>
      <c r="B283" s="65"/>
      <c r="C283" s="61" t="str">
        <f aca="false">IFERROR(INDEX(#REF!,MATCH(B283,#REF!,0)),"")</f>
        <v/>
      </c>
      <c r="D283" s="61" t="str">
        <f aca="false">IFERROR(INDEX(#REF!,MATCH(B283,#REF!,0)),"")</f>
        <v/>
      </c>
      <c r="E283" s="61" t="str">
        <f aca="false">IFERROR(INDEX(#REF!,MATCH(B283,#REF!,0)),"")</f>
        <v/>
      </c>
      <c r="F283" s="61" t="str">
        <f aca="false">IFERROR(INDEX(#REF!,MATCH(B283,#REF!,0)),"")</f>
        <v/>
      </c>
      <c r="G283" s="65"/>
    </row>
    <row r="284" customFormat="false" ht="15" hidden="false" customHeight="true" outlineLevel="0" collapsed="false">
      <c r="A284" s="65"/>
      <c r="B284" s="65"/>
      <c r="C284" s="61" t="str">
        <f aca="false">IFERROR(INDEX(#REF!,MATCH(B284,#REF!,0)),"")</f>
        <v/>
      </c>
      <c r="D284" s="61" t="str">
        <f aca="false">IFERROR(INDEX(#REF!,MATCH(B284,#REF!,0)),"")</f>
        <v/>
      </c>
      <c r="E284" s="61" t="str">
        <f aca="false">IFERROR(INDEX(#REF!,MATCH(B284,#REF!,0)),"")</f>
        <v/>
      </c>
      <c r="F284" s="61" t="str">
        <f aca="false">IFERROR(INDEX(#REF!,MATCH(B284,#REF!,0)),"")</f>
        <v/>
      </c>
      <c r="G284" s="65"/>
    </row>
    <row r="285" customFormat="false" ht="15" hidden="false" customHeight="true" outlineLevel="0" collapsed="false">
      <c r="A285" s="65"/>
      <c r="B285" s="65"/>
      <c r="C285" s="61" t="str">
        <f aca="false">IFERROR(INDEX(#REF!,MATCH(B285,#REF!,0)),"")</f>
        <v/>
      </c>
      <c r="D285" s="61" t="str">
        <f aca="false">IFERROR(INDEX(#REF!,MATCH(B285,#REF!,0)),"")</f>
        <v/>
      </c>
      <c r="E285" s="61" t="str">
        <f aca="false">IFERROR(INDEX(#REF!,MATCH(B285,#REF!,0)),"")</f>
        <v/>
      </c>
      <c r="F285" s="61" t="str">
        <f aca="false">IFERROR(INDEX(#REF!,MATCH(B285,#REF!,0)),"")</f>
        <v/>
      </c>
      <c r="G285" s="65"/>
    </row>
    <row r="286" customFormat="false" ht="15" hidden="false" customHeight="true" outlineLevel="0" collapsed="false">
      <c r="A286" s="65"/>
      <c r="B286" s="65"/>
      <c r="C286" s="61" t="str">
        <f aca="false">IFERROR(INDEX(#REF!,MATCH(B286,#REF!,0)),"")</f>
        <v/>
      </c>
      <c r="D286" s="61" t="str">
        <f aca="false">IFERROR(INDEX(#REF!,MATCH(B286,#REF!,0)),"")</f>
        <v/>
      </c>
      <c r="E286" s="61" t="str">
        <f aca="false">IFERROR(INDEX(#REF!,MATCH(B286,#REF!,0)),"")</f>
        <v/>
      </c>
      <c r="F286" s="61" t="str">
        <f aca="false">IFERROR(INDEX(#REF!,MATCH(B286,#REF!,0)),"")</f>
        <v/>
      </c>
      <c r="G286" s="65"/>
    </row>
    <row r="287" customFormat="false" ht="15" hidden="false" customHeight="true" outlineLevel="0" collapsed="false">
      <c r="A287" s="65"/>
      <c r="B287" s="65"/>
      <c r="C287" s="61" t="str">
        <f aca="false">IFERROR(INDEX(#REF!,MATCH(B287,#REF!,0)),"")</f>
        <v/>
      </c>
      <c r="D287" s="61" t="str">
        <f aca="false">IFERROR(INDEX(#REF!,MATCH(B287,#REF!,0)),"")</f>
        <v/>
      </c>
      <c r="E287" s="61" t="str">
        <f aca="false">IFERROR(INDEX(#REF!,MATCH(B287,#REF!,0)),"")</f>
        <v/>
      </c>
      <c r="F287" s="61" t="str">
        <f aca="false">IFERROR(INDEX(#REF!,MATCH(B287,#REF!,0)),"")</f>
        <v/>
      </c>
      <c r="G287" s="65"/>
    </row>
    <row r="288" customFormat="false" ht="15" hidden="false" customHeight="true" outlineLevel="0" collapsed="false">
      <c r="A288" s="65"/>
      <c r="B288" s="65"/>
      <c r="C288" s="61" t="str">
        <f aca="false">IFERROR(INDEX(#REF!,MATCH(B288,#REF!,0)),"")</f>
        <v/>
      </c>
      <c r="D288" s="61" t="str">
        <f aca="false">IFERROR(INDEX(#REF!,MATCH(B288,#REF!,0)),"")</f>
        <v/>
      </c>
      <c r="E288" s="61" t="str">
        <f aca="false">IFERROR(INDEX(#REF!,MATCH(B288,#REF!,0)),"")</f>
        <v/>
      </c>
      <c r="F288" s="61" t="str">
        <f aca="false">IFERROR(INDEX(#REF!,MATCH(B288,#REF!,0)),"")</f>
        <v/>
      </c>
      <c r="G288" s="65"/>
    </row>
    <row r="289" customFormat="false" ht="15" hidden="false" customHeight="true" outlineLevel="0" collapsed="false">
      <c r="A289" s="65"/>
      <c r="B289" s="65"/>
      <c r="C289" s="61" t="str">
        <f aca="false">IFERROR(INDEX(#REF!,MATCH(B289,#REF!,0)),"")</f>
        <v/>
      </c>
      <c r="D289" s="61" t="str">
        <f aca="false">IFERROR(INDEX(#REF!,MATCH(B289,#REF!,0)),"")</f>
        <v/>
      </c>
      <c r="E289" s="61" t="str">
        <f aca="false">IFERROR(INDEX(#REF!,MATCH(B289,#REF!,0)),"")</f>
        <v/>
      </c>
      <c r="F289" s="61" t="str">
        <f aca="false">IFERROR(INDEX(#REF!,MATCH(B289,#REF!,0)),"")</f>
        <v/>
      </c>
      <c r="G289" s="65"/>
    </row>
    <row r="290" customFormat="false" ht="15" hidden="false" customHeight="true" outlineLevel="0" collapsed="false">
      <c r="A290" s="65"/>
      <c r="B290" s="65"/>
      <c r="C290" s="61" t="str">
        <f aca="false">IFERROR(INDEX(#REF!,MATCH(B290,#REF!,0)),"")</f>
        <v/>
      </c>
      <c r="D290" s="61" t="str">
        <f aca="false">IFERROR(INDEX(#REF!,MATCH(B290,#REF!,0)),"")</f>
        <v/>
      </c>
      <c r="E290" s="61" t="str">
        <f aca="false">IFERROR(INDEX(#REF!,MATCH(B290,#REF!,0)),"")</f>
        <v/>
      </c>
      <c r="F290" s="61" t="str">
        <f aca="false">IFERROR(INDEX(#REF!,MATCH(B290,#REF!,0)),"")</f>
        <v/>
      </c>
      <c r="G290" s="65"/>
    </row>
    <row r="291" customFormat="false" ht="15" hidden="false" customHeight="true" outlineLevel="0" collapsed="false">
      <c r="A291" s="65"/>
      <c r="B291" s="65"/>
      <c r="C291" s="61" t="str">
        <f aca="false">IFERROR(INDEX(#REF!,MATCH(B291,#REF!,0)),"")</f>
        <v/>
      </c>
      <c r="D291" s="61" t="str">
        <f aca="false">IFERROR(INDEX(#REF!,MATCH(B291,#REF!,0)),"")</f>
        <v/>
      </c>
      <c r="E291" s="61" t="str">
        <f aca="false">IFERROR(INDEX(#REF!,MATCH(B291,#REF!,0)),"")</f>
        <v/>
      </c>
      <c r="F291" s="61" t="str">
        <f aca="false">IFERROR(INDEX(#REF!,MATCH(B291,#REF!,0)),"")</f>
        <v/>
      </c>
      <c r="G291" s="65"/>
    </row>
    <row r="292" customFormat="false" ht="15" hidden="false" customHeight="true" outlineLevel="0" collapsed="false">
      <c r="A292" s="65"/>
      <c r="B292" s="65"/>
      <c r="C292" s="61" t="str">
        <f aca="false">IFERROR(INDEX(#REF!,MATCH(B292,#REF!,0)),"")</f>
        <v/>
      </c>
      <c r="D292" s="61" t="str">
        <f aca="false">IFERROR(INDEX(#REF!,MATCH(B292,#REF!,0)),"")</f>
        <v/>
      </c>
      <c r="E292" s="61" t="str">
        <f aca="false">IFERROR(INDEX(#REF!,MATCH(B292,#REF!,0)),"")</f>
        <v/>
      </c>
      <c r="F292" s="61" t="str">
        <f aca="false">IFERROR(INDEX(#REF!,MATCH(B292,#REF!,0)),"")</f>
        <v/>
      </c>
      <c r="G292" s="65"/>
    </row>
    <row r="293" customFormat="false" ht="15" hidden="false" customHeight="true" outlineLevel="0" collapsed="false">
      <c r="A293" s="65"/>
      <c r="B293" s="65"/>
      <c r="C293" s="61" t="str">
        <f aca="false">IFERROR(INDEX(#REF!,MATCH(B293,#REF!,0)),"")</f>
        <v/>
      </c>
      <c r="D293" s="61" t="str">
        <f aca="false">IFERROR(INDEX(#REF!,MATCH(B293,#REF!,0)),"")</f>
        <v/>
      </c>
      <c r="E293" s="61" t="str">
        <f aca="false">IFERROR(INDEX(#REF!,MATCH(B293,#REF!,0)),"")</f>
        <v/>
      </c>
      <c r="F293" s="61" t="str">
        <f aca="false">IFERROR(INDEX(#REF!,MATCH(B293,#REF!,0)),"")</f>
        <v/>
      </c>
      <c r="G293" s="65"/>
    </row>
    <row r="294" customFormat="false" ht="15" hidden="false" customHeight="true" outlineLevel="0" collapsed="false">
      <c r="A294" s="65"/>
      <c r="B294" s="65"/>
      <c r="C294" s="61" t="str">
        <f aca="false">IFERROR(INDEX(#REF!,MATCH(B294,#REF!,0)),"")</f>
        <v/>
      </c>
      <c r="D294" s="61" t="str">
        <f aca="false">IFERROR(INDEX(#REF!,MATCH(B294,#REF!,0)),"")</f>
        <v/>
      </c>
      <c r="E294" s="61" t="str">
        <f aca="false">IFERROR(INDEX(#REF!,MATCH(B294,#REF!,0)),"")</f>
        <v/>
      </c>
      <c r="F294" s="61" t="str">
        <f aca="false">IFERROR(INDEX(#REF!,MATCH(B294,#REF!,0)),"")</f>
        <v/>
      </c>
      <c r="G294" s="65"/>
    </row>
    <row r="295" customFormat="false" ht="15" hidden="false" customHeight="true" outlineLevel="0" collapsed="false">
      <c r="A295" s="65"/>
      <c r="B295" s="65"/>
      <c r="C295" s="61" t="str">
        <f aca="false">IFERROR(INDEX(#REF!,MATCH(B295,#REF!,0)),"")</f>
        <v/>
      </c>
      <c r="D295" s="61" t="str">
        <f aca="false">IFERROR(INDEX(#REF!,MATCH(B295,#REF!,0)),"")</f>
        <v/>
      </c>
      <c r="E295" s="61" t="str">
        <f aca="false">IFERROR(INDEX(#REF!,MATCH(B295,#REF!,0)),"")</f>
        <v/>
      </c>
      <c r="F295" s="61" t="str">
        <f aca="false">IFERROR(INDEX(#REF!,MATCH(B295,#REF!,0)),"")</f>
        <v/>
      </c>
      <c r="G295" s="65"/>
    </row>
    <row r="296" customFormat="false" ht="15" hidden="false" customHeight="true" outlineLevel="0" collapsed="false">
      <c r="A296" s="65"/>
      <c r="B296" s="65"/>
      <c r="C296" s="61" t="str">
        <f aca="false">IFERROR(INDEX(#REF!,MATCH(B296,#REF!,0)),"")</f>
        <v/>
      </c>
      <c r="D296" s="61" t="str">
        <f aca="false">IFERROR(INDEX(#REF!,MATCH(B296,#REF!,0)),"")</f>
        <v/>
      </c>
      <c r="E296" s="61" t="str">
        <f aca="false">IFERROR(INDEX(#REF!,MATCH(B296,#REF!,0)),"")</f>
        <v/>
      </c>
      <c r="F296" s="61" t="str">
        <f aca="false">IFERROR(INDEX(#REF!,MATCH(B296,#REF!,0)),"")</f>
        <v/>
      </c>
      <c r="G296" s="65"/>
    </row>
    <row r="297" customFormat="false" ht="15" hidden="false" customHeight="true" outlineLevel="0" collapsed="false">
      <c r="A297" s="65"/>
      <c r="B297" s="65"/>
      <c r="C297" s="61" t="str">
        <f aca="false">IFERROR(INDEX(#REF!,MATCH(B297,#REF!,0)),"")</f>
        <v/>
      </c>
      <c r="D297" s="61" t="str">
        <f aca="false">IFERROR(INDEX(#REF!,MATCH(B297,#REF!,0)),"")</f>
        <v/>
      </c>
      <c r="E297" s="61" t="str">
        <f aca="false">IFERROR(INDEX(#REF!,MATCH(B297,#REF!,0)),"")</f>
        <v/>
      </c>
      <c r="F297" s="61" t="str">
        <f aca="false">IFERROR(INDEX(#REF!,MATCH(B297,#REF!,0)),"")</f>
        <v/>
      </c>
      <c r="G297" s="65"/>
    </row>
    <row r="298" customFormat="false" ht="15" hidden="false" customHeight="true" outlineLevel="0" collapsed="false">
      <c r="A298" s="65"/>
      <c r="B298" s="65"/>
      <c r="C298" s="61" t="str">
        <f aca="false">IFERROR(INDEX(#REF!,MATCH(B298,#REF!,0)),"")</f>
        <v/>
      </c>
      <c r="D298" s="61" t="str">
        <f aca="false">IFERROR(INDEX(#REF!,MATCH(B298,#REF!,0)),"")</f>
        <v/>
      </c>
      <c r="E298" s="61" t="str">
        <f aca="false">IFERROR(INDEX(#REF!,MATCH(B298,#REF!,0)),"")</f>
        <v/>
      </c>
      <c r="F298" s="61" t="str">
        <f aca="false">IFERROR(INDEX(#REF!,MATCH(B298,#REF!,0)),"")</f>
        <v/>
      </c>
      <c r="G298" s="65"/>
    </row>
    <row r="299" customFormat="false" ht="15" hidden="false" customHeight="true" outlineLevel="0" collapsed="false">
      <c r="A299" s="65"/>
      <c r="B299" s="65"/>
      <c r="C299" s="61" t="str">
        <f aca="false">IFERROR(INDEX(#REF!,MATCH(B299,#REF!,0)),"")</f>
        <v/>
      </c>
      <c r="D299" s="61" t="str">
        <f aca="false">IFERROR(INDEX(#REF!,MATCH(B299,#REF!,0)),"")</f>
        <v/>
      </c>
      <c r="E299" s="61" t="str">
        <f aca="false">IFERROR(INDEX(#REF!,MATCH(B299,#REF!,0)),"")</f>
        <v/>
      </c>
      <c r="F299" s="61" t="str">
        <f aca="false">IFERROR(INDEX(#REF!,MATCH(B299,#REF!,0)),"")</f>
        <v/>
      </c>
      <c r="G299" s="65"/>
    </row>
    <row r="302" customFormat="false" ht="19.5" hidden="false" customHeight="true" outlineLevel="0" collapsed="false">
      <c r="A302" s="24" t="s">
        <v>1665</v>
      </c>
      <c r="B302" s="24"/>
      <c r="C302" s="24"/>
      <c r="D302" s="24"/>
      <c r="E302" s="24"/>
      <c r="F302" s="24"/>
      <c r="G302" s="24"/>
    </row>
    <row r="303" customFormat="false" ht="25.5" hidden="false" customHeight="true" outlineLevel="0" collapsed="false">
      <c r="A303" s="59" t="s">
        <v>1570</v>
      </c>
      <c r="B303" s="59" t="s">
        <v>1666</v>
      </c>
      <c r="C303" s="59" t="s">
        <v>1667</v>
      </c>
      <c r="D303" s="59" t="s">
        <v>1668</v>
      </c>
      <c r="E303" s="59" t="s">
        <v>1335</v>
      </c>
      <c r="F303" s="59" t="s">
        <v>54</v>
      </c>
      <c r="G303" s="59" t="s">
        <v>1669</v>
      </c>
    </row>
    <row r="304" customFormat="false" ht="15" hidden="false" customHeight="true" outlineLevel="0" collapsed="false">
      <c r="A304" s="65"/>
      <c r="B304" s="65"/>
      <c r="C304" s="79"/>
      <c r="D304" s="79"/>
      <c r="E304" s="65"/>
      <c r="F304" s="65"/>
      <c r="G304" s="83"/>
    </row>
    <row r="305" customFormat="false" ht="15" hidden="false" customHeight="true" outlineLevel="0" collapsed="false">
      <c r="A305" s="65"/>
      <c r="B305" s="65"/>
      <c r="C305" s="79"/>
      <c r="D305" s="79"/>
      <c r="E305" s="65"/>
      <c r="F305" s="65"/>
      <c r="G305" s="83"/>
    </row>
    <row r="306" customFormat="false" ht="15" hidden="false" customHeight="true" outlineLevel="0" collapsed="false">
      <c r="A306" s="65"/>
      <c r="B306" s="65"/>
      <c r="C306" s="79"/>
      <c r="D306" s="79"/>
      <c r="E306" s="65"/>
      <c r="F306" s="65"/>
      <c r="G306" s="83"/>
    </row>
    <row r="307" customFormat="false" ht="15" hidden="false" customHeight="true" outlineLevel="0" collapsed="false">
      <c r="A307" s="65"/>
      <c r="B307" s="65"/>
      <c r="C307" s="79"/>
      <c r="D307" s="79"/>
      <c r="E307" s="65"/>
      <c r="F307" s="65"/>
      <c r="G307" s="83"/>
    </row>
    <row r="308" customFormat="false" ht="15" hidden="false" customHeight="true" outlineLevel="0" collapsed="false">
      <c r="A308" s="65"/>
      <c r="B308" s="65"/>
      <c r="C308" s="79"/>
      <c r="D308" s="79"/>
      <c r="E308" s="65"/>
      <c r="F308" s="65"/>
      <c r="G308" s="83"/>
    </row>
    <row r="309" customFormat="false" ht="15" hidden="false" customHeight="true" outlineLevel="0" collapsed="false">
      <c r="A309" s="65"/>
      <c r="B309" s="65"/>
      <c r="C309" s="79"/>
      <c r="D309" s="79"/>
      <c r="E309" s="65"/>
      <c r="F309" s="65"/>
      <c r="G309" s="83"/>
    </row>
    <row r="310" customFormat="false" ht="15" hidden="false" customHeight="true" outlineLevel="0" collapsed="false">
      <c r="A310" s="65"/>
      <c r="B310" s="65"/>
      <c r="C310" s="79"/>
      <c r="D310" s="79"/>
      <c r="E310" s="65"/>
      <c r="F310" s="65"/>
      <c r="G310" s="83"/>
    </row>
    <row r="311" customFormat="false" ht="15" hidden="false" customHeight="true" outlineLevel="0" collapsed="false">
      <c r="A311" s="65"/>
      <c r="B311" s="65"/>
      <c r="C311" s="79"/>
      <c r="D311" s="79"/>
      <c r="E311" s="65"/>
      <c r="F311" s="65"/>
      <c r="G311" s="83"/>
    </row>
    <row r="312" customFormat="false" ht="15" hidden="false" customHeight="true" outlineLevel="0" collapsed="false">
      <c r="A312" s="65"/>
      <c r="B312" s="65"/>
      <c r="C312" s="79"/>
      <c r="D312" s="79"/>
      <c r="E312" s="65"/>
      <c r="F312" s="65"/>
      <c r="G312" s="83"/>
    </row>
    <row r="313" customFormat="false" ht="15" hidden="false" customHeight="true" outlineLevel="0" collapsed="false">
      <c r="A313" s="65"/>
      <c r="B313" s="65"/>
      <c r="C313" s="79"/>
      <c r="D313" s="79"/>
      <c r="E313" s="65"/>
      <c r="F313" s="65"/>
      <c r="G313" s="83"/>
    </row>
    <row r="314" customFormat="false" ht="15" hidden="false" customHeight="true" outlineLevel="0" collapsed="false">
      <c r="A314" s="65"/>
      <c r="B314" s="65"/>
      <c r="C314" s="79"/>
      <c r="D314" s="79"/>
      <c r="E314" s="65"/>
      <c r="F314" s="65"/>
      <c r="G314" s="83"/>
    </row>
    <row r="315" customFormat="false" ht="15" hidden="false" customHeight="true" outlineLevel="0" collapsed="false">
      <c r="A315" s="65"/>
      <c r="B315" s="65"/>
      <c r="C315" s="79"/>
      <c r="D315" s="79"/>
      <c r="E315" s="65"/>
      <c r="F315" s="65"/>
      <c r="G315" s="83"/>
    </row>
    <row r="316" customFormat="false" ht="15" hidden="false" customHeight="true" outlineLevel="0" collapsed="false">
      <c r="A316" s="65"/>
      <c r="B316" s="65"/>
      <c r="C316" s="79"/>
      <c r="D316" s="79"/>
      <c r="E316" s="65"/>
      <c r="F316" s="65"/>
      <c r="G316" s="83"/>
    </row>
    <row r="317" customFormat="false" ht="15" hidden="false" customHeight="true" outlineLevel="0" collapsed="false">
      <c r="A317" s="65"/>
      <c r="B317" s="65"/>
      <c r="C317" s="79"/>
      <c r="D317" s="79"/>
      <c r="E317" s="65"/>
      <c r="F317" s="65"/>
      <c r="G317" s="83"/>
    </row>
    <row r="318" customFormat="false" ht="15" hidden="false" customHeight="true" outlineLevel="0" collapsed="false">
      <c r="A318" s="65"/>
      <c r="B318" s="65"/>
      <c r="C318" s="79"/>
      <c r="D318" s="79"/>
      <c r="E318" s="65"/>
      <c r="F318" s="65"/>
      <c r="G318" s="83"/>
    </row>
    <row r="319" customFormat="false" ht="15" hidden="false" customHeight="true" outlineLevel="0" collapsed="false">
      <c r="A319" s="65"/>
      <c r="B319" s="65"/>
      <c r="C319" s="79"/>
      <c r="D319" s="79"/>
      <c r="E319" s="65"/>
      <c r="F319" s="65"/>
      <c r="G319" s="83"/>
    </row>
    <row r="320" customFormat="false" ht="15" hidden="false" customHeight="true" outlineLevel="0" collapsed="false">
      <c r="A320" s="65"/>
      <c r="B320" s="65"/>
      <c r="C320" s="79"/>
      <c r="D320" s="79"/>
      <c r="E320" s="65"/>
      <c r="F320" s="65"/>
      <c r="G320" s="83"/>
    </row>
    <row r="321" customFormat="false" ht="15" hidden="false" customHeight="true" outlineLevel="0" collapsed="false">
      <c r="A321" s="65"/>
      <c r="B321" s="65"/>
      <c r="C321" s="79"/>
      <c r="D321" s="79"/>
      <c r="E321" s="65"/>
      <c r="F321" s="65"/>
      <c r="G321" s="83"/>
    </row>
    <row r="322" customFormat="false" ht="15" hidden="false" customHeight="true" outlineLevel="0" collapsed="false">
      <c r="A322" s="65"/>
      <c r="B322" s="65"/>
      <c r="C322" s="79"/>
      <c r="D322" s="79"/>
      <c r="E322" s="65"/>
      <c r="F322" s="65"/>
      <c r="G322" s="83"/>
    </row>
    <row r="323" customFormat="false" ht="15" hidden="false" customHeight="true" outlineLevel="0" collapsed="false">
      <c r="A323" s="65"/>
      <c r="B323" s="65"/>
      <c r="C323" s="79"/>
      <c r="D323" s="79"/>
      <c r="E323" s="65"/>
      <c r="F323" s="65"/>
      <c r="G323" s="83"/>
    </row>
    <row r="324" customFormat="false" ht="15" hidden="false" customHeight="true" outlineLevel="0" collapsed="false">
      <c r="A324" s="65"/>
      <c r="B324" s="65"/>
      <c r="C324" s="79"/>
      <c r="D324" s="79"/>
      <c r="E324" s="65"/>
      <c r="F324" s="65"/>
      <c r="G324" s="83"/>
    </row>
    <row r="325" customFormat="false" ht="15" hidden="false" customHeight="true" outlineLevel="0" collapsed="false">
      <c r="A325" s="65"/>
      <c r="B325" s="65"/>
      <c r="C325" s="79"/>
      <c r="D325" s="79"/>
      <c r="E325" s="65"/>
      <c r="F325" s="65"/>
      <c r="G325" s="83"/>
    </row>
    <row r="326" customFormat="false" ht="15" hidden="false" customHeight="true" outlineLevel="0" collapsed="false">
      <c r="A326" s="65"/>
      <c r="B326" s="65"/>
      <c r="C326" s="79"/>
      <c r="D326" s="79"/>
      <c r="E326" s="65"/>
      <c r="F326" s="65"/>
      <c r="G326" s="83"/>
    </row>
    <row r="327" customFormat="false" ht="15" hidden="false" customHeight="true" outlineLevel="0" collapsed="false">
      <c r="A327" s="65"/>
      <c r="B327" s="65"/>
      <c r="C327" s="79"/>
      <c r="D327" s="79"/>
      <c r="E327" s="65"/>
      <c r="F327" s="65"/>
      <c r="G327" s="83"/>
    </row>
    <row r="328" customFormat="false" ht="15" hidden="false" customHeight="true" outlineLevel="0" collapsed="false">
      <c r="A328" s="65"/>
      <c r="B328" s="65"/>
      <c r="C328" s="79"/>
      <c r="D328" s="79"/>
      <c r="E328" s="65"/>
      <c r="F328" s="65"/>
      <c r="G328" s="83"/>
    </row>
    <row r="329" customFormat="false" ht="15" hidden="false" customHeight="true" outlineLevel="0" collapsed="false">
      <c r="A329" s="65"/>
      <c r="B329" s="65"/>
      <c r="C329" s="79"/>
      <c r="D329" s="79"/>
      <c r="E329" s="65"/>
      <c r="F329" s="65"/>
      <c r="G329" s="83"/>
    </row>
    <row r="330" customFormat="false" ht="15" hidden="false" customHeight="true" outlineLevel="0" collapsed="false">
      <c r="A330" s="65"/>
      <c r="B330" s="65"/>
      <c r="C330" s="79"/>
      <c r="D330" s="79"/>
      <c r="E330" s="65"/>
      <c r="F330" s="65"/>
      <c r="G330" s="83"/>
    </row>
    <row r="331" customFormat="false" ht="15" hidden="false" customHeight="true" outlineLevel="0" collapsed="false">
      <c r="A331" s="65"/>
      <c r="B331" s="65"/>
      <c r="C331" s="79"/>
      <c r="D331" s="79"/>
      <c r="E331" s="65"/>
      <c r="F331" s="65"/>
      <c r="G331" s="83"/>
    </row>
    <row r="332" customFormat="false" ht="15" hidden="false" customHeight="true" outlineLevel="0" collapsed="false">
      <c r="A332" s="65"/>
      <c r="B332" s="65"/>
      <c r="C332" s="79"/>
      <c r="D332" s="79"/>
      <c r="E332" s="65"/>
      <c r="F332" s="65"/>
      <c r="G332" s="83"/>
    </row>
    <row r="333" customFormat="false" ht="15" hidden="false" customHeight="true" outlineLevel="0" collapsed="false">
      <c r="A333" s="65"/>
      <c r="B333" s="65"/>
      <c r="C333" s="79"/>
      <c r="D333" s="79"/>
      <c r="E333" s="65"/>
      <c r="F333" s="65"/>
      <c r="G333" s="83"/>
    </row>
    <row r="336" customFormat="false" ht="19.5" hidden="false" customHeight="true" outlineLevel="0" collapsed="false">
      <c r="A336" s="24" t="s">
        <v>1670</v>
      </c>
      <c r="B336" s="24"/>
      <c r="C336" s="24"/>
      <c r="D336" s="24"/>
      <c r="E336" s="24"/>
      <c r="F336" s="24"/>
      <c r="G336" s="24"/>
      <c r="H336" s="24"/>
      <c r="I336" s="24"/>
    </row>
    <row r="337" customFormat="false" ht="25.5" hidden="false" customHeight="true" outlineLevel="0" collapsed="false">
      <c r="A337" s="59" t="s">
        <v>1570</v>
      </c>
      <c r="B337" s="59" t="s">
        <v>1671</v>
      </c>
      <c r="C337" s="59" t="s">
        <v>1672</v>
      </c>
      <c r="D337" s="59" t="s">
        <v>1673</v>
      </c>
      <c r="E337" s="59" t="s">
        <v>1674</v>
      </c>
      <c r="F337" s="59" t="s">
        <v>1675</v>
      </c>
      <c r="G337" s="59" t="s">
        <v>1676</v>
      </c>
      <c r="H337" s="59" t="s">
        <v>1335</v>
      </c>
      <c r="I337" s="59" t="s">
        <v>54</v>
      </c>
    </row>
    <row r="338" customFormat="false" ht="15" hidden="false" customHeight="true" outlineLevel="0" collapsed="false">
      <c r="A338" s="65"/>
      <c r="B338" s="61" t="str">
        <f aca="false">IF(A338="","","RIS"&amp;TEXT(ROW()-337,"0000"))</f>
        <v/>
      </c>
      <c r="C338" s="78"/>
      <c r="D338" s="65"/>
      <c r="E338" s="65"/>
      <c r="F338" s="65"/>
      <c r="G338" s="78"/>
      <c r="H338" s="65"/>
      <c r="I338" s="65"/>
    </row>
    <row r="339" customFormat="false" ht="15" hidden="false" customHeight="true" outlineLevel="0" collapsed="false">
      <c r="A339" s="65"/>
      <c r="B339" s="61" t="str">
        <f aca="false">IF(A339="","","RIS"&amp;TEXT(ROW()-337,"0000"))</f>
        <v/>
      </c>
      <c r="C339" s="78"/>
      <c r="D339" s="65"/>
      <c r="E339" s="65"/>
      <c r="F339" s="65"/>
      <c r="G339" s="78"/>
      <c r="H339" s="65"/>
      <c r="I339" s="65"/>
    </row>
    <row r="340" customFormat="false" ht="15" hidden="false" customHeight="true" outlineLevel="0" collapsed="false">
      <c r="A340" s="65"/>
      <c r="B340" s="61" t="str">
        <f aca="false">IF(A340="","","RIS"&amp;TEXT(ROW()-337,"0000"))</f>
        <v/>
      </c>
      <c r="C340" s="78"/>
      <c r="D340" s="65"/>
      <c r="E340" s="65"/>
      <c r="F340" s="65"/>
      <c r="G340" s="78"/>
      <c r="H340" s="65"/>
      <c r="I340" s="65"/>
    </row>
    <row r="341" customFormat="false" ht="15" hidden="false" customHeight="true" outlineLevel="0" collapsed="false">
      <c r="A341" s="65"/>
      <c r="B341" s="61" t="str">
        <f aca="false">IF(A341="","","RIS"&amp;TEXT(ROW()-337,"0000"))</f>
        <v/>
      </c>
      <c r="C341" s="78"/>
      <c r="D341" s="65"/>
      <c r="E341" s="65"/>
      <c r="F341" s="65"/>
      <c r="G341" s="78"/>
      <c r="H341" s="65"/>
      <c r="I341" s="65"/>
    </row>
    <row r="342" customFormat="false" ht="15" hidden="false" customHeight="true" outlineLevel="0" collapsed="false">
      <c r="A342" s="65"/>
      <c r="B342" s="61" t="str">
        <f aca="false">IF(A342="","","RIS"&amp;TEXT(ROW()-337,"0000"))</f>
        <v/>
      </c>
      <c r="C342" s="78"/>
      <c r="D342" s="65"/>
      <c r="E342" s="65"/>
      <c r="F342" s="65"/>
      <c r="G342" s="78"/>
      <c r="H342" s="65"/>
      <c r="I342" s="65"/>
    </row>
    <row r="343" customFormat="false" ht="15" hidden="false" customHeight="true" outlineLevel="0" collapsed="false">
      <c r="A343" s="65"/>
      <c r="B343" s="61" t="str">
        <f aca="false">IF(A343="","","RIS"&amp;TEXT(ROW()-337,"0000"))</f>
        <v/>
      </c>
      <c r="C343" s="78"/>
      <c r="D343" s="65"/>
      <c r="E343" s="65"/>
      <c r="F343" s="65"/>
      <c r="G343" s="78"/>
      <c r="H343" s="65"/>
      <c r="I343" s="65"/>
    </row>
    <row r="344" customFormat="false" ht="15" hidden="false" customHeight="true" outlineLevel="0" collapsed="false">
      <c r="A344" s="65"/>
      <c r="B344" s="61" t="str">
        <f aca="false">IF(A344="","","RIS"&amp;TEXT(ROW()-337,"0000"))</f>
        <v/>
      </c>
      <c r="C344" s="78"/>
      <c r="D344" s="65"/>
      <c r="E344" s="65"/>
      <c r="F344" s="65"/>
      <c r="G344" s="78"/>
      <c r="H344" s="65"/>
      <c r="I344" s="65"/>
    </row>
    <row r="345" customFormat="false" ht="15" hidden="false" customHeight="true" outlineLevel="0" collapsed="false">
      <c r="A345" s="65"/>
      <c r="B345" s="61" t="str">
        <f aca="false">IF(A345="","","RIS"&amp;TEXT(ROW()-337,"0000"))</f>
        <v/>
      </c>
      <c r="C345" s="78"/>
      <c r="D345" s="65"/>
      <c r="E345" s="65"/>
      <c r="F345" s="65"/>
      <c r="G345" s="78"/>
      <c r="H345" s="65"/>
      <c r="I345" s="65"/>
    </row>
    <row r="346" customFormat="false" ht="15" hidden="false" customHeight="true" outlineLevel="0" collapsed="false">
      <c r="A346" s="65"/>
      <c r="B346" s="61" t="str">
        <f aca="false">IF(A346="","","RIS"&amp;TEXT(ROW()-337,"0000"))</f>
        <v/>
      </c>
      <c r="C346" s="78"/>
      <c r="D346" s="65"/>
      <c r="E346" s="65"/>
      <c r="F346" s="65"/>
      <c r="G346" s="78"/>
      <c r="H346" s="65"/>
      <c r="I346" s="65"/>
    </row>
    <row r="347" customFormat="false" ht="15" hidden="false" customHeight="true" outlineLevel="0" collapsed="false">
      <c r="A347" s="65"/>
      <c r="B347" s="61" t="str">
        <f aca="false">IF(A347="","","RIS"&amp;TEXT(ROW()-337,"0000"))</f>
        <v/>
      </c>
      <c r="C347" s="78"/>
      <c r="D347" s="65"/>
      <c r="E347" s="65"/>
      <c r="F347" s="65"/>
      <c r="G347" s="78"/>
      <c r="H347" s="65"/>
      <c r="I347" s="65"/>
    </row>
    <row r="348" customFormat="false" ht="15" hidden="false" customHeight="true" outlineLevel="0" collapsed="false">
      <c r="A348" s="65"/>
      <c r="B348" s="61" t="str">
        <f aca="false">IF(A348="","","RIS"&amp;TEXT(ROW()-337,"0000"))</f>
        <v/>
      </c>
      <c r="C348" s="78"/>
      <c r="D348" s="65"/>
      <c r="E348" s="65"/>
      <c r="F348" s="65"/>
      <c r="G348" s="78"/>
      <c r="H348" s="65"/>
      <c r="I348" s="65"/>
    </row>
    <row r="349" customFormat="false" ht="15" hidden="false" customHeight="true" outlineLevel="0" collapsed="false">
      <c r="A349" s="65"/>
      <c r="B349" s="61" t="str">
        <f aca="false">IF(A349="","","RIS"&amp;TEXT(ROW()-337,"0000"))</f>
        <v/>
      </c>
      <c r="C349" s="78"/>
      <c r="D349" s="65"/>
      <c r="E349" s="65"/>
      <c r="F349" s="65"/>
      <c r="G349" s="78"/>
      <c r="H349" s="65"/>
      <c r="I349" s="65"/>
    </row>
    <row r="350" customFormat="false" ht="15" hidden="false" customHeight="true" outlineLevel="0" collapsed="false">
      <c r="A350" s="65"/>
      <c r="B350" s="61" t="str">
        <f aca="false">IF(A350="","","RIS"&amp;TEXT(ROW()-337,"0000"))</f>
        <v/>
      </c>
      <c r="C350" s="78"/>
      <c r="D350" s="65"/>
      <c r="E350" s="65"/>
      <c r="F350" s="65"/>
      <c r="G350" s="78"/>
      <c r="H350" s="65"/>
      <c r="I350" s="65"/>
    </row>
    <row r="351" customFormat="false" ht="15" hidden="false" customHeight="true" outlineLevel="0" collapsed="false">
      <c r="A351" s="65"/>
      <c r="B351" s="61" t="str">
        <f aca="false">IF(A351="","","RIS"&amp;TEXT(ROW()-337,"0000"))</f>
        <v/>
      </c>
      <c r="C351" s="78"/>
      <c r="D351" s="65"/>
      <c r="E351" s="65"/>
      <c r="F351" s="65"/>
      <c r="G351" s="78"/>
      <c r="H351" s="65"/>
      <c r="I351" s="65"/>
    </row>
    <row r="352" customFormat="false" ht="15" hidden="false" customHeight="true" outlineLevel="0" collapsed="false">
      <c r="A352" s="65"/>
      <c r="B352" s="61" t="str">
        <f aca="false">IF(A352="","","RIS"&amp;TEXT(ROW()-337,"0000"))</f>
        <v/>
      </c>
      <c r="C352" s="78"/>
      <c r="D352" s="65"/>
      <c r="E352" s="65"/>
      <c r="F352" s="65"/>
      <c r="G352" s="78"/>
      <c r="H352" s="65"/>
      <c r="I352" s="65"/>
    </row>
    <row r="353" customFormat="false" ht="15" hidden="false" customHeight="true" outlineLevel="0" collapsed="false">
      <c r="A353" s="65"/>
      <c r="B353" s="61" t="str">
        <f aca="false">IF(A353="","","RIS"&amp;TEXT(ROW()-337,"0000"))</f>
        <v/>
      </c>
      <c r="C353" s="78"/>
      <c r="D353" s="65"/>
      <c r="E353" s="65"/>
      <c r="F353" s="65"/>
      <c r="G353" s="78"/>
      <c r="H353" s="65"/>
      <c r="I353" s="65"/>
    </row>
    <row r="354" customFormat="false" ht="15" hidden="false" customHeight="true" outlineLevel="0" collapsed="false">
      <c r="A354" s="65"/>
      <c r="B354" s="61" t="str">
        <f aca="false">IF(A354="","","RIS"&amp;TEXT(ROW()-337,"0000"))</f>
        <v/>
      </c>
      <c r="C354" s="78"/>
      <c r="D354" s="65"/>
      <c r="E354" s="65"/>
      <c r="F354" s="65"/>
      <c r="G354" s="78"/>
      <c r="H354" s="65"/>
      <c r="I354" s="65"/>
    </row>
    <row r="355" customFormat="false" ht="15" hidden="false" customHeight="true" outlineLevel="0" collapsed="false">
      <c r="A355" s="65"/>
      <c r="B355" s="61" t="str">
        <f aca="false">IF(A355="","","RIS"&amp;TEXT(ROW()-337,"0000"))</f>
        <v/>
      </c>
      <c r="C355" s="78"/>
      <c r="D355" s="65"/>
      <c r="E355" s="65"/>
      <c r="F355" s="65"/>
      <c r="G355" s="78"/>
      <c r="H355" s="65"/>
      <c r="I355" s="65"/>
    </row>
    <row r="356" customFormat="false" ht="15" hidden="false" customHeight="true" outlineLevel="0" collapsed="false">
      <c r="A356" s="65"/>
      <c r="B356" s="61" t="str">
        <f aca="false">IF(A356="","","RIS"&amp;TEXT(ROW()-337,"0000"))</f>
        <v/>
      </c>
      <c r="C356" s="78"/>
      <c r="D356" s="65"/>
      <c r="E356" s="65"/>
      <c r="F356" s="65"/>
      <c r="G356" s="78"/>
      <c r="H356" s="65"/>
      <c r="I356" s="65"/>
    </row>
    <row r="357" customFormat="false" ht="15" hidden="false" customHeight="true" outlineLevel="0" collapsed="false">
      <c r="A357" s="65"/>
      <c r="B357" s="61" t="str">
        <f aca="false">IF(A357="","","RIS"&amp;TEXT(ROW()-337,"0000"))</f>
        <v/>
      </c>
      <c r="C357" s="78"/>
      <c r="D357" s="65"/>
      <c r="E357" s="65"/>
      <c r="F357" s="65"/>
      <c r="G357" s="78"/>
      <c r="H357" s="65"/>
      <c r="I357" s="65"/>
    </row>
    <row r="358" customFormat="false" ht="15" hidden="false" customHeight="true" outlineLevel="0" collapsed="false">
      <c r="A358" s="65"/>
      <c r="B358" s="61" t="str">
        <f aca="false">IF(A358="","","RIS"&amp;TEXT(ROW()-337,"0000"))</f>
        <v/>
      </c>
      <c r="C358" s="78"/>
      <c r="D358" s="65"/>
      <c r="E358" s="65"/>
      <c r="F358" s="65"/>
      <c r="G358" s="78"/>
      <c r="H358" s="65"/>
      <c r="I358" s="65"/>
    </row>
    <row r="359" customFormat="false" ht="15" hidden="false" customHeight="true" outlineLevel="0" collapsed="false">
      <c r="A359" s="65"/>
      <c r="B359" s="61" t="str">
        <f aca="false">IF(A359="","","RIS"&amp;TEXT(ROW()-337,"0000"))</f>
        <v/>
      </c>
      <c r="C359" s="78"/>
      <c r="D359" s="65"/>
      <c r="E359" s="65"/>
      <c r="F359" s="65"/>
      <c r="G359" s="78"/>
      <c r="H359" s="65"/>
      <c r="I359" s="65"/>
    </row>
    <row r="360" customFormat="false" ht="15" hidden="false" customHeight="true" outlineLevel="0" collapsed="false">
      <c r="A360" s="65"/>
      <c r="B360" s="61" t="str">
        <f aca="false">IF(A360="","","RIS"&amp;TEXT(ROW()-337,"0000"))</f>
        <v/>
      </c>
      <c r="C360" s="78"/>
      <c r="D360" s="65"/>
      <c r="E360" s="65"/>
      <c r="F360" s="65"/>
      <c r="G360" s="78"/>
      <c r="H360" s="65"/>
      <c r="I360" s="65"/>
    </row>
    <row r="361" customFormat="false" ht="15" hidden="false" customHeight="true" outlineLevel="0" collapsed="false">
      <c r="A361" s="65"/>
      <c r="B361" s="61" t="str">
        <f aca="false">IF(A361="","","RIS"&amp;TEXT(ROW()-337,"0000"))</f>
        <v/>
      </c>
      <c r="C361" s="78"/>
      <c r="D361" s="65"/>
      <c r="E361" s="65"/>
      <c r="F361" s="65"/>
      <c r="G361" s="78"/>
      <c r="H361" s="65"/>
      <c r="I361" s="65"/>
    </row>
    <row r="362" customFormat="false" ht="15" hidden="false" customHeight="true" outlineLevel="0" collapsed="false">
      <c r="A362" s="65"/>
      <c r="B362" s="61" t="str">
        <f aca="false">IF(A362="","","RIS"&amp;TEXT(ROW()-337,"0000"))</f>
        <v/>
      </c>
      <c r="C362" s="78"/>
      <c r="D362" s="65"/>
      <c r="E362" s="65"/>
      <c r="F362" s="65"/>
      <c r="G362" s="78"/>
      <c r="H362" s="65"/>
      <c r="I362" s="65"/>
    </row>
    <row r="363" customFormat="false" ht="15" hidden="false" customHeight="true" outlineLevel="0" collapsed="false">
      <c r="A363" s="65"/>
      <c r="B363" s="61" t="str">
        <f aca="false">IF(A363="","","RIS"&amp;TEXT(ROW()-337,"0000"))</f>
        <v/>
      </c>
      <c r="C363" s="78"/>
      <c r="D363" s="65"/>
      <c r="E363" s="65"/>
      <c r="F363" s="65"/>
      <c r="G363" s="78"/>
      <c r="H363" s="65"/>
      <c r="I363" s="65"/>
    </row>
    <row r="364" customFormat="false" ht="15" hidden="false" customHeight="true" outlineLevel="0" collapsed="false">
      <c r="A364" s="65"/>
      <c r="B364" s="61" t="str">
        <f aca="false">IF(A364="","","RIS"&amp;TEXT(ROW()-337,"0000"))</f>
        <v/>
      </c>
      <c r="C364" s="78"/>
      <c r="D364" s="65"/>
      <c r="E364" s="65"/>
      <c r="F364" s="65"/>
      <c r="G364" s="78"/>
      <c r="H364" s="65"/>
      <c r="I364" s="65"/>
    </row>
    <row r="365" customFormat="false" ht="15" hidden="false" customHeight="true" outlineLevel="0" collapsed="false">
      <c r="A365" s="65"/>
      <c r="B365" s="61" t="str">
        <f aca="false">IF(A365="","","RIS"&amp;TEXT(ROW()-337,"0000"))</f>
        <v/>
      </c>
      <c r="C365" s="78"/>
      <c r="D365" s="65"/>
      <c r="E365" s="65"/>
      <c r="F365" s="65"/>
      <c r="G365" s="78"/>
      <c r="H365" s="65"/>
      <c r="I365" s="65"/>
    </row>
    <row r="366" customFormat="false" ht="15" hidden="false" customHeight="true" outlineLevel="0" collapsed="false">
      <c r="A366" s="65"/>
      <c r="B366" s="61" t="str">
        <f aca="false">IF(A366="","","RIS"&amp;TEXT(ROW()-337,"0000"))</f>
        <v/>
      </c>
      <c r="C366" s="78"/>
      <c r="D366" s="65"/>
      <c r="E366" s="65"/>
      <c r="F366" s="65"/>
      <c r="G366" s="78"/>
      <c r="H366" s="65"/>
      <c r="I366" s="65"/>
    </row>
    <row r="367" customFormat="false" ht="15" hidden="false" customHeight="true" outlineLevel="0" collapsed="false">
      <c r="A367" s="65"/>
      <c r="B367" s="61" t="str">
        <f aca="false">IF(A367="","","RIS"&amp;TEXT(ROW()-337,"0000"))</f>
        <v/>
      </c>
      <c r="C367" s="78"/>
      <c r="D367" s="65"/>
      <c r="E367" s="65"/>
      <c r="F367" s="65"/>
      <c r="G367" s="78"/>
      <c r="H367" s="65"/>
      <c r="I367" s="65"/>
    </row>
    <row r="370" customFormat="false" ht="19.5" hidden="false" customHeight="true" outlineLevel="0" collapsed="false">
      <c r="A370" s="24" t="s">
        <v>1677</v>
      </c>
      <c r="B370" s="24"/>
      <c r="C370" s="24"/>
      <c r="D370" s="24"/>
      <c r="E370" s="24"/>
      <c r="F370" s="24"/>
      <c r="G370" s="24"/>
      <c r="H370" s="24"/>
    </row>
    <row r="371" customFormat="false" ht="25.5" hidden="false" customHeight="true" outlineLevel="0" collapsed="false">
      <c r="A371" s="59" t="s">
        <v>1570</v>
      </c>
      <c r="B371" s="59" t="s">
        <v>1678</v>
      </c>
      <c r="C371" s="59" t="s">
        <v>1638</v>
      </c>
      <c r="D371" s="59" t="s">
        <v>775</v>
      </c>
      <c r="E371" s="59" t="s">
        <v>1356</v>
      </c>
      <c r="F371" s="59" t="s">
        <v>1640</v>
      </c>
      <c r="G371" s="59" t="s">
        <v>1641</v>
      </c>
      <c r="H371" s="59" t="s">
        <v>1679</v>
      </c>
    </row>
    <row r="372" customFormat="false" ht="15" hidden="false" customHeight="true" outlineLevel="0" collapsed="false">
      <c r="A372" s="65"/>
      <c r="B372" s="65"/>
      <c r="C372" s="78"/>
      <c r="D372" s="65"/>
      <c r="E372" s="80"/>
      <c r="F372" s="80"/>
      <c r="G372" s="80"/>
      <c r="H372" s="82" t="str">
        <f aca="false">IF(OR(F372="",F372=0,G372=""),"",G372/F372)</f>
        <v/>
      </c>
    </row>
    <row r="373" customFormat="false" ht="15" hidden="false" customHeight="true" outlineLevel="0" collapsed="false">
      <c r="A373" s="65"/>
      <c r="B373" s="65"/>
      <c r="C373" s="78"/>
      <c r="D373" s="65"/>
      <c r="E373" s="80"/>
      <c r="F373" s="80"/>
      <c r="G373" s="80"/>
      <c r="H373" s="82" t="str">
        <f aca="false">IF(OR(F373="",F373=0,G373=""),"",G373/F373)</f>
        <v/>
      </c>
    </row>
    <row r="374" customFormat="false" ht="15" hidden="false" customHeight="true" outlineLevel="0" collapsed="false">
      <c r="A374" s="65"/>
      <c r="B374" s="65"/>
      <c r="C374" s="78"/>
      <c r="D374" s="65"/>
      <c r="E374" s="80"/>
      <c r="F374" s="80"/>
      <c r="G374" s="80"/>
      <c r="H374" s="82" t="str">
        <f aca="false">IF(OR(F374="",F374=0,G374=""),"",G374/F374)</f>
        <v/>
      </c>
    </row>
    <row r="375" customFormat="false" ht="15" hidden="false" customHeight="true" outlineLevel="0" collapsed="false">
      <c r="A375" s="65"/>
      <c r="B375" s="65"/>
      <c r="C375" s="78"/>
      <c r="D375" s="65"/>
      <c r="E375" s="80"/>
      <c r="F375" s="80"/>
      <c r="G375" s="80"/>
      <c r="H375" s="82" t="str">
        <f aca="false">IF(OR(F375="",F375=0,G375=""),"",G375/F375)</f>
        <v/>
      </c>
    </row>
    <row r="376" customFormat="false" ht="15" hidden="false" customHeight="true" outlineLevel="0" collapsed="false">
      <c r="A376" s="65"/>
      <c r="B376" s="65"/>
      <c r="C376" s="78"/>
      <c r="D376" s="65"/>
      <c r="E376" s="80"/>
      <c r="F376" s="80"/>
      <c r="G376" s="80"/>
      <c r="H376" s="82" t="str">
        <f aca="false">IF(OR(F376="",F376=0,G376=""),"",G376/F376)</f>
        <v/>
      </c>
    </row>
    <row r="377" customFormat="false" ht="15" hidden="false" customHeight="true" outlineLevel="0" collapsed="false">
      <c r="A377" s="65"/>
      <c r="B377" s="65"/>
      <c r="C377" s="78"/>
      <c r="D377" s="65"/>
      <c r="E377" s="80"/>
      <c r="F377" s="80"/>
      <c r="G377" s="80"/>
      <c r="H377" s="82" t="str">
        <f aca="false">IF(OR(F377="",F377=0,G377=""),"",G377/F377)</f>
        <v/>
      </c>
    </row>
    <row r="378" customFormat="false" ht="15" hidden="false" customHeight="true" outlineLevel="0" collapsed="false">
      <c r="A378" s="65"/>
      <c r="B378" s="65"/>
      <c r="C378" s="78"/>
      <c r="D378" s="65"/>
      <c r="E378" s="80"/>
      <c r="F378" s="80"/>
      <c r="G378" s="80"/>
      <c r="H378" s="82" t="str">
        <f aca="false">IF(OR(F378="",F378=0,G378=""),"",G378/F378)</f>
        <v/>
      </c>
    </row>
    <row r="379" customFormat="false" ht="15" hidden="false" customHeight="true" outlineLevel="0" collapsed="false">
      <c r="A379" s="65"/>
      <c r="B379" s="65"/>
      <c r="C379" s="78"/>
      <c r="D379" s="65"/>
      <c r="E379" s="80"/>
      <c r="F379" s="80"/>
      <c r="G379" s="80"/>
      <c r="H379" s="82" t="str">
        <f aca="false">IF(OR(F379="",F379=0,G379=""),"",G379/F379)</f>
        <v/>
      </c>
    </row>
    <row r="380" customFormat="false" ht="15" hidden="false" customHeight="true" outlineLevel="0" collapsed="false">
      <c r="A380" s="65"/>
      <c r="B380" s="65"/>
      <c r="C380" s="78"/>
      <c r="D380" s="65"/>
      <c r="E380" s="80"/>
      <c r="F380" s="80"/>
      <c r="G380" s="80"/>
      <c r="H380" s="82" t="str">
        <f aca="false">IF(OR(F380="",F380=0,G380=""),"",G380/F380)</f>
        <v/>
      </c>
    </row>
    <row r="381" customFormat="false" ht="15" hidden="false" customHeight="true" outlineLevel="0" collapsed="false">
      <c r="A381" s="65"/>
      <c r="B381" s="65"/>
      <c r="C381" s="78"/>
      <c r="D381" s="65"/>
      <c r="E381" s="80"/>
      <c r="F381" s="80"/>
      <c r="G381" s="80"/>
      <c r="H381" s="82" t="str">
        <f aca="false">IF(OR(F381="",F381=0,G381=""),"",G381/F381)</f>
        <v/>
      </c>
    </row>
    <row r="382" customFormat="false" ht="15" hidden="false" customHeight="true" outlineLevel="0" collapsed="false">
      <c r="A382" s="65"/>
      <c r="B382" s="65"/>
      <c r="C382" s="78"/>
      <c r="D382" s="65"/>
      <c r="E382" s="80"/>
      <c r="F382" s="80"/>
      <c r="G382" s="80"/>
      <c r="H382" s="82" t="str">
        <f aca="false">IF(OR(F382="",F382=0,G382=""),"",G382/F382)</f>
        <v/>
      </c>
    </row>
    <row r="383" customFormat="false" ht="15" hidden="false" customHeight="true" outlineLevel="0" collapsed="false">
      <c r="A383" s="65"/>
      <c r="B383" s="65"/>
      <c r="C383" s="78"/>
      <c r="D383" s="65"/>
      <c r="E383" s="80"/>
      <c r="F383" s="80"/>
      <c r="G383" s="80"/>
      <c r="H383" s="82" t="str">
        <f aca="false">IF(OR(F383="",F383=0,G383=""),"",G383/F383)</f>
        <v/>
      </c>
    </row>
    <row r="384" customFormat="false" ht="15" hidden="false" customHeight="true" outlineLevel="0" collapsed="false">
      <c r="A384" s="65"/>
      <c r="B384" s="65"/>
      <c r="C384" s="78"/>
      <c r="D384" s="65"/>
      <c r="E384" s="80"/>
      <c r="F384" s="80"/>
      <c r="G384" s="80"/>
      <c r="H384" s="82" t="str">
        <f aca="false">IF(OR(F384="",F384=0,G384=""),"",G384/F384)</f>
        <v/>
      </c>
    </row>
    <row r="385" customFormat="false" ht="15" hidden="false" customHeight="true" outlineLevel="0" collapsed="false">
      <c r="A385" s="65"/>
      <c r="B385" s="65"/>
      <c r="C385" s="78"/>
      <c r="D385" s="65"/>
      <c r="E385" s="80"/>
      <c r="F385" s="80"/>
      <c r="G385" s="80"/>
      <c r="H385" s="82" t="str">
        <f aca="false">IF(OR(F385="",F385=0,G385=""),"",G385/F385)</f>
        <v/>
      </c>
    </row>
    <row r="386" customFormat="false" ht="15" hidden="false" customHeight="true" outlineLevel="0" collapsed="false">
      <c r="A386" s="65"/>
      <c r="B386" s="65"/>
      <c r="C386" s="78"/>
      <c r="D386" s="65"/>
      <c r="E386" s="80"/>
      <c r="F386" s="80"/>
      <c r="G386" s="80"/>
      <c r="H386" s="82" t="str">
        <f aca="false">IF(OR(F386="",F386=0,G386=""),"",G386/F386)</f>
        <v/>
      </c>
    </row>
    <row r="387" customFormat="false" ht="15" hidden="false" customHeight="true" outlineLevel="0" collapsed="false">
      <c r="A387" s="65"/>
      <c r="B387" s="65"/>
      <c r="C387" s="78"/>
      <c r="D387" s="65"/>
      <c r="E387" s="80"/>
      <c r="F387" s="80"/>
      <c r="G387" s="80"/>
      <c r="H387" s="82" t="str">
        <f aca="false">IF(OR(F387="",F387=0,G387=""),"",G387/F387)</f>
        <v/>
      </c>
    </row>
    <row r="388" customFormat="false" ht="15" hidden="false" customHeight="true" outlineLevel="0" collapsed="false">
      <c r="A388" s="65"/>
      <c r="B388" s="65"/>
      <c r="C388" s="78"/>
      <c r="D388" s="65"/>
      <c r="E388" s="80"/>
      <c r="F388" s="80"/>
      <c r="G388" s="80"/>
      <c r="H388" s="82" t="str">
        <f aca="false">IF(OR(F388="",F388=0,G388=""),"",G388/F388)</f>
        <v/>
      </c>
    </row>
    <row r="389" customFormat="false" ht="15" hidden="false" customHeight="true" outlineLevel="0" collapsed="false">
      <c r="A389" s="65"/>
      <c r="B389" s="65"/>
      <c r="C389" s="78"/>
      <c r="D389" s="65"/>
      <c r="E389" s="80"/>
      <c r="F389" s="80"/>
      <c r="G389" s="80"/>
      <c r="H389" s="82" t="str">
        <f aca="false">IF(OR(F389="",F389=0,G389=""),"",G389/F389)</f>
        <v/>
      </c>
    </row>
    <row r="390" customFormat="false" ht="15" hidden="false" customHeight="true" outlineLevel="0" collapsed="false">
      <c r="A390" s="65"/>
      <c r="B390" s="65"/>
      <c r="C390" s="78"/>
      <c r="D390" s="65"/>
      <c r="E390" s="80"/>
      <c r="F390" s="80"/>
      <c r="G390" s="80"/>
      <c r="H390" s="82" t="str">
        <f aca="false">IF(OR(F390="",F390=0,G390=""),"",G390/F390)</f>
        <v/>
      </c>
    </row>
    <row r="391" customFormat="false" ht="15" hidden="false" customHeight="true" outlineLevel="0" collapsed="false">
      <c r="A391" s="65"/>
      <c r="B391" s="65"/>
      <c r="C391" s="78"/>
      <c r="D391" s="65"/>
      <c r="E391" s="80"/>
      <c r="F391" s="80"/>
      <c r="G391" s="80"/>
      <c r="H391" s="82" t="str">
        <f aca="false">IF(OR(F391="",F391=0,G391=""),"",G391/F391)</f>
        <v/>
      </c>
    </row>
    <row r="392" customFormat="false" ht="15" hidden="false" customHeight="true" outlineLevel="0" collapsed="false">
      <c r="A392" s="65"/>
      <c r="B392" s="65"/>
      <c r="C392" s="78"/>
      <c r="D392" s="65"/>
      <c r="E392" s="80"/>
      <c r="F392" s="80"/>
      <c r="G392" s="80"/>
      <c r="H392" s="82" t="str">
        <f aca="false">IF(OR(F392="",F392=0,G392=""),"",G392/F392)</f>
        <v/>
      </c>
    </row>
    <row r="393" customFormat="false" ht="15" hidden="false" customHeight="true" outlineLevel="0" collapsed="false">
      <c r="A393" s="65"/>
      <c r="B393" s="65"/>
      <c r="C393" s="78"/>
      <c r="D393" s="65"/>
      <c r="E393" s="80"/>
      <c r="F393" s="80"/>
      <c r="G393" s="80"/>
      <c r="H393" s="82" t="str">
        <f aca="false">IF(OR(F393="",F393=0,G393=""),"",G393/F393)</f>
        <v/>
      </c>
    </row>
    <row r="394" customFormat="false" ht="15" hidden="false" customHeight="true" outlineLevel="0" collapsed="false">
      <c r="A394" s="65"/>
      <c r="B394" s="65"/>
      <c r="C394" s="78"/>
      <c r="D394" s="65"/>
      <c r="E394" s="80"/>
      <c r="F394" s="80"/>
      <c r="G394" s="80"/>
      <c r="H394" s="82" t="str">
        <f aca="false">IF(OR(F394="",F394=0,G394=""),"",G394/F394)</f>
        <v/>
      </c>
    </row>
    <row r="395" customFormat="false" ht="15" hidden="false" customHeight="true" outlineLevel="0" collapsed="false">
      <c r="A395" s="65"/>
      <c r="B395" s="65"/>
      <c r="C395" s="78"/>
      <c r="D395" s="65"/>
      <c r="E395" s="80"/>
      <c r="F395" s="80"/>
      <c r="G395" s="80"/>
      <c r="H395" s="82" t="str">
        <f aca="false">IF(OR(F395="",F395=0,G395=""),"",G395/F395)</f>
        <v/>
      </c>
    </row>
    <row r="396" customFormat="false" ht="15" hidden="false" customHeight="true" outlineLevel="0" collapsed="false">
      <c r="A396" s="65"/>
      <c r="B396" s="65"/>
      <c r="C396" s="78"/>
      <c r="D396" s="65"/>
      <c r="E396" s="80"/>
      <c r="F396" s="80"/>
      <c r="G396" s="80"/>
      <c r="H396" s="82" t="str">
        <f aca="false">IF(OR(F396="",F396=0,G396=""),"",G396/F396)</f>
        <v/>
      </c>
    </row>
    <row r="397" customFormat="false" ht="15" hidden="false" customHeight="true" outlineLevel="0" collapsed="false">
      <c r="A397" s="65"/>
      <c r="B397" s="65"/>
      <c r="C397" s="78"/>
      <c r="D397" s="65"/>
      <c r="E397" s="80"/>
      <c r="F397" s="80"/>
      <c r="G397" s="80"/>
      <c r="H397" s="82" t="str">
        <f aca="false">IF(OR(F397="",F397=0,G397=""),"",G397/F397)</f>
        <v/>
      </c>
    </row>
    <row r="398" customFormat="false" ht="15" hidden="false" customHeight="true" outlineLevel="0" collapsed="false">
      <c r="A398" s="65"/>
      <c r="B398" s="65"/>
      <c r="C398" s="78"/>
      <c r="D398" s="65"/>
      <c r="E398" s="80"/>
      <c r="F398" s="80"/>
      <c r="G398" s="80"/>
      <c r="H398" s="82" t="str">
        <f aca="false">IF(OR(F398="",F398=0,G398=""),"",G398/F398)</f>
        <v/>
      </c>
    </row>
    <row r="399" customFormat="false" ht="15" hidden="false" customHeight="true" outlineLevel="0" collapsed="false">
      <c r="A399" s="65"/>
      <c r="B399" s="65"/>
      <c r="C399" s="78"/>
      <c r="D399" s="65"/>
      <c r="E399" s="80"/>
      <c r="F399" s="80"/>
      <c r="G399" s="80"/>
      <c r="H399" s="82" t="str">
        <f aca="false">IF(OR(F399="",F399=0,G399=""),"",G399/F399)</f>
        <v/>
      </c>
    </row>
    <row r="400" customFormat="false" ht="15" hidden="false" customHeight="true" outlineLevel="0" collapsed="false">
      <c r="A400" s="65"/>
      <c r="B400" s="65"/>
      <c r="C400" s="78"/>
      <c r="D400" s="65"/>
      <c r="E400" s="80"/>
      <c r="F400" s="80"/>
      <c r="G400" s="80"/>
      <c r="H400" s="82" t="str">
        <f aca="false">IF(OR(F400="",F400=0,G400=""),"",G400/F400)</f>
        <v/>
      </c>
    </row>
    <row r="401" customFormat="false" ht="15" hidden="false" customHeight="true" outlineLevel="0" collapsed="false">
      <c r="A401" s="65"/>
      <c r="B401" s="65"/>
      <c r="C401" s="78"/>
      <c r="D401" s="65"/>
      <c r="E401" s="80"/>
      <c r="F401" s="80"/>
      <c r="G401" s="80"/>
      <c r="H401" s="82" t="str">
        <f aca="false">IF(OR(F401="",F401=0,G401=""),"",G401/F401)</f>
        <v/>
      </c>
    </row>
    <row r="404" customFormat="false" ht="19.5" hidden="false" customHeight="true" outlineLevel="0" collapsed="false">
      <c r="A404" s="24" t="s">
        <v>1680</v>
      </c>
      <c r="B404" s="24"/>
      <c r="C404" s="24"/>
      <c r="D404" s="24"/>
      <c r="E404" s="24"/>
      <c r="F404" s="24"/>
    </row>
    <row r="405" customFormat="false" ht="25.5" hidden="false" customHeight="true" outlineLevel="0" collapsed="false">
      <c r="A405" s="59" t="s">
        <v>1570</v>
      </c>
      <c r="B405" s="59" t="s">
        <v>1525</v>
      </c>
      <c r="C405" s="59" t="s">
        <v>1356</v>
      </c>
      <c r="D405" s="59" t="s">
        <v>1357</v>
      </c>
      <c r="E405" s="59" t="s">
        <v>54</v>
      </c>
      <c r="F405" s="59" t="s">
        <v>1681</v>
      </c>
    </row>
    <row r="406" customFormat="false" ht="15" hidden="false" customHeight="true" outlineLevel="0" collapsed="false">
      <c r="A406" s="65"/>
      <c r="B406" s="65"/>
      <c r="C406" s="65"/>
      <c r="D406" s="79"/>
      <c r="E406" s="65"/>
      <c r="F406" s="65"/>
    </row>
    <row r="407" customFormat="false" ht="15" hidden="false" customHeight="true" outlineLevel="0" collapsed="false">
      <c r="A407" s="65"/>
      <c r="B407" s="65"/>
      <c r="C407" s="65"/>
      <c r="D407" s="79"/>
      <c r="E407" s="65"/>
      <c r="F407" s="65"/>
    </row>
    <row r="408" customFormat="false" ht="15" hidden="false" customHeight="true" outlineLevel="0" collapsed="false">
      <c r="A408" s="65"/>
      <c r="B408" s="65"/>
      <c r="C408" s="65"/>
      <c r="D408" s="79"/>
      <c r="E408" s="65"/>
      <c r="F408" s="65"/>
    </row>
    <row r="409" customFormat="false" ht="15" hidden="false" customHeight="true" outlineLevel="0" collapsed="false">
      <c r="A409" s="65"/>
      <c r="B409" s="65"/>
      <c r="C409" s="65"/>
      <c r="D409" s="79"/>
      <c r="E409" s="65"/>
      <c r="F409" s="65"/>
    </row>
    <row r="410" customFormat="false" ht="15" hidden="false" customHeight="true" outlineLevel="0" collapsed="false">
      <c r="A410" s="65"/>
      <c r="B410" s="65"/>
      <c r="C410" s="65"/>
      <c r="D410" s="79"/>
      <c r="E410" s="65"/>
      <c r="F410" s="65"/>
    </row>
    <row r="411" customFormat="false" ht="15" hidden="false" customHeight="true" outlineLevel="0" collapsed="false">
      <c r="A411" s="65"/>
      <c r="B411" s="65"/>
      <c r="C411" s="65"/>
      <c r="D411" s="79"/>
      <c r="E411" s="65"/>
      <c r="F411" s="65"/>
    </row>
    <row r="412" customFormat="false" ht="15" hidden="false" customHeight="true" outlineLevel="0" collapsed="false">
      <c r="A412" s="65"/>
      <c r="B412" s="65"/>
      <c r="C412" s="65"/>
      <c r="D412" s="79"/>
      <c r="E412" s="65"/>
      <c r="F412" s="65"/>
    </row>
    <row r="413" customFormat="false" ht="15" hidden="false" customHeight="true" outlineLevel="0" collapsed="false">
      <c r="A413" s="65"/>
      <c r="B413" s="65"/>
      <c r="C413" s="65"/>
      <c r="D413" s="79"/>
      <c r="E413" s="65"/>
      <c r="F413" s="65"/>
    </row>
    <row r="414" customFormat="false" ht="15" hidden="false" customHeight="true" outlineLevel="0" collapsed="false">
      <c r="A414" s="65"/>
      <c r="B414" s="65"/>
      <c r="C414" s="65"/>
      <c r="D414" s="79"/>
      <c r="E414" s="65"/>
      <c r="F414" s="65"/>
    </row>
    <row r="415" customFormat="false" ht="15" hidden="false" customHeight="true" outlineLevel="0" collapsed="false">
      <c r="A415" s="65"/>
      <c r="B415" s="65"/>
      <c r="C415" s="65"/>
      <c r="D415" s="79"/>
      <c r="E415" s="65"/>
      <c r="F415" s="65"/>
    </row>
    <row r="416" customFormat="false" ht="15" hidden="false" customHeight="true" outlineLevel="0" collapsed="false">
      <c r="A416" s="65"/>
      <c r="B416" s="65"/>
      <c r="C416" s="65"/>
      <c r="D416" s="79"/>
      <c r="E416" s="65"/>
      <c r="F416" s="65"/>
    </row>
    <row r="417" customFormat="false" ht="15" hidden="false" customHeight="true" outlineLevel="0" collapsed="false">
      <c r="A417" s="65"/>
      <c r="B417" s="65"/>
      <c r="C417" s="65"/>
      <c r="D417" s="79"/>
      <c r="E417" s="65"/>
      <c r="F417" s="65"/>
    </row>
    <row r="418" customFormat="false" ht="15" hidden="false" customHeight="true" outlineLevel="0" collapsed="false">
      <c r="A418" s="65"/>
      <c r="B418" s="65"/>
      <c r="C418" s="65"/>
      <c r="D418" s="79"/>
      <c r="E418" s="65"/>
      <c r="F418" s="65"/>
    </row>
    <row r="419" customFormat="false" ht="15" hidden="false" customHeight="true" outlineLevel="0" collapsed="false">
      <c r="A419" s="65"/>
      <c r="B419" s="65"/>
      <c r="C419" s="65"/>
      <c r="D419" s="79"/>
      <c r="E419" s="65"/>
      <c r="F419" s="65"/>
    </row>
    <row r="420" customFormat="false" ht="15" hidden="false" customHeight="true" outlineLevel="0" collapsed="false">
      <c r="A420" s="65"/>
      <c r="B420" s="65"/>
      <c r="C420" s="65"/>
      <c r="D420" s="79"/>
      <c r="E420" s="65"/>
      <c r="F420" s="65"/>
    </row>
    <row r="421" customFormat="false" ht="15" hidden="false" customHeight="true" outlineLevel="0" collapsed="false">
      <c r="A421" s="65"/>
      <c r="B421" s="65"/>
      <c r="C421" s="65"/>
      <c r="D421" s="79"/>
      <c r="E421" s="65"/>
      <c r="F421" s="65"/>
    </row>
    <row r="422" customFormat="false" ht="15" hidden="false" customHeight="true" outlineLevel="0" collapsed="false">
      <c r="A422" s="65"/>
      <c r="B422" s="65"/>
      <c r="C422" s="65"/>
      <c r="D422" s="79"/>
      <c r="E422" s="65"/>
      <c r="F422" s="65"/>
    </row>
    <row r="423" customFormat="false" ht="15" hidden="false" customHeight="true" outlineLevel="0" collapsed="false">
      <c r="A423" s="65"/>
      <c r="B423" s="65"/>
      <c r="C423" s="65"/>
      <c r="D423" s="79"/>
      <c r="E423" s="65"/>
      <c r="F423" s="65"/>
    </row>
    <row r="424" customFormat="false" ht="15" hidden="false" customHeight="true" outlineLevel="0" collapsed="false">
      <c r="A424" s="65"/>
      <c r="B424" s="65"/>
      <c r="C424" s="65"/>
      <c r="D424" s="79"/>
      <c r="E424" s="65"/>
      <c r="F424" s="65"/>
    </row>
    <row r="425" customFormat="false" ht="15" hidden="false" customHeight="true" outlineLevel="0" collapsed="false">
      <c r="A425" s="65"/>
      <c r="B425" s="65"/>
      <c r="C425" s="65"/>
      <c r="D425" s="79"/>
      <c r="E425" s="65"/>
      <c r="F425" s="65"/>
    </row>
    <row r="426" customFormat="false" ht="15" hidden="false" customHeight="true" outlineLevel="0" collapsed="false">
      <c r="A426" s="65"/>
      <c r="B426" s="65"/>
      <c r="C426" s="65"/>
      <c r="D426" s="79"/>
      <c r="E426" s="65"/>
      <c r="F426" s="65"/>
    </row>
    <row r="427" customFormat="false" ht="15" hidden="false" customHeight="true" outlineLevel="0" collapsed="false">
      <c r="A427" s="65"/>
      <c r="B427" s="65"/>
      <c r="C427" s="65"/>
      <c r="D427" s="79"/>
      <c r="E427" s="65"/>
      <c r="F427" s="65"/>
    </row>
    <row r="428" customFormat="false" ht="15" hidden="false" customHeight="true" outlineLevel="0" collapsed="false">
      <c r="A428" s="65"/>
      <c r="B428" s="65"/>
      <c r="C428" s="65"/>
      <c r="D428" s="79"/>
      <c r="E428" s="65"/>
      <c r="F428" s="65"/>
    </row>
    <row r="429" customFormat="false" ht="15" hidden="false" customHeight="true" outlineLevel="0" collapsed="false">
      <c r="A429" s="65"/>
      <c r="B429" s="65"/>
      <c r="C429" s="65"/>
      <c r="D429" s="79"/>
      <c r="E429" s="65"/>
      <c r="F429" s="65"/>
    </row>
    <row r="430" customFormat="false" ht="15" hidden="false" customHeight="true" outlineLevel="0" collapsed="false">
      <c r="A430" s="65"/>
      <c r="B430" s="65"/>
      <c r="C430" s="65"/>
      <c r="D430" s="79"/>
      <c r="E430" s="65"/>
      <c r="F430" s="65"/>
    </row>
    <row r="431" customFormat="false" ht="15" hidden="false" customHeight="true" outlineLevel="0" collapsed="false">
      <c r="A431" s="65"/>
      <c r="B431" s="65"/>
      <c r="C431" s="65"/>
      <c r="D431" s="79"/>
      <c r="E431" s="65"/>
      <c r="F431" s="65"/>
    </row>
    <row r="432" customFormat="false" ht="15" hidden="false" customHeight="true" outlineLevel="0" collapsed="false">
      <c r="A432" s="65"/>
      <c r="B432" s="65"/>
      <c r="C432" s="65"/>
      <c r="D432" s="79"/>
      <c r="E432" s="65"/>
      <c r="F432" s="65"/>
    </row>
    <row r="433" customFormat="false" ht="15" hidden="false" customHeight="true" outlineLevel="0" collapsed="false">
      <c r="A433" s="65"/>
      <c r="B433" s="65"/>
      <c r="C433" s="65"/>
      <c r="D433" s="79"/>
      <c r="E433" s="65"/>
      <c r="F433" s="65"/>
    </row>
    <row r="434" customFormat="false" ht="15" hidden="false" customHeight="true" outlineLevel="0" collapsed="false">
      <c r="A434" s="65"/>
      <c r="B434" s="65"/>
      <c r="C434" s="65"/>
      <c r="D434" s="79"/>
      <c r="E434" s="65"/>
      <c r="F434" s="65"/>
    </row>
    <row r="435" customFormat="false" ht="15" hidden="false" customHeight="true" outlineLevel="0" collapsed="false">
      <c r="A435" s="65"/>
      <c r="B435" s="65"/>
      <c r="C435" s="65"/>
      <c r="D435" s="79"/>
      <c r="E435" s="65"/>
      <c r="F435" s="65"/>
    </row>
  </sheetData>
  <mergeCells count="16">
    <mergeCell ref="A1:P1"/>
    <mergeCell ref="A2:R2"/>
    <mergeCell ref="A4:R4"/>
    <mergeCell ref="A6:R6"/>
    <mergeCell ref="A10:R10"/>
    <mergeCell ref="A54:BI54"/>
    <mergeCell ref="A98:G98"/>
    <mergeCell ref="A132:H132"/>
    <mergeCell ref="A166:G166"/>
    <mergeCell ref="A200:F200"/>
    <mergeCell ref="A234:L234"/>
    <mergeCell ref="A268:G268"/>
    <mergeCell ref="A302:G302"/>
    <mergeCell ref="A336:I336"/>
    <mergeCell ref="A370:H370"/>
    <mergeCell ref="A404:F404"/>
  </mergeCells>
  <conditionalFormatting sqref="BD56:BD95">
    <cfRule type="cellIs" priority="2" operator="lessThan" aboveAverage="0" equalAverage="0" bottom="0" percent="0" rank="0" text="" dxfId="16">
      <formula>0.34</formula>
    </cfRule>
    <cfRule type="cellIs" priority="3" operator="between" aboveAverage="0" equalAverage="0" bottom="0" percent="0" rank="0" text="" dxfId="17">
      <formula>0.34</formula>
      <formula>0.69</formula>
    </cfRule>
    <cfRule type="cellIs" priority="4" operator="greaterThanOrEqual" aboveAverage="0" equalAverage="0" bottom="0" percent="0" rank="0" text="" dxfId="18">
      <formula>0.7</formula>
    </cfRule>
  </conditionalFormatting>
  <conditionalFormatting sqref="BE56:BE95">
    <cfRule type="expression" priority="5" aboveAverage="0" equalAverage="0" bottom="0" percent="0" rank="0" text="" dxfId="16">
      <formula>BE56="OUI"</formula>
    </cfRule>
  </conditionalFormatting>
  <conditionalFormatting sqref="BG56:BG95">
    <cfRule type="expression" priority="6" aboveAverage="0" equalAverage="0" bottom="0" percent="0" rank="0" text="" dxfId="16">
      <formula>BG56="OUI"</formula>
    </cfRule>
  </conditionalFormatting>
  <conditionalFormatting sqref="BH56:BH95">
    <cfRule type="expression" priority="7" aboveAverage="0" equalAverage="0" bottom="0" percent="0" rank="0" text="" dxfId="16">
      <formula>BH56="OUI"</formula>
    </cfRule>
  </conditionalFormatting>
  <dataValidations count="25">
    <dataValidation allowBlank="true" errorStyle="stop" operator="between" showDropDown="false" showErrorMessage="true" showInputMessage="false" sqref="J56:J95" type="list">
      <formula1>Liste_Domaines</formula1>
      <formula2>0</formula2>
    </dataValidation>
    <dataValidation allowBlank="true" errorStyle="stop" operator="between" showDropDown="false" showErrorMessage="true" showInputMessage="false" sqref="K56:K95" type="list">
      <formula1>Liste_TypesProjets</formula1>
      <formula2>0</formula2>
    </dataValidation>
    <dataValidation allowBlank="true" errorStyle="stop" operator="between" showDropDown="false" showErrorMessage="true" showInputMessage="false" sqref="O56:O95" type="list">
      <formula1>Liste_Fonctions</formula1>
      <formula2>0</formula2>
    </dataValidation>
    <dataValidation allowBlank="true" errorStyle="stop" operator="between" showDropDown="false" showErrorMessage="true" showInputMessage="false" sqref="R56:R95" type="list">
      <formula1>Liste_ZonesGeo</formula1>
      <formula2>0</formula2>
    </dataValidation>
    <dataValidation allowBlank="true" errorStyle="stop" operator="between" showDropDown="false" showErrorMessage="true" showInputMessage="false" sqref="AD56:AD95" type="list">
      <formula1>Liste_StatutsProjets</formula1>
      <formula2>0</formula2>
    </dataValidation>
    <dataValidation allowBlank="true" errorStyle="stop" operator="between" showDropDown="false" showErrorMessage="true" showInputMessage="false" sqref="AE56:AE95" type="list">
      <formula1>Liste_NiveauxPriorite</formula1>
      <formula2>0</formula2>
    </dataValidation>
    <dataValidation allowBlank="true" errorStyle="stop" operator="between" showDropDown="false" showErrorMessage="true" showInputMessage="false" sqref="G100:G129" type="list">
      <formula1>Liste_StatutsGeneraux</formula1>
      <formula2>0</formula2>
    </dataValidation>
    <dataValidation allowBlank="true" errorStyle="stop" operator="between" showDropDown="false" showErrorMessage="true" showInputMessage="false" sqref="D168:D197" type="list">
      <formula1>Liste_Fonctions</formula1>
      <formula2>0</formula2>
    </dataValidation>
    <dataValidation allowBlank="true" errorStyle="stop" operator="between" showDropDown="false" showErrorMessage="true" showInputMessage="false" sqref="G168:G197" type="list">
      <formula1>"Actif,Inactif"</formula1>
      <formula2>0</formula2>
    </dataValidation>
    <dataValidation allowBlank="true" errorStyle="stop" operator="between" showDropDown="false" showErrorMessage="true" showInputMessage="false" sqref="D202:D231" type="list">
      <formula1>Liste_TypesPartenaires</formula1>
      <formula2>0</formula2>
    </dataValidation>
    <dataValidation allowBlank="true" errorStyle="stop" operator="between" showDropDown="false" showErrorMessage="true" showInputMessage="false" sqref="F202:F231" type="list">
      <formula1>Liste_StatutsGeneraux</formula1>
      <formula2>0</formula2>
    </dataValidation>
    <dataValidation allowBlank="true" errorStyle="stop" operator="between" showDropDown="false" showErrorMessage="true" showInputMessage="false" sqref="D236:D265" type="list">
      <formula1>Liste_TypesDonateurs</formula1>
      <formula2>0</formula2>
    </dataValidation>
    <dataValidation allowBlank="true" errorStyle="stop" operator="between" showDropDown="false" showErrorMessage="true" showInputMessage="false" sqref="E236:E265" type="list">
      <formula1>Liste_SourcesFinancement</formula1>
      <formula2>0</formula2>
    </dataValidation>
    <dataValidation allowBlank="true" errorStyle="stop" operator="between" showDropDown="false" showErrorMessage="true" showInputMessage="false" sqref="F236:F265" type="list">
      <formula1>Liste_TypesFinancement</formula1>
      <formula2>0</formula2>
    </dataValidation>
    <dataValidation allowBlank="true" errorStyle="stop" operator="between" showDropDown="false" showErrorMessage="true" showInputMessage="false" sqref="L236:L265" type="list">
      <formula1>Liste_StatutsGeneraux</formula1>
      <formula2>0</formula2>
    </dataValidation>
    <dataValidation allowBlank="true" errorStyle="stop" operator="between" showDropDown="false" showErrorMessage="true" showInputMessage="false" sqref="B270:B299" type="list">
      <formula1>Liste_ZonesGeo</formula1>
      <formula2>0</formula2>
    </dataValidation>
    <dataValidation allowBlank="true" errorStyle="stop" operator="between" showDropDown="false" showErrorMessage="true" showInputMessage="false" sqref="F304:F333" type="list">
      <formula1>Liste_StatutsGeneraux</formula1>
      <formula2>0</formula2>
    </dataValidation>
    <dataValidation allowBlank="true" errorStyle="stop" operator="between" showDropDown="false" showErrorMessage="true" showInputMessage="false" sqref="D338:D367" type="list">
      <formula1>Liste_NiveauxRisque</formula1>
      <formula2>0</formula2>
    </dataValidation>
    <dataValidation allowBlank="true" errorStyle="stop" operator="between" showDropDown="false" showErrorMessage="true" showInputMessage="false" sqref="E338:E367" type="list">
      <formula1>"Faible,Moyenne,Elevee"</formula1>
      <formula2>0</formula2>
    </dataValidation>
    <dataValidation allowBlank="true" errorStyle="stop" operator="between" showDropDown="false" showErrorMessage="true" showInputMessage="false" sqref="F338:F367" type="list">
      <formula1>"Faible,Moyen,Eleve"</formula1>
      <formula2>0</formula2>
    </dataValidation>
    <dataValidation allowBlank="true" errorStyle="stop" operator="between" showDropDown="false" showErrorMessage="true" showInputMessage="false" sqref="I338:I367" type="list">
      <formula1>Liste_StatutsRisques</formula1>
      <formula2>0</formula2>
    </dataValidation>
    <dataValidation allowBlank="true" errorStyle="stop" operator="between" showDropDown="false" showErrorMessage="true" showInputMessage="false" sqref="D372:D401" type="list">
      <formula1>Liste_UnitesMesure</formula1>
      <formula2>0</formula2>
    </dataValidation>
    <dataValidation allowBlank="true" errorStyle="stop" operator="between" showDropDown="false" showErrorMessage="true" showInputMessage="false" sqref="B406:B435" type="list">
      <formula1>Liste_TypesDocuments</formula1>
      <formula2>0</formula2>
    </dataValidation>
    <dataValidation allowBlank="true" errorStyle="stop" operator="between" showDropDown="false" showErrorMessage="true" showInputMessage="false" sqref="E406:E435" type="list">
      <formula1>Liste_StatutsDocuments</formula1>
      <formula2>0</formula2>
    </dataValidation>
    <dataValidation allowBlank="false" error="Choisissez une année entre 2024 et 2033 ou Total." errorStyle="stop" errorTitle="Année invalide" operator="between" prompt="Sélectionnez l’année à afficher dans la synthèse." promptTitle="Filtre par année" showDropDown="false" showErrorMessage="false" showInputMessage="false" sqref="L7" type="list">
      <formula1>"2024,2025,2026,2027,2028,2029,2030,2031,2032,2033,Total"</formula1>
      <formula2>0</formula2>
    </dataValidation>
  </dataValidations>
  <hyperlinks>
    <hyperlink ref="Q1" location="ONG!A1" display="-&gt; ONG"/>
    <hyperlink ref="R1" location="BENEFICIAIRES!A1" display="-&gt; BENEFICIAIR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33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57" activeCellId="0" sqref="G57"/>
    </sheetView>
  </sheetViews>
  <sheetFormatPr defaultColWidth="8.71484375" defaultRowHeight="15" customHeight="true"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3" min="3" style="1" width="18"/>
    <col collapsed="false" customWidth="true" hidden="false" outlineLevel="0" max="4" min="4" style="1" width="12"/>
    <col collapsed="false" customWidth="true" hidden="false" outlineLevel="0" max="5" min="5" style="1" width="16"/>
    <col collapsed="false" customWidth="true" hidden="false" outlineLevel="0" max="6" min="6" style="1" width="30"/>
    <col collapsed="false" customWidth="true" hidden="false" outlineLevel="0" max="7" min="7" style="1" width="24"/>
    <col collapsed="false" customWidth="true" hidden="false" outlineLevel="0" max="8" min="8" style="1" width="16"/>
    <col collapsed="false" customWidth="true" hidden="false" outlineLevel="0" max="9" min="9" style="1" width="14"/>
    <col collapsed="false" customWidth="true" hidden="false" outlineLevel="0" max="14" min="10" style="1" width="16"/>
    <col collapsed="false" customWidth="true" hidden="false" outlineLevel="0" max="19" min="15" style="1" width="11"/>
    <col collapsed="false" customWidth="true" hidden="false" outlineLevel="0" max="22" min="20" style="1" width="16"/>
    <col collapsed="false" customWidth="true" hidden="false" outlineLevel="0" max="25" min="23" style="1" width="11"/>
    <col collapsed="false" customWidth="true" hidden="false" outlineLevel="0" max="26" min="26" style="1" width="16"/>
    <col collapsed="false" customWidth="true" hidden="false" outlineLevel="0" max="28" min="27" style="1" width="11"/>
    <col collapsed="false" customWidth="true" hidden="false" outlineLevel="0" max="51" min="29" style="1" width="16"/>
    <col collapsed="false" customWidth="true" hidden="false" outlineLevel="0" max="53" min="52" style="1" width="11"/>
    <col collapsed="false" customWidth="true" hidden="false" outlineLevel="0" max="58" min="54" style="1" width="16"/>
    <col collapsed="false" customWidth="true" hidden="false" outlineLevel="0" max="59" min="59" style="1" width="11"/>
    <col collapsed="false" customWidth="true" hidden="false" outlineLevel="0" max="64" min="60" style="1" width="16"/>
    <col collapsed="false" customWidth="true" hidden="false" outlineLevel="0" max="65" min="65" style="1" width="26"/>
    <col collapsed="false" customWidth="true" hidden="false" outlineLevel="0" max="70" min="66" style="1" width="16"/>
    <col collapsed="false" customWidth="true" hidden="false" outlineLevel="0" max="73" min="71" style="1" width="26"/>
    <col collapsed="false" customWidth="true" hidden="false" outlineLevel="0" max="75" min="74" style="1" width="16"/>
    <col collapsed="false" customWidth="true" hidden="false" outlineLevel="0" max="79" min="76" style="1" width="11"/>
    <col collapsed="false" customWidth="true" hidden="false" outlineLevel="0" max="81" min="80" style="1" width="26"/>
    <col collapsed="false" customWidth="true" hidden="false" outlineLevel="0" max="83" min="82" style="1" width="11"/>
    <col collapsed="false" customWidth="true" hidden="false" outlineLevel="0" max="85" min="84" style="1" width="16"/>
    <col collapsed="false" customWidth="true" hidden="false" outlineLevel="0" max="86" min="86" style="1" width="11"/>
    <col collapsed="false" customWidth="true" hidden="false" outlineLevel="0" max="88" min="87" style="1" width="26"/>
    <col collapsed="false" customWidth="true" hidden="false" outlineLevel="0" max="91" min="89" style="1" width="11"/>
    <col collapsed="false" customWidth="true" hidden="false" outlineLevel="0" max="92" min="92" style="1" width="26"/>
  </cols>
  <sheetData>
    <row r="1" customFormat="false" ht="25.5" hidden="false" customHeight="true" outlineLevel="0" collapsed="false">
      <c r="A1" s="47" t="s">
        <v>1682</v>
      </c>
      <c r="B1" s="47"/>
      <c r="C1" s="47"/>
      <c r="D1" s="47"/>
      <c r="E1" s="47"/>
      <c r="F1" s="47"/>
      <c r="G1" s="47"/>
      <c r="H1" s="47"/>
      <c r="I1" s="47"/>
      <c r="J1" s="47"/>
      <c r="K1" s="47"/>
      <c r="L1" s="47"/>
      <c r="M1" s="47"/>
      <c r="N1" s="47"/>
      <c r="O1" s="47"/>
      <c r="P1" s="47"/>
      <c r="Q1" s="84" t="s">
        <v>1683</v>
      </c>
      <c r="R1" s="84" t="s">
        <v>1556</v>
      </c>
      <c r="S1" s="84" t="s">
        <v>1444</v>
      </c>
    </row>
    <row r="2" customFormat="false" ht="25.5" hidden="false" customHeight="true" outlineLevel="0" collapsed="false">
      <c r="A2" s="49" t="s">
        <v>1684</v>
      </c>
      <c r="B2" s="49"/>
      <c r="C2" s="49"/>
      <c r="D2" s="49"/>
      <c r="E2" s="49"/>
      <c r="F2" s="49"/>
      <c r="G2" s="49"/>
      <c r="H2" s="49"/>
      <c r="I2" s="49"/>
      <c r="J2" s="49"/>
      <c r="K2" s="49"/>
      <c r="L2" s="49"/>
      <c r="M2" s="49"/>
      <c r="N2" s="49"/>
      <c r="O2" s="49"/>
      <c r="P2" s="49"/>
      <c r="Q2" s="49"/>
      <c r="R2" s="49"/>
    </row>
    <row r="4" customFormat="false" ht="15" hidden="false" customHeight="true" outlineLevel="0" collapsed="false">
      <c r="A4" s="54" t="s">
        <v>1445</v>
      </c>
      <c r="B4" s="54"/>
      <c r="C4" s="54"/>
      <c r="D4" s="54"/>
      <c r="E4" s="54"/>
      <c r="F4" s="54"/>
      <c r="G4" s="54"/>
      <c r="H4" s="54"/>
      <c r="I4" s="54"/>
      <c r="J4" s="54"/>
      <c r="K4" s="54"/>
      <c r="L4" s="54"/>
      <c r="M4" s="54"/>
      <c r="N4" s="54"/>
      <c r="O4" s="54"/>
      <c r="P4" s="54"/>
      <c r="Q4" s="54"/>
      <c r="R4" s="54"/>
    </row>
    <row r="6" customFormat="false" ht="15.75" hidden="false" customHeight="true" outlineLevel="0" collapsed="false">
      <c r="A6" s="55" t="s">
        <v>1685</v>
      </c>
      <c r="B6" s="55"/>
      <c r="C6" s="55"/>
      <c r="D6" s="55"/>
      <c r="E6" s="55"/>
      <c r="F6" s="55"/>
      <c r="G6" s="55"/>
      <c r="H6" s="55"/>
      <c r="I6" s="55"/>
      <c r="J6" s="55"/>
      <c r="K6" s="55"/>
      <c r="L6" s="55"/>
      <c r="M6" s="55"/>
      <c r="N6" s="55"/>
      <c r="O6" s="55"/>
      <c r="P6" s="55"/>
      <c r="Q6" s="55"/>
      <c r="R6" s="55"/>
    </row>
    <row r="7" customFormat="false" ht="24" hidden="false" customHeight="true" outlineLevel="0" collapsed="false">
      <c r="A7" s="85" t="s">
        <v>1686</v>
      </c>
      <c r="B7" s="85" t="s">
        <v>1687</v>
      </c>
      <c r="C7" s="85" t="s">
        <v>114</v>
      </c>
      <c r="D7" s="85" t="s">
        <v>1688</v>
      </c>
      <c r="E7" s="85" t="s">
        <v>1689</v>
      </c>
      <c r="F7" s="85" t="s">
        <v>1690</v>
      </c>
      <c r="G7" s="85" t="s">
        <v>1691</v>
      </c>
      <c r="H7" s="85" t="s">
        <v>1692</v>
      </c>
      <c r="I7" s="86" t="s">
        <v>1216</v>
      </c>
      <c r="J7" s="85" t="s">
        <v>1216</v>
      </c>
    </row>
    <row r="8" customFormat="false" ht="15" hidden="false" customHeight="true" outlineLevel="0" collapsed="false">
      <c r="A8" s="61" t="n">
        <f aca="false">COUNTIF(A56:A105,"ACT*")</f>
        <v>1</v>
      </c>
      <c r="B8" s="61" t="n">
        <f aca="false">IF($I$7="Total",COUNTIFS(A56:A105,"ACT*",Z56:Z105,"Planifiee"),COUNTIFS(A56:A105,"ACT*",Z56:Z105,"Planifiee",S56:S105,$I$7))</f>
        <v>0</v>
      </c>
      <c r="C8" s="61" t="n">
        <f aca="false">IF($I$7="Total",COUNTIFS(A56:A105,"ACT*",Z56:Z105,"En cours"),COUNTIFS(A56:A105,"ACT*",Z56:Z105,"En cours",S56:S105,$I$7))</f>
        <v>1</v>
      </c>
      <c r="D8" s="61" t="n">
        <f aca="false">IF($I$7="Total",COUNTIFS(A56:A105,"ACT*",Z56:Z105,"Realisee"),COUNTIFS(A56:A105,"ACT*",Z56:Z105,"Realisee",S56:S105,$I$7))</f>
        <v>0</v>
      </c>
      <c r="E8" s="61" t="n">
        <f aca="false">IF($I$7="Total",COUNTIFS(A56:A105,"ACT*",Z56:Z105,"Reportee"),COUNTIFS(A56:A105,"ACT*",Z56:Z105,"Reportee",S56:S105,$I$7))</f>
        <v>0</v>
      </c>
      <c r="F8" s="61" t="n">
        <f aca="false">IF($I$7="Total",COUNTIFS(A56:A105,"ACT*",Z56:Z105,"Annulee"),COUNTIFS(A56:A105,"ACT*",Z56:Z105,"Annulee",S56:S105,$I$7))</f>
        <v>0</v>
      </c>
      <c r="G8" s="82" t="n">
        <f aca="false">IFERROR(D8/A8,0)</f>
        <v>0</v>
      </c>
      <c r="H8" s="61" t="n">
        <f aca="false">SUMPRODUCT((C56:C105&lt;&gt;"")/COUNTIF(C56:C105,C56:C105&amp;""))</f>
        <v>1</v>
      </c>
    </row>
    <row r="10" customFormat="false" ht="15.75" hidden="false" customHeight="true" outlineLevel="0" collapsed="false">
      <c r="A10" s="55" t="s">
        <v>1566</v>
      </c>
      <c r="B10" s="55"/>
      <c r="C10" s="55"/>
      <c r="D10" s="55"/>
      <c r="E10" s="55"/>
      <c r="F10" s="55"/>
      <c r="G10" s="55"/>
      <c r="H10" s="55"/>
      <c r="I10" s="55"/>
      <c r="J10" s="55"/>
      <c r="K10" s="55"/>
      <c r="L10" s="55"/>
      <c r="M10" s="55"/>
      <c r="N10" s="55"/>
      <c r="O10" s="55"/>
      <c r="P10" s="55"/>
      <c r="Q10" s="55"/>
      <c r="R10" s="55"/>
    </row>
    <row r="11" customFormat="false" ht="24" hidden="false" customHeight="true" outlineLevel="0" collapsed="false">
      <c r="A11" s="85" t="s">
        <v>1693</v>
      </c>
      <c r="B11" s="85" t="s">
        <v>1694</v>
      </c>
      <c r="D11" s="85" t="s">
        <v>1545</v>
      </c>
      <c r="E11" s="85" t="s">
        <v>1694</v>
      </c>
      <c r="G11" s="85" t="s">
        <v>1459</v>
      </c>
      <c r="H11" s="85" t="s">
        <v>1694</v>
      </c>
    </row>
    <row r="12" customFormat="false" ht="15" hidden="false" customHeight="true" outlineLevel="0" collapsed="false">
      <c r="A12" s="87" t="s">
        <v>128</v>
      </c>
      <c r="B12" s="88" t="n">
        <f aca="false">COUNTIFS(tbl_Activites[Statut de l''activite],A12)</f>
        <v>0</v>
      </c>
      <c r="D12" s="87" t="s">
        <v>316</v>
      </c>
      <c r="E12" s="88" t="n">
        <f aca="false">COUNTIFS(tbl_Activites[Type d''activite],D12)</f>
        <v>0</v>
      </c>
      <c r="G12" s="87" t="s">
        <v>146</v>
      </c>
      <c r="H12" s="88" t="n">
        <f aca="false">COUNTIFS(tbl_Activites[Domaine d''intervention (activite)],G12)</f>
        <v>0</v>
      </c>
    </row>
    <row r="13" customFormat="false" ht="15" hidden="false" customHeight="true" outlineLevel="0" collapsed="false">
      <c r="A13" s="87" t="s">
        <v>100</v>
      </c>
      <c r="B13" s="88" t="n">
        <f aca="false">COUNTIFS(tbl_Activites[Statut de l''activite],A13)</f>
        <v>0</v>
      </c>
      <c r="D13" s="87" t="s">
        <v>318</v>
      </c>
      <c r="E13" s="88" t="n">
        <f aca="false">COUNTIFS(tbl_Activites[Type d''activite],D13)</f>
        <v>0</v>
      </c>
      <c r="G13" s="87" t="s">
        <v>150</v>
      </c>
      <c r="H13" s="88" t="n">
        <f aca="false">COUNTIFS(tbl_Activites[Domaine d''intervention (activite)],G13)</f>
        <v>0</v>
      </c>
    </row>
    <row r="14" customFormat="false" ht="15" hidden="false" customHeight="true" outlineLevel="0" collapsed="false">
      <c r="A14" s="87" t="s">
        <v>131</v>
      </c>
      <c r="B14" s="88" t="n">
        <f aca="false">COUNTIFS(tbl_Activites[Statut de l''activite],A14)</f>
        <v>0</v>
      </c>
      <c r="D14" s="87" t="s">
        <v>320</v>
      </c>
      <c r="E14" s="88" t="n">
        <f aca="false">COUNTIFS(tbl_Activites[Type d''activite],D14)</f>
        <v>0</v>
      </c>
      <c r="G14" s="87" t="s">
        <v>153</v>
      </c>
      <c r="H14" s="88" t="n">
        <f aca="false">COUNTIFS(tbl_Activites[Domaine d''intervention (activite)],G14)</f>
        <v>0</v>
      </c>
    </row>
    <row r="15" customFormat="false" ht="15" hidden="false" customHeight="true" outlineLevel="0" collapsed="false">
      <c r="A15" s="87" t="s">
        <v>114</v>
      </c>
      <c r="B15" s="88" t="n">
        <f aca="false">COUNTIFS(tbl_Activites[Statut de l''activite],A15)</f>
        <v>1</v>
      </c>
      <c r="D15" s="87" t="s">
        <v>322</v>
      </c>
      <c r="E15" s="88" t="n">
        <f aca="false">COUNTIFS(tbl_Activites[Type d''activite],D15)</f>
        <v>0</v>
      </c>
      <c r="G15" s="87" t="s">
        <v>156</v>
      </c>
      <c r="H15" s="88" t="n">
        <f aca="false">COUNTIFS(tbl_Activites[Domaine d''intervention (activite)],G15)</f>
        <v>0</v>
      </c>
    </row>
    <row r="16" customFormat="false" ht="15" hidden="false" customHeight="true" outlineLevel="0" collapsed="false">
      <c r="A16" s="87" t="s">
        <v>134</v>
      </c>
      <c r="B16" s="88" t="n">
        <f aca="false">COUNTIFS(tbl_Activites[Statut de l''activite],A16)</f>
        <v>0</v>
      </c>
      <c r="D16" s="87" t="s">
        <v>324</v>
      </c>
      <c r="E16" s="88" t="n">
        <f aca="false">COUNTIFS(tbl_Activites[Type d''activite],D16)</f>
        <v>0</v>
      </c>
      <c r="G16" s="87" t="s">
        <v>159</v>
      </c>
      <c r="H16" s="88" t="n">
        <f aca="false">COUNTIFS(tbl_Activites[Domaine d''intervention (activite)],G16)</f>
        <v>0</v>
      </c>
    </row>
    <row r="17" customFormat="false" ht="15" hidden="false" customHeight="true" outlineLevel="0" collapsed="false">
      <c r="A17" s="87" t="s">
        <v>136</v>
      </c>
      <c r="B17" s="88" t="n">
        <f aca="false">COUNTIFS(tbl_Activites[Statut de l''activite],A17)</f>
        <v>0</v>
      </c>
      <c r="D17" s="87" t="s">
        <v>326</v>
      </c>
      <c r="E17" s="88" t="n">
        <f aca="false">COUNTIFS(tbl_Activites[Type d''activite],D17)</f>
        <v>0</v>
      </c>
      <c r="G17" s="87" t="s">
        <v>162</v>
      </c>
      <c r="H17" s="88" t="n">
        <f aca="false">COUNTIFS(tbl_Activites[Domaine d''intervention (activite)],G17)</f>
        <v>0</v>
      </c>
    </row>
    <row r="18" customFormat="false" ht="15" hidden="false" customHeight="true" outlineLevel="0" collapsed="false">
      <c r="A18" s="87" t="s">
        <v>138</v>
      </c>
      <c r="B18" s="88" t="n">
        <f aca="false">COUNTIFS(tbl_Activites[Statut de l''activite],A18)</f>
        <v>0</v>
      </c>
      <c r="D18" s="87" t="s">
        <v>328</v>
      </c>
      <c r="E18" s="88" t="n">
        <f aca="false">COUNTIFS(tbl_Activites[Type d''activite],D18)</f>
        <v>0</v>
      </c>
      <c r="G18" s="87" t="s">
        <v>165</v>
      </c>
      <c r="H18" s="88" t="n">
        <f aca="false">COUNTIFS(tbl_Activites[Domaine d''intervention (activite)],G18)</f>
        <v>0</v>
      </c>
    </row>
    <row r="19" customFormat="false" ht="15" hidden="false" customHeight="true" outlineLevel="0" collapsed="false">
      <c r="A19" s="87" t="s">
        <v>140</v>
      </c>
      <c r="B19" s="88" t="n">
        <f aca="false">COUNTIFS(tbl_Activites[Statut de l''activite],A19)</f>
        <v>0</v>
      </c>
      <c r="D19" s="87" t="s">
        <v>330</v>
      </c>
      <c r="E19" s="88" t="n">
        <f aca="false">COUNTIFS(tbl_Activites[Type d''activite],D19)</f>
        <v>0</v>
      </c>
      <c r="G19" s="87" t="s">
        <v>168</v>
      </c>
      <c r="H19" s="88" t="n">
        <f aca="false">COUNTIFS(tbl_Activites[Domaine d''intervention (activite)],G19)</f>
        <v>0</v>
      </c>
    </row>
    <row r="20" customFormat="false" ht="15" hidden="false" customHeight="true" outlineLevel="0" collapsed="false">
      <c r="A20" s="87" t="s">
        <v>142</v>
      </c>
      <c r="B20" s="88" t="n">
        <f aca="false">COUNTIFS(tbl_Activites[Statut de l''activite],A20)</f>
        <v>0</v>
      </c>
      <c r="D20" s="87" t="s">
        <v>332</v>
      </c>
      <c r="E20" s="88" t="n">
        <f aca="false">COUNTIFS(tbl_Activites[Type d''activite],D20)</f>
        <v>0</v>
      </c>
      <c r="G20" s="87" t="s">
        <v>171</v>
      </c>
      <c r="H20" s="88" t="n">
        <f aca="false">COUNTIFS(tbl_Activites[Domaine d''intervention (activite)],G20)</f>
        <v>0</v>
      </c>
    </row>
    <row r="21" customFormat="false" ht="15" hidden="false" customHeight="true" outlineLevel="0" collapsed="false">
      <c r="D21" s="87" t="s">
        <v>334</v>
      </c>
      <c r="E21" s="88" t="n">
        <f aca="false">COUNTIFS(tbl_Activites[Type d''activite],D21)</f>
        <v>0</v>
      </c>
      <c r="G21" s="87" t="s">
        <v>174</v>
      </c>
      <c r="H21" s="88" t="n">
        <f aca="false">COUNTIFS(tbl_Activites[Domaine d''intervention (activite)],G21)</f>
        <v>0</v>
      </c>
    </row>
    <row r="22" customFormat="false" ht="15" hidden="false" customHeight="true" outlineLevel="0" collapsed="false">
      <c r="D22" s="87" t="s">
        <v>336</v>
      </c>
      <c r="E22" s="88" t="n">
        <f aca="false">COUNTIFS(tbl_Activites[Type d''activite],D22)</f>
        <v>0</v>
      </c>
      <c r="G22" s="87" t="s">
        <v>178</v>
      </c>
      <c r="H22" s="88" t="n">
        <f aca="false">COUNTIFS(tbl_Activites[Domaine d''intervention (activite)],G22)</f>
        <v>0</v>
      </c>
    </row>
    <row r="23" customFormat="false" ht="15" hidden="false" customHeight="true" outlineLevel="0" collapsed="false">
      <c r="D23" s="87" t="s">
        <v>338</v>
      </c>
      <c r="E23" s="88" t="n">
        <f aca="false">COUNTIFS(tbl_Activites[Type d''activite],D23)</f>
        <v>0</v>
      </c>
      <c r="G23" s="87" t="s">
        <v>181</v>
      </c>
      <c r="H23" s="88" t="n">
        <f aca="false">COUNTIFS(tbl_Activites[Domaine d''intervention (activite)],G23)</f>
        <v>0</v>
      </c>
    </row>
    <row r="24" customFormat="false" ht="15" hidden="false" customHeight="true" outlineLevel="0" collapsed="false">
      <c r="D24" s="87" t="s">
        <v>340</v>
      </c>
      <c r="E24" s="88" t="n">
        <f aca="false">COUNTIFS(tbl_Activites[Type d''activite],D24)</f>
        <v>0</v>
      </c>
      <c r="G24" s="87" t="s">
        <v>184</v>
      </c>
      <c r="H24" s="88" t="n">
        <f aca="false">COUNTIFS(tbl_Activites[Domaine d''intervention (activite)],G24)</f>
        <v>0</v>
      </c>
    </row>
    <row r="25" customFormat="false" ht="15" hidden="false" customHeight="true" outlineLevel="0" collapsed="false">
      <c r="D25" s="87" t="s">
        <v>342</v>
      </c>
      <c r="E25" s="88" t="n">
        <f aca="false">COUNTIFS(tbl_Activites[Type d''activite],D25)</f>
        <v>0</v>
      </c>
      <c r="G25" s="87" t="s">
        <v>187</v>
      </c>
      <c r="H25" s="88" t="n">
        <f aca="false">COUNTIFS(tbl_Activites[Domaine d''intervention (activite)],G25)</f>
        <v>0</v>
      </c>
    </row>
    <row r="26" customFormat="false" ht="15" hidden="false" customHeight="true" outlineLevel="0" collapsed="false">
      <c r="D26" s="87" t="s">
        <v>344</v>
      </c>
      <c r="E26" s="88" t="n">
        <f aca="false">COUNTIFS(tbl_Activites[Type d''activite],D26)</f>
        <v>0</v>
      </c>
      <c r="G26" s="87" t="s">
        <v>190</v>
      </c>
      <c r="H26" s="88" t="n">
        <f aca="false">COUNTIFS(tbl_Activites[Domaine d''intervention (activite)],G26)</f>
        <v>0</v>
      </c>
    </row>
    <row r="27" customFormat="false" ht="15" hidden="false" customHeight="true" outlineLevel="0" collapsed="false">
      <c r="D27" s="87" t="s">
        <v>346</v>
      </c>
      <c r="E27" s="88" t="n">
        <f aca="false">COUNTIFS(tbl_Activites[Type d''activite],D27)</f>
        <v>0</v>
      </c>
      <c r="G27" s="87" t="s">
        <v>193</v>
      </c>
      <c r="H27" s="88" t="n">
        <f aca="false">COUNTIFS(tbl_Activites[Domaine d''intervention (activite)],G27)</f>
        <v>0</v>
      </c>
    </row>
    <row r="28" customFormat="false" ht="15" hidden="false" customHeight="true" outlineLevel="0" collapsed="false">
      <c r="D28" s="87" t="s">
        <v>348</v>
      </c>
      <c r="E28" s="88" t="n">
        <f aca="false">COUNTIFS(tbl_Activites[Type d''activite],D28)</f>
        <v>0</v>
      </c>
      <c r="G28" s="87" t="s">
        <v>196</v>
      </c>
      <c r="H28" s="88" t="n">
        <f aca="false">COUNTIFS(tbl_Activites[Domaine d''intervention (activite)],G28)</f>
        <v>0</v>
      </c>
    </row>
    <row r="29" customFormat="false" ht="15" hidden="false" customHeight="true" outlineLevel="0" collapsed="false">
      <c r="D29" s="87" t="s">
        <v>350</v>
      </c>
      <c r="E29" s="88" t="n">
        <f aca="false">COUNTIFS(tbl_Activites[Type d''activite],D29)</f>
        <v>0</v>
      </c>
      <c r="G29" s="87" t="s">
        <v>199</v>
      </c>
      <c r="H29" s="88" t="n">
        <f aca="false">COUNTIFS(tbl_Activites[Domaine d''intervention (activite)],G29)</f>
        <v>0</v>
      </c>
    </row>
    <row r="30" customFormat="false" ht="15" hidden="false" customHeight="true" outlineLevel="0" collapsed="false">
      <c r="D30" s="87" t="s">
        <v>352</v>
      </c>
      <c r="E30" s="88" t="n">
        <f aca="false">COUNTIFS(tbl_Activites[Type d''activite],D30)</f>
        <v>0</v>
      </c>
      <c r="G30" s="87" t="s">
        <v>202</v>
      </c>
      <c r="H30" s="88" t="n">
        <f aca="false">COUNTIFS(tbl_Activites[Domaine d''intervention (activite)],G30)</f>
        <v>0</v>
      </c>
    </row>
    <row r="31" customFormat="false" ht="15" hidden="false" customHeight="true" outlineLevel="0" collapsed="false">
      <c r="D31" s="87" t="s">
        <v>354</v>
      </c>
      <c r="E31" s="88" t="n">
        <f aca="false">COUNTIFS(tbl_Activites[Type d''activite],D31)</f>
        <v>0</v>
      </c>
      <c r="G31" s="87" t="s">
        <v>205</v>
      </c>
      <c r="H31" s="88" t="n">
        <f aca="false">COUNTIFS(tbl_Activites[Domaine d''intervention (activite)],G31)</f>
        <v>0</v>
      </c>
    </row>
    <row r="32" customFormat="false" ht="15" hidden="false" customHeight="true" outlineLevel="0" collapsed="false">
      <c r="D32" s="87" t="s">
        <v>356</v>
      </c>
      <c r="E32" s="88" t="n">
        <f aca="false">COUNTIFS(tbl_Activites[Type d''activite],D32)</f>
        <v>0</v>
      </c>
      <c r="G32" s="87" t="s">
        <v>208</v>
      </c>
      <c r="H32" s="88" t="n">
        <f aca="false">COUNTIFS(tbl_Activites[Domaine d''intervention (activite)],G32)</f>
        <v>0</v>
      </c>
    </row>
    <row r="33" customFormat="false" ht="15" hidden="false" customHeight="true" outlineLevel="0" collapsed="false">
      <c r="D33" s="87" t="s">
        <v>358</v>
      </c>
      <c r="E33" s="88" t="n">
        <f aca="false">COUNTIFS(tbl_Activites[Type d''activite],D33)</f>
        <v>0</v>
      </c>
      <c r="G33" s="87" t="s">
        <v>211</v>
      </c>
      <c r="H33" s="88" t="n">
        <f aca="false">COUNTIFS(tbl_Activites[Domaine d''intervention (activite)],G33)</f>
        <v>0</v>
      </c>
    </row>
    <row r="34" customFormat="false" ht="15" hidden="false" customHeight="true" outlineLevel="0" collapsed="false">
      <c r="D34" s="87" t="s">
        <v>360</v>
      </c>
      <c r="E34" s="88" t="n">
        <f aca="false">COUNTIFS(tbl_Activites[Type d''activite],D34)</f>
        <v>0</v>
      </c>
      <c r="G34" s="87" t="s">
        <v>214</v>
      </c>
      <c r="H34" s="88" t="n">
        <f aca="false">COUNTIFS(tbl_Activites[Domaine d''intervention (activite)],G34)</f>
        <v>0</v>
      </c>
    </row>
    <row r="35" customFormat="false" ht="15" hidden="false" customHeight="true" outlineLevel="0" collapsed="false">
      <c r="D35" s="87" t="s">
        <v>362</v>
      </c>
      <c r="E35" s="88" t="n">
        <f aca="false">COUNTIFS(tbl_Activites[Type d''activite],D35)</f>
        <v>0</v>
      </c>
      <c r="G35" s="87" t="s">
        <v>217</v>
      </c>
      <c r="H35" s="88" t="n">
        <f aca="false">COUNTIFS(tbl_Activites[Domaine d''intervention (activite)],G35)</f>
        <v>0</v>
      </c>
    </row>
    <row r="36" customFormat="false" ht="15" hidden="false" customHeight="true" outlineLevel="0" collapsed="false">
      <c r="D36" s="87" t="s">
        <v>364</v>
      </c>
      <c r="E36" s="88" t="n">
        <f aca="false">COUNTIFS(tbl_Activites[Type d''activite],D36)</f>
        <v>0</v>
      </c>
      <c r="G36" s="87" t="s">
        <v>220</v>
      </c>
      <c r="H36" s="88" t="n">
        <f aca="false">COUNTIFS(tbl_Activites[Domaine d''intervention (activite)],G36)</f>
        <v>0</v>
      </c>
    </row>
    <row r="37" customFormat="false" ht="15" hidden="false" customHeight="true" outlineLevel="0" collapsed="false">
      <c r="D37" s="87" t="s">
        <v>366</v>
      </c>
      <c r="E37" s="88" t="n">
        <f aca="false">COUNTIFS(tbl_Activites[Type d''activite],D37)</f>
        <v>0</v>
      </c>
      <c r="G37" s="87" t="s">
        <v>223</v>
      </c>
      <c r="H37" s="88" t="n">
        <f aca="false">COUNTIFS(tbl_Activites[Domaine d''intervention (activite)],G37)</f>
        <v>0</v>
      </c>
    </row>
    <row r="38" customFormat="false" ht="15" hidden="false" customHeight="true" outlineLevel="0" collapsed="false">
      <c r="D38" s="87" t="s">
        <v>368</v>
      </c>
      <c r="E38" s="88" t="n">
        <f aca="false">COUNTIFS(tbl_Activites[Type d''activite],D38)</f>
        <v>0</v>
      </c>
      <c r="G38" s="87" t="s">
        <v>226</v>
      </c>
      <c r="H38" s="88" t="n">
        <f aca="false">COUNTIFS(tbl_Activites[Domaine d''intervention (activite)],G38)</f>
        <v>0</v>
      </c>
    </row>
    <row r="39" customFormat="false" ht="15" hidden="false" customHeight="true" outlineLevel="0" collapsed="false">
      <c r="D39" s="87" t="s">
        <v>370</v>
      </c>
      <c r="E39" s="88" t="n">
        <f aca="false">COUNTIFS(tbl_Activites[Type d''activite],D39)</f>
        <v>0</v>
      </c>
      <c r="G39" s="87" t="s">
        <v>229</v>
      </c>
      <c r="H39" s="88" t="n">
        <f aca="false">COUNTIFS(tbl_Activites[Domaine d''intervention (activite)],G39)</f>
        <v>0</v>
      </c>
    </row>
    <row r="40" customFormat="false" ht="15" hidden="false" customHeight="true" outlineLevel="0" collapsed="false">
      <c r="D40" s="87" t="s">
        <v>372</v>
      </c>
      <c r="E40" s="88" t="n">
        <f aca="false">COUNTIFS(tbl_Activites[Type d''activite],D40)</f>
        <v>0</v>
      </c>
      <c r="G40" s="87" t="s">
        <v>232</v>
      </c>
      <c r="H40" s="88" t="n">
        <f aca="false">COUNTIFS(tbl_Activites[Domaine d''intervention (activite)],G40)</f>
        <v>0</v>
      </c>
    </row>
    <row r="41" customFormat="false" ht="15" hidden="false" customHeight="true" outlineLevel="0" collapsed="false">
      <c r="D41" s="87" t="s">
        <v>314</v>
      </c>
      <c r="E41" s="88" t="n">
        <f aca="false">COUNTIFS(tbl_Activites[Type d''activite],D41)</f>
        <v>0</v>
      </c>
      <c r="G41" s="87" t="s">
        <v>235</v>
      </c>
      <c r="H41" s="88" t="n">
        <f aca="false">COUNTIFS(tbl_Activites[Domaine d''intervention (activite)],G41)</f>
        <v>0</v>
      </c>
    </row>
    <row r="42" customFormat="false" ht="15" hidden="false" customHeight="true" outlineLevel="0" collapsed="false">
      <c r="G42" s="87" t="s">
        <v>238</v>
      </c>
      <c r="H42" s="88" t="n">
        <f aca="false">COUNTIFS(tbl_Activites[Domaine d''intervention (activite)],G42)</f>
        <v>0</v>
      </c>
    </row>
    <row r="43" customFormat="false" ht="15" hidden="false" customHeight="true" outlineLevel="0" collapsed="false">
      <c r="G43" s="87" t="s">
        <v>241</v>
      </c>
      <c r="H43" s="88" t="n">
        <f aca="false">COUNTIFS(tbl_Activites[Domaine d''intervention (activite)],G43)</f>
        <v>0</v>
      </c>
    </row>
    <row r="44" customFormat="false" ht="15" hidden="false" customHeight="true" outlineLevel="0" collapsed="false">
      <c r="G44" s="87" t="s">
        <v>244</v>
      </c>
      <c r="H44" s="88" t="n">
        <f aca="false">COUNTIFS(tbl_Activites[Domaine d''intervention (activite)],G44)</f>
        <v>0</v>
      </c>
    </row>
    <row r="45" customFormat="false" ht="15" hidden="false" customHeight="true" outlineLevel="0" collapsed="false">
      <c r="G45" s="87" t="s">
        <v>247</v>
      </c>
      <c r="H45" s="88" t="n">
        <f aca="false">COUNTIFS(tbl_Activites[Domaine d''intervention (activite)],G45)</f>
        <v>0</v>
      </c>
    </row>
    <row r="46" customFormat="false" ht="15" hidden="false" customHeight="true" outlineLevel="0" collapsed="false">
      <c r="G46" s="87" t="s">
        <v>250</v>
      </c>
      <c r="H46" s="88" t="n">
        <f aca="false">COUNTIFS(tbl_Activites[Domaine d''intervention (activite)],G46)</f>
        <v>0</v>
      </c>
    </row>
    <row r="47" customFormat="false" ht="15" hidden="false" customHeight="true" outlineLevel="0" collapsed="false">
      <c r="G47" s="87" t="s">
        <v>253</v>
      </c>
      <c r="H47" s="88" t="n">
        <f aca="false">COUNTIFS(tbl_Activites[Domaine d''intervention (activite)],G47)</f>
        <v>0</v>
      </c>
    </row>
    <row r="48" customFormat="false" ht="15" hidden="false" customHeight="true" outlineLevel="0" collapsed="false">
      <c r="G48" s="87" t="s">
        <v>256</v>
      </c>
      <c r="H48" s="88" t="n">
        <f aca="false">COUNTIFS(tbl_Activites[Domaine d''intervention (activite)],G48)</f>
        <v>0</v>
      </c>
    </row>
    <row r="49" customFormat="false" ht="15" hidden="false" customHeight="true" outlineLevel="0" collapsed="false">
      <c r="G49" s="87" t="s">
        <v>259</v>
      </c>
      <c r="H49" s="88" t="n">
        <f aca="false">COUNTIFS(tbl_Activites[Domaine d''intervention (activite)],G49)</f>
        <v>0</v>
      </c>
    </row>
    <row r="50" customFormat="false" ht="15" hidden="false" customHeight="true" outlineLevel="0" collapsed="false">
      <c r="G50" s="87" t="s">
        <v>262</v>
      </c>
      <c r="H50" s="88" t="n">
        <f aca="false">COUNTIFS(tbl_Activites[Domaine d''intervention (activite)],G50)</f>
        <v>0</v>
      </c>
    </row>
    <row r="51" customFormat="false" ht="15" hidden="false" customHeight="true" outlineLevel="0" collapsed="false">
      <c r="G51" s="87" t="s">
        <v>265</v>
      </c>
      <c r="H51" s="88" t="n">
        <f aca="false">COUNTIFS(tbl_Activites[Domaine d''intervention (activite)],G51)</f>
        <v>0</v>
      </c>
    </row>
    <row r="54" customFormat="false" ht="15.75" hidden="false" customHeight="true" outlineLevel="0" collapsed="false">
      <c r="A54" s="55" t="s">
        <v>1695</v>
      </c>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row>
    <row r="55" customFormat="false" ht="30" hidden="false" customHeight="true" outlineLevel="0" collapsed="false">
      <c r="A55" s="59" t="s">
        <v>1696</v>
      </c>
      <c r="B55" s="59" t="s">
        <v>1571</v>
      </c>
      <c r="C55" s="59" t="s">
        <v>1570</v>
      </c>
      <c r="D55" s="59" t="s">
        <v>1508</v>
      </c>
      <c r="E55" s="59" t="s">
        <v>1697</v>
      </c>
      <c r="F55" s="59" t="s">
        <v>1698</v>
      </c>
      <c r="G55" s="59" t="s">
        <v>1699</v>
      </c>
      <c r="H55" s="59" t="s">
        <v>143</v>
      </c>
      <c r="I55" s="59" t="s">
        <v>1700</v>
      </c>
      <c r="J55" s="59" t="s">
        <v>1545</v>
      </c>
      <c r="K55" s="59" t="s">
        <v>1701</v>
      </c>
      <c r="L55" s="59" t="s">
        <v>1667</v>
      </c>
      <c r="M55" s="59" t="s">
        <v>1702</v>
      </c>
      <c r="N55" s="59" t="s">
        <v>1703</v>
      </c>
      <c r="O55" s="59" t="s">
        <v>1704</v>
      </c>
      <c r="P55" s="59" t="s">
        <v>1408</v>
      </c>
      <c r="Q55" s="59" t="s">
        <v>67</v>
      </c>
      <c r="R55" s="59" t="s">
        <v>68</v>
      </c>
      <c r="S55" s="59" t="s">
        <v>53</v>
      </c>
      <c r="T55" s="59" t="s">
        <v>1668</v>
      </c>
      <c r="U55" s="59" t="s">
        <v>1705</v>
      </c>
      <c r="V55" s="59" t="s">
        <v>1706</v>
      </c>
      <c r="W55" s="59" t="s">
        <v>1707</v>
      </c>
      <c r="X55" s="59" t="s">
        <v>1708</v>
      </c>
      <c r="Y55" s="59" t="s">
        <v>1709</v>
      </c>
      <c r="Z55" s="59" t="s">
        <v>1693</v>
      </c>
      <c r="AA55" s="59" t="s">
        <v>1710</v>
      </c>
      <c r="AB55" s="59" t="s">
        <v>1711</v>
      </c>
      <c r="AC55" s="59" t="s">
        <v>1581</v>
      </c>
      <c r="AD55" s="59" t="s">
        <v>1712</v>
      </c>
      <c r="AE55" s="59" t="s">
        <v>1583</v>
      </c>
      <c r="AF55" s="59" t="s">
        <v>1584</v>
      </c>
      <c r="AG55" s="59" t="s">
        <v>1585</v>
      </c>
      <c r="AH55" s="59" t="s">
        <v>882</v>
      </c>
      <c r="AI55" s="59" t="s">
        <v>874</v>
      </c>
      <c r="AJ55" s="59" t="s">
        <v>876</v>
      </c>
      <c r="AK55" s="59" t="s">
        <v>878</v>
      </c>
      <c r="AL55" s="59" t="s">
        <v>880</v>
      </c>
      <c r="AM55" s="59" t="s">
        <v>1713</v>
      </c>
      <c r="AN55" s="59" t="s">
        <v>1714</v>
      </c>
      <c r="AO55" s="59" t="s">
        <v>1601</v>
      </c>
      <c r="AP55" s="59" t="s">
        <v>1715</v>
      </c>
      <c r="AQ55" s="59" t="s">
        <v>1716</v>
      </c>
      <c r="AR55" s="59" t="s">
        <v>1717</v>
      </c>
      <c r="AS55" s="59" t="s">
        <v>1718</v>
      </c>
      <c r="AT55" s="59" t="s">
        <v>1719</v>
      </c>
      <c r="AU55" s="59" t="s">
        <v>1720</v>
      </c>
      <c r="AV55" s="59" t="s">
        <v>1721</v>
      </c>
      <c r="AW55" s="59" t="s">
        <v>1722</v>
      </c>
      <c r="AX55" s="59" t="s">
        <v>1723</v>
      </c>
      <c r="AY55" s="59" t="s">
        <v>1724</v>
      </c>
      <c r="AZ55" s="59" t="s">
        <v>1725</v>
      </c>
      <c r="BA55" s="59" t="s">
        <v>1726</v>
      </c>
      <c r="BB55" s="59" t="s">
        <v>1727</v>
      </c>
      <c r="BC55" s="59" t="s">
        <v>1728</v>
      </c>
      <c r="BD55" s="59" t="s">
        <v>1595</v>
      </c>
      <c r="BE55" s="59" t="s">
        <v>1729</v>
      </c>
      <c r="BF55" s="59" t="s">
        <v>1599</v>
      </c>
      <c r="BG55" s="59" t="s">
        <v>1730</v>
      </c>
      <c r="BH55" s="59" t="s">
        <v>1656</v>
      </c>
      <c r="BI55" s="59" t="s">
        <v>1731</v>
      </c>
      <c r="BJ55" s="59" t="s">
        <v>1732</v>
      </c>
      <c r="BK55" s="59" t="s">
        <v>1733</v>
      </c>
      <c r="BL55" s="59" t="s">
        <v>1734</v>
      </c>
      <c r="BM55" s="59" t="s">
        <v>1735</v>
      </c>
      <c r="BN55" s="59" t="s">
        <v>1736</v>
      </c>
      <c r="BO55" s="59" t="s">
        <v>1737</v>
      </c>
      <c r="BP55" s="59" t="s">
        <v>1738</v>
      </c>
      <c r="BQ55" s="59" t="s">
        <v>1739</v>
      </c>
      <c r="BR55" s="59" t="s">
        <v>1740</v>
      </c>
      <c r="BS55" s="59" t="s">
        <v>1741</v>
      </c>
      <c r="BT55" s="59" t="s">
        <v>1742</v>
      </c>
      <c r="BU55" s="59" t="s">
        <v>1743</v>
      </c>
      <c r="BV55" s="59" t="s">
        <v>1744</v>
      </c>
      <c r="BW55" s="59" t="s">
        <v>1745</v>
      </c>
      <c r="BX55" s="59" t="s">
        <v>1746</v>
      </c>
      <c r="BY55" s="59" t="s">
        <v>1747</v>
      </c>
      <c r="BZ55" s="59" t="s">
        <v>1748</v>
      </c>
      <c r="CA55" s="59" t="s">
        <v>1749</v>
      </c>
      <c r="CB55" s="59" t="s">
        <v>1750</v>
      </c>
      <c r="CC55" s="59" t="s">
        <v>1751</v>
      </c>
      <c r="CD55" s="59" t="s">
        <v>1618</v>
      </c>
      <c r="CE55" s="59" t="s">
        <v>1752</v>
      </c>
      <c r="CF55" s="59" t="s">
        <v>1753</v>
      </c>
      <c r="CG55" s="59" t="s">
        <v>1754</v>
      </c>
      <c r="CH55" s="59" t="s">
        <v>1755</v>
      </c>
      <c r="CI55" s="59" t="s">
        <v>1756</v>
      </c>
      <c r="CJ55" s="59" t="s">
        <v>1757</v>
      </c>
      <c r="CK55" s="59" t="s">
        <v>1758</v>
      </c>
      <c r="CL55" s="59" t="s">
        <v>1759</v>
      </c>
      <c r="CM55" s="59" t="s">
        <v>1621</v>
      </c>
      <c r="CN55" s="59" t="s">
        <v>1533</v>
      </c>
    </row>
    <row r="56" customFormat="false" ht="30" hidden="false" customHeight="true" outlineLevel="0" collapsed="false">
      <c r="A56" s="61" t="str">
        <f aca="false">IF(G56="","","ACT"&amp;TEXT(ROW()-55,"00000"))</f>
        <v>ACT00001</v>
      </c>
      <c r="B56" s="89"/>
      <c r="C56" s="86" t="s">
        <v>1539</v>
      </c>
      <c r="D56" s="90" t="str">
        <f aca="false">IFERROR(INDEX(tbl_Projets[Titre complet du projet],MATCH(C56,tbl_Projets[ID Projet],0)),"")</f>
        <v>Projet d'appui a l'insertion professionnelle des jeunes</v>
      </c>
      <c r="E56" s="61" t="str">
        <f aca="false">IFERROR(INDEX(tbl_Projets[Domaine d''intervention],MATCH(C56,tbl_Projets[ID Projet],0)),"")</f>
        <v>Education</v>
      </c>
      <c r="F56" s="61" t="str">
        <f aca="false">IFERROR(INDEX(tbl_Projets[Nom du responsable],MATCH(C56,tbl_Projets[ID Projet],0)),"")</f>
        <v>Jean MABIALA</v>
      </c>
      <c r="G56" s="89" t="s">
        <v>1760</v>
      </c>
      <c r="H56" s="89"/>
      <c r="I56" s="89"/>
      <c r="J56" s="86"/>
      <c r="K56" s="86"/>
      <c r="L56" s="79" t="n">
        <v>46285</v>
      </c>
      <c r="M56" s="91"/>
      <c r="N56" s="91"/>
      <c r="O56" s="92" t="str">
        <f aca="false">IF(OR(M56="",N56=""),"",(N56-M56)*24)</f>
        <v/>
      </c>
      <c r="P56" s="86"/>
      <c r="Q56" s="93" t="str">
        <f aca="false">IF(L56="","",INDEX(PARAMETRES!$B$53:$B$65,MONTH(L56)))</f>
        <v>Septembre</v>
      </c>
      <c r="R56" s="93" t="str">
        <f aca="false">IF(L56="","",INDEX(PARAMETRES!$C$53:$C$65,MONTH(L56)))</f>
        <v>T3</v>
      </c>
      <c r="S56" s="61" t="n">
        <f aca="false">IF(L56="","",YEAR(L56))</f>
        <v>2026</v>
      </c>
      <c r="T56" s="79" t="n">
        <v>46290</v>
      </c>
      <c r="U56" s="94" t="s">
        <v>1761</v>
      </c>
      <c r="V56" s="91"/>
      <c r="W56" s="92" t="str">
        <f aca="false">IF(OR(U56="",V56=""),"",(V56-U56)*24)</f>
        <v/>
      </c>
      <c r="X56" s="86" t="s">
        <v>148</v>
      </c>
      <c r="Y56" s="83"/>
      <c r="Z56" s="86" t="s">
        <v>114</v>
      </c>
      <c r="AA56" s="81" t="n">
        <f aca="false">IF(AND(L56&lt;&gt;"",T56&lt;&gt;""),T56-L56,"")</f>
        <v>5</v>
      </c>
      <c r="AB56" s="61" t="str">
        <f aca="true">IF(L56="","",IF(AND(TODAY()&gt;L56,T56="",NOT(OR(Z56="Realisee",Z56="Annulee"))),"OUI","NON"))</f>
        <v>NON</v>
      </c>
      <c r="AC56" s="89"/>
      <c r="AD56" s="89"/>
      <c r="AE56" s="86"/>
      <c r="AF56" s="89"/>
      <c r="AG56" s="89"/>
      <c r="AH56" s="86"/>
      <c r="AI56" s="61" t="str">
        <f aca="false">IFERROR(INDEX(PARAMETRES!$B$536:$B$586,MATCH(AH56,PARAMETRES!$J$536:$J$586,0)),"")</f>
        <v/>
      </c>
      <c r="AJ56" s="61" t="str">
        <f aca="false">IFERROR(INDEX(PARAMETRES!$D$536:$D$586,MATCH(AH56,PARAMETRES!$J$536:$J$586,0)),"")</f>
        <v/>
      </c>
      <c r="AK56" s="61" t="str">
        <f aca="false">IFERROR(INDEX(PARAMETRES!$F$536:$F$586,MATCH(AH56,PARAMETRES!$J$536:$J$586,0)),"")</f>
        <v/>
      </c>
      <c r="AL56" s="61" t="str">
        <f aca="false">IFERROR(INDEX(PARAMETRES!$H$536:$H$586,MATCH(AH56,PARAMETRES!$J$536:$J$586,0)),"")</f>
        <v/>
      </c>
      <c r="AM56" s="89"/>
      <c r="AN56" s="89"/>
      <c r="AO56" s="80"/>
      <c r="AP56" s="80"/>
      <c r="AQ56" s="80"/>
      <c r="AR56" s="80"/>
      <c r="AS56" s="80"/>
      <c r="AT56" s="80"/>
      <c r="AU56" s="80"/>
      <c r="AV56" s="81" t="n">
        <f aca="false">IF(A56="",0,COUNTIFS(tbl_Beneficiaires_Activites[ID activite],A56))</f>
        <v>0</v>
      </c>
      <c r="AW56" s="80"/>
      <c r="AX56" s="80"/>
      <c r="AY56" s="80"/>
      <c r="AZ56" s="86"/>
      <c r="BA56" s="86"/>
      <c r="BB56" s="89"/>
      <c r="BC56" s="80"/>
      <c r="BD56" s="80"/>
      <c r="BE56" s="80"/>
      <c r="BF56" s="81" t="n">
        <f aca="false">IF(BD56="",0,BD56)-IF(BE56="",0,BE56)</f>
        <v>0</v>
      </c>
      <c r="BG56" s="82" t="n">
        <f aca="false">IF(OR(BD56="",BD56=0),0,BE56/BD56)</f>
        <v>0</v>
      </c>
      <c r="BH56" s="86" t="s">
        <v>516</v>
      </c>
      <c r="BI56" s="89"/>
      <c r="BJ56" s="80"/>
      <c r="BK56" s="80"/>
      <c r="BL56" s="86"/>
      <c r="BM56" s="89"/>
      <c r="BN56" s="89"/>
      <c r="BO56" s="89"/>
      <c r="BP56" s="89"/>
      <c r="BQ56" s="80"/>
      <c r="BR56" s="86"/>
      <c r="BS56" s="89"/>
      <c r="BT56" s="89"/>
      <c r="BU56" s="89"/>
      <c r="BV56" s="81" t="str">
        <f aca="false">IF(OR(AO56="",AV56=""),"",AV56-AO56)</f>
        <v/>
      </c>
      <c r="BW56" s="81" t="str">
        <f aca="false">IF(OR(BE56="",BD56=""),"",BE56-BD56)</f>
        <v/>
      </c>
      <c r="BX56" s="86"/>
      <c r="BY56" s="86"/>
      <c r="BZ56" s="86"/>
      <c r="CA56" s="86"/>
      <c r="CB56" s="89"/>
      <c r="CC56" s="89"/>
      <c r="CD56" s="83"/>
      <c r="CE56" s="86" t="s">
        <v>148</v>
      </c>
      <c r="CF56" s="79"/>
      <c r="CG56" s="89"/>
      <c r="CH56" s="86"/>
      <c r="CI56" s="89"/>
      <c r="CJ56" s="89"/>
      <c r="CK56" s="81" t="n">
        <f aca="false">IF(A56="",0,COUNTIF(tbl_Activites_Documents[ID Activite],A56))</f>
        <v>0</v>
      </c>
      <c r="CL56" s="81" t="n">
        <f aca="false">IF(A56="",0,COUNTIF(tbl_Activites_Risques[ID Activite],A56))</f>
        <v>0</v>
      </c>
      <c r="CM56" s="61" t="str">
        <f aca="false">IF(A56="","",IF(BE56&gt;BD56,"OUI","NON"))</f>
        <v>NON</v>
      </c>
      <c r="CN56" s="89"/>
    </row>
    <row r="57" customFormat="false" ht="30" hidden="false" customHeight="true" outlineLevel="0" collapsed="false">
      <c r="A57" s="61" t="str">
        <f aca="false">IF(G57="","","ACT"&amp;TEXT(ROW()-55,"00000"))</f>
        <v/>
      </c>
      <c r="B57" s="89"/>
      <c r="C57" s="86"/>
      <c r="D57" s="90" t="n">
        <f aca="false">IFERROR(INDEX(tbl_Projets[Titre complet du projet],MATCH(C57,tbl_Projets[ID Projet],0)),"")</f>
        <v>0</v>
      </c>
      <c r="E57" s="61" t="n">
        <f aca="false">IFERROR(INDEX(tbl_Projets[Domaine d''intervention],MATCH(C57,tbl_Projets[ID Projet],0)),"")</f>
        <v>0</v>
      </c>
      <c r="F57" s="61" t="n">
        <f aca="false">IFERROR(INDEX(tbl_Projets[Nom du responsable],MATCH(C57,tbl_Projets[ID Projet],0)),"")</f>
        <v>0</v>
      </c>
      <c r="G57" s="89"/>
      <c r="H57" s="89"/>
      <c r="I57" s="89"/>
      <c r="J57" s="86"/>
      <c r="K57" s="86"/>
      <c r="L57" s="79"/>
      <c r="M57" s="91"/>
      <c r="N57" s="91"/>
      <c r="O57" s="92" t="str">
        <f aca="false">IF(OR(M57="",N57=""),"",(N57-M57)*24)</f>
        <v/>
      </c>
      <c r="P57" s="86"/>
      <c r="Q57" s="93" t="str">
        <f aca="false">IF(L57="","",INDEX(PARAMETRES!$B$53:$B$65,MONTH(L57)))</f>
        <v/>
      </c>
      <c r="R57" s="93" t="str">
        <f aca="false">IF(L57="","",INDEX(PARAMETRES!$C$53:$C$65,MONTH(L57)))</f>
        <v/>
      </c>
      <c r="S57" s="61" t="str">
        <f aca="false">IF(L57="","",YEAR(L57))</f>
        <v/>
      </c>
      <c r="T57" s="79"/>
      <c r="U57" s="91"/>
      <c r="V57" s="91"/>
      <c r="W57" s="92" t="str">
        <f aca="false">IF(OR(U57="",V57=""),"",(V57-U57)*24)</f>
        <v/>
      </c>
      <c r="X57" s="86"/>
      <c r="Y57" s="83"/>
      <c r="Z57" s="86"/>
      <c r="AA57" s="81" t="str">
        <f aca="false">IF(AND(L57&lt;&gt;"",T57&lt;&gt;""),T57-L57,"")</f>
        <v/>
      </c>
      <c r="AB57" s="61" t="str">
        <f aca="true">IF(L57="","",IF(AND(TODAY()&gt;L57,T57="",NOT(OR(Z57="Realisee",Z57="Annulee"))),"OUI","NON"))</f>
        <v/>
      </c>
      <c r="AC57" s="89"/>
      <c r="AD57" s="89"/>
      <c r="AE57" s="86"/>
      <c r="AF57" s="89"/>
      <c r="AG57" s="89"/>
      <c r="AH57" s="86"/>
      <c r="AI57" s="61" t="str">
        <f aca="false">IFERROR(INDEX(PARAMETRES!$B$536:$B$586,MATCH(AH57,PARAMETRES!$J$536:$J$586,0)),"")</f>
        <v/>
      </c>
      <c r="AJ57" s="61" t="str">
        <f aca="false">IFERROR(INDEX(PARAMETRES!$D$536:$D$586,MATCH(AH57,PARAMETRES!$J$536:$J$586,0)),"")</f>
        <v/>
      </c>
      <c r="AK57" s="61" t="str">
        <f aca="false">IFERROR(INDEX(PARAMETRES!$F$536:$F$586,MATCH(AH57,PARAMETRES!$J$536:$J$586,0)),"")</f>
        <v/>
      </c>
      <c r="AL57" s="61" t="str">
        <f aca="false">IFERROR(INDEX(PARAMETRES!$H$536:$H$586,MATCH(AH57,PARAMETRES!$J$536:$J$586,0)),"")</f>
        <v/>
      </c>
      <c r="AM57" s="89"/>
      <c r="AN57" s="89"/>
      <c r="AO57" s="80"/>
      <c r="AP57" s="80"/>
      <c r="AQ57" s="80"/>
      <c r="AR57" s="80"/>
      <c r="AS57" s="80"/>
      <c r="AT57" s="80"/>
      <c r="AU57" s="80"/>
      <c r="AV57" s="81" t="n">
        <f aca="false">IF(A57="",0,COUNTIFS(tbl_Beneficiaires_Activites[ID activite],A57))</f>
        <v>0</v>
      </c>
      <c r="AW57" s="80"/>
      <c r="AX57" s="80"/>
      <c r="AY57" s="80"/>
      <c r="AZ57" s="86"/>
      <c r="BA57" s="86"/>
      <c r="BB57" s="89"/>
      <c r="BC57" s="80"/>
      <c r="BD57" s="80"/>
      <c r="BE57" s="80"/>
      <c r="BF57" s="81" t="n">
        <f aca="false">IF(BD57="",0,BD57)-IF(BE57="",0,BE57)</f>
        <v>0</v>
      </c>
      <c r="BG57" s="82" t="n">
        <f aca="false">IF(OR(BD57="",BD57=0),0,BE57/BD57)</f>
        <v>0</v>
      </c>
      <c r="BH57" s="86"/>
      <c r="BI57" s="89"/>
      <c r="BJ57" s="80"/>
      <c r="BK57" s="80"/>
      <c r="BL57" s="86"/>
      <c r="BM57" s="89"/>
      <c r="BN57" s="89"/>
      <c r="BO57" s="89"/>
      <c r="BP57" s="89"/>
      <c r="BQ57" s="80"/>
      <c r="BR57" s="86"/>
      <c r="BS57" s="89"/>
      <c r="BT57" s="89"/>
      <c r="BU57" s="89"/>
      <c r="BV57" s="81" t="str">
        <f aca="false">IF(OR(AO57="",AV57=""),"",AV57-AO57)</f>
        <v/>
      </c>
      <c r="BW57" s="81" t="str">
        <f aca="false">IF(OR(BE57="",BD57=""),"",BE57-BD57)</f>
        <v/>
      </c>
      <c r="BX57" s="86"/>
      <c r="BY57" s="86"/>
      <c r="BZ57" s="86"/>
      <c r="CA57" s="86"/>
      <c r="CB57" s="89"/>
      <c r="CC57" s="89"/>
      <c r="CD57" s="83"/>
      <c r="CE57" s="86"/>
      <c r="CF57" s="79"/>
      <c r="CG57" s="89"/>
      <c r="CH57" s="86"/>
      <c r="CI57" s="89"/>
      <c r="CJ57" s="89"/>
      <c r="CK57" s="81" t="n">
        <f aca="false">IF(A57="",0,COUNTIF(tbl_Activites_Documents[ID Activite],A57))</f>
        <v>0</v>
      </c>
      <c r="CL57" s="81" t="n">
        <f aca="false">IF(A57="",0,COUNTIF(tbl_Activites_Risques[ID Activite],A57))</f>
        <v>0</v>
      </c>
      <c r="CM57" s="61" t="str">
        <f aca="false">IF(A57="","",IF(BE57&gt;BD57,"OUI","NON"))</f>
        <v/>
      </c>
      <c r="CN57" s="89"/>
    </row>
    <row r="58" customFormat="false" ht="30" hidden="false" customHeight="true" outlineLevel="0" collapsed="false">
      <c r="A58" s="61" t="str">
        <f aca="false">IF(G58="","","ACT"&amp;TEXT(ROW()-55,"00000"))</f>
        <v/>
      </c>
      <c r="B58" s="89"/>
      <c r="C58" s="86"/>
      <c r="D58" s="90" t="n">
        <f aca="false">IFERROR(INDEX(tbl_Projets[Titre complet du projet],MATCH(C58,tbl_Projets[ID Projet],0)),"")</f>
        <v>0</v>
      </c>
      <c r="E58" s="61" t="n">
        <f aca="false">IFERROR(INDEX(tbl_Projets[Domaine d''intervention],MATCH(C58,tbl_Projets[ID Projet],0)),"")</f>
        <v>0</v>
      </c>
      <c r="F58" s="61" t="n">
        <f aca="false">IFERROR(INDEX(tbl_Projets[Nom du responsable],MATCH(C58,tbl_Projets[ID Projet],0)),"")</f>
        <v>0</v>
      </c>
      <c r="G58" s="89"/>
      <c r="H58" s="89"/>
      <c r="I58" s="89"/>
      <c r="J58" s="86"/>
      <c r="K58" s="86"/>
      <c r="L58" s="79"/>
      <c r="M58" s="91"/>
      <c r="N58" s="91"/>
      <c r="O58" s="92" t="str">
        <f aca="false">IF(OR(M58="",N58=""),"",(N58-M58)*24)</f>
        <v/>
      </c>
      <c r="P58" s="86"/>
      <c r="Q58" s="93" t="str">
        <f aca="false">IF(L58="","",INDEX(PARAMETRES!$B$53:$B$65,MONTH(L58)))</f>
        <v/>
      </c>
      <c r="R58" s="93" t="str">
        <f aca="false">IF(L58="","",INDEX(PARAMETRES!$C$53:$C$65,MONTH(L58)))</f>
        <v/>
      </c>
      <c r="S58" s="61" t="str">
        <f aca="false">IF(L58="","",YEAR(L58))</f>
        <v/>
      </c>
      <c r="T58" s="79"/>
      <c r="U58" s="91"/>
      <c r="V58" s="91"/>
      <c r="W58" s="92" t="str">
        <f aca="false">IF(OR(U58="",V58=""),"",(V58-U58)*24)</f>
        <v/>
      </c>
      <c r="X58" s="86"/>
      <c r="Y58" s="83"/>
      <c r="Z58" s="86"/>
      <c r="AA58" s="81" t="str">
        <f aca="false">IF(AND(L58&lt;&gt;"",T58&lt;&gt;""),T58-L58,"")</f>
        <v/>
      </c>
      <c r="AB58" s="61" t="str">
        <f aca="true">IF(L58="","",IF(AND(TODAY()&gt;L58,T58="",NOT(OR(Z58="Realisee",Z58="Annulee"))),"OUI","NON"))</f>
        <v/>
      </c>
      <c r="AC58" s="89"/>
      <c r="AD58" s="89"/>
      <c r="AE58" s="86"/>
      <c r="AF58" s="89"/>
      <c r="AG58" s="89"/>
      <c r="AH58" s="86"/>
      <c r="AI58" s="61" t="str">
        <f aca="false">IFERROR(INDEX(PARAMETRES!$B$536:$B$586,MATCH(AH58,PARAMETRES!$J$536:$J$586,0)),"")</f>
        <v/>
      </c>
      <c r="AJ58" s="61" t="str">
        <f aca="false">IFERROR(INDEX(PARAMETRES!$D$536:$D$586,MATCH(AH58,PARAMETRES!$J$536:$J$586,0)),"")</f>
        <v/>
      </c>
      <c r="AK58" s="61" t="str">
        <f aca="false">IFERROR(INDEX(PARAMETRES!$F$536:$F$586,MATCH(AH58,PARAMETRES!$J$536:$J$586,0)),"")</f>
        <v/>
      </c>
      <c r="AL58" s="61" t="str">
        <f aca="false">IFERROR(INDEX(PARAMETRES!$H$536:$H$586,MATCH(AH58,PARAMETRES!$J$536:$J$586,0)),"")</f>
        <v/>
      </c>
      <c r="AM58" s="89"/>
      <c r="AN58" s="89"/>
      <c r="AO58" s="80"/>
      <c r="AP58" s="80"/>
      <c r="AQ58" s="80"/>
      <c r="AR58" s="80"/>
      <c r="AS58" s="80"/>
      <c r="AT58" s="80"/>
      <c r="AU58" s="80"/>
      <c r="AV58" s="81" t="n">
        <f aca="false">IF(A58="",0,COUNTIFS(tbl_Beneficiaires_Activites[ID activite],A58))</f>
        <v>0</v>
      </c>
      <c r="AW58" s="80"/>
      <c r="AX58" s="80"/>
      <c r="AY58" s="80"/>
      <c r="AZ58" s="86"/>
      <c r="BA58" s="86"/>
      <c r="BB58" s="89"/>
      <c r="BC58" s="80"/>
      <c r="BD58" s="80"/>
      <c r="BE58" s="80"/>
      <c r="BF58" s="81" t="n">
        <f aca="false">IF(BD58="",0,BD58)-IF(BE58="",0,BE58)</f>
        <v>0</v>
      </c>
      <c r="BG58" s="82" t="n">
        <f aca="false">IF(OR(BD58="",BD58=0),0,BE58/BD58)</f>
        <v>0</v>
      </c>
      <c r="BH58" s="86"/>
      <c r="BI58" s="89"/>
      <c r="BJ58" s="80"/>
      <c r="BK58" s="80"/>
      <c r="BL58" s="86"/>
      <c r="BM58" s="89"/>
      <c r="BN58" s="89"/>
      <c r="BO58" s="89"/>
      <c r="BP58" s="89"/>
      <c r="BQ58" s="80"/>
      <c r="BR58" s="86"/>
      <c r="BS58" s="89"/>
      <c r="BT58" s="89"/>
      <c r="BU58" s="89"/>
      <c r="BV58" s="81" t="str">
        <f aca="false">IF(OR(AO58="",AV58=""),"",AV58-AO58)</f>
        <v/>
      </c>
      <c r="BW58" s="81" t="str">
        <f aca="false">IF(OR(BE58="",BD58=""),"",BE58-BD58)</f>
        <v/>
      </c>
      <c r="BX58" s="86"/>
      <c r="BY58" s="86"/>
      <c r="BZ58" s="86"/>
      <c r="CA58" s="86"/>
      <c r="CB58" s="89"/>
      <c r="CC58" s="89"/>
      <c r="CD58" s="83"/>
      <c r="CE58" s="86"/>
      <c r="CF58" s="79"/>
      <c r="CG58" s="89"/>
      <c r="CH58" s="86"/>
      <c r="CI58" s="89"/>
      <c r="CJ58" s="89"/>
      <c r="CK58" s="81" t="n">
        <f aca="false">IF(A58="",0,COUNTIF(tbl_Activites_Documents[ID Activite],A58))</f>
        <v>0</v>
      </c>
      <c r="CL58" s="81" t="n">
        <f aca="false">IF(A58="",0,COUNTIF(tbl_Activites_Risques[ID Activite],A58))</f>
        <v>0</v>
      </c>
      <c r="CM58" s="61" t="str">
        <f aca="false">IF(A58="","",IF(BE58&gt;BD58,"OUI","NON"))</f>
        <v/>
      </c>
      <c r="CN58" s="89"/>
    </row>
    <row r="59" customFormat="false" ht="30" hidden="false" customHeight="true" outlineLevel="0" collapsed="false">
      <c r="A59" s="61" t="str">
        <f aca="false">IF(G59="","","ACT"&amp;TEXT(ROW()-55,"00000"))</f>
        <v/>
      </c>
      <c r="B59" s="89"/>
      <c r="C59" s="86"/>
      <c r="D59" s="90" t="n">
        <f aca="false">IFERROR(INDEX(tbl_Projets[Titre complet du projet],MATCH(C59,tbl_Projets[ID Projet],0)),"")</f>
        <v>0</v>
      </c>
      <c r="E59" s="61" t="n">
        <f aca="false">IFERROR(INDEX(tbl_Projets[Domaine d''intervention],MATCH(C59,tbl_Projets[ID Projet],0)),"")</f>
        <v>0</v>
      </c>
      <c r="F59" s="61" t="n">
        <f aca="false">IFERROR(INDEX(tbl_Projets[Nom du responsable],MATCH(C59,tbl_Projets[ID Projet],0)),"")</f>
        <v>0</v>
      </c>
      <c r="G59" s="89"/>
      <c r="H59" s="89"/>
      <c r="I59" s="89"/>
      <c r="J59" s="86"/>
      <c r="K59" s="86"/>
      <c r="L59" s="79"/>
      <c r="M59" s="91"/>
      <c r="N59" s="91"/>
      <c r="O59" s="92" t="str">
        <f aca="false">IF(OR(M59="",N59=""),"",(N59-M59)*24)</f>
        <v/>
      </c>
      <c r="P59" s="86"/>
      <c r="Q59" s="93" t="str">
        <f aca="false">IF(L59="","",INDEX(PARAMETRES!$B$53:$B$65,MONTH(L59)))</f>
        <v/>
      </c>
      <c r="R59" s="93" t="str">
        <f aca="false">IF(L59="","",INDEX(PARAMETRES!$C$53:$C$65,MONTH(L59)))</f>
        <v/>
      </c>
      <c r="S59" s="61" t="str">
        <f aca="false">IF(L59="","",YEAR(L59))</f>
        <v/>
      </c>
      <c r="T59" s="79"/>
      <c r="U59" s="91"/>
      <c r="V59" s="91"/>
      <c r="W59" s="92" t="str">
        <f aca="false">IF(OR(U59="",V59=""),"",(V59-U59)*24)</f>
        <v/>
      </c>
      <c r="X59" s="86"/>
      <c r="Y59" s="83"/>
      <c r="Z59" s="86"/>
      <c r="AA59" s="81" t="str">
        <f aca="false">IF(AND(L59&lt;&gt;"",T59&lt;&gt;""),T59-L59,"")</f>
        <v/>
      </c>
      <c r="AB59" s="61" t="str">
        <f aca="true">IF(L59="","",IF(AND(TODAY()&gt;L59,T59="",NOT(OR(Z59="Realisee",Z59="Annulee"))),"OUI","NON"))</f>
        <v/>
      </c>
      <c r="AC59" s="89"/>
      <c r="AD59" s="89"/>
      <c r="AE59" s="86"/>
      <c r="AF59" s="89"/>
      <c r="AG59" s="89"/>
      <c r="AH59" s="86"/>
      <c r="AI59" s="61" t="str">
        <f aca="false">IFERROR(INDEX(PARAMETRES!$B$536:$B$586,MATCH(AH59,PARAMETRES!$J$536:$J$586,0)),"")</f>
        <v/>
      </c>
      <c r="AJ59" s="61" t="str">
        <f aca="false">IFERROR(INDEX(PARAMETRES!$D$536:$D$586,MATCH(AH59,PARAMETRES!$J$536:$J$586,0)),"")</f>
        <v/>
      </c>
      <c r="AK59" s="61" t="str">
        <f aca="false">IFERROR(INDEX(PARAMETRES!$F$536:$F$586,MATCH(AH59,PARAMETRES!$J$536:$J$586,0)),"")</f>
        <v/>
      </c>
      <c r="AL59" s="61" t="str">
        <f aca="false">IFERROR(INDEX(PARAMETRES!$H$536:$H$586,MATCH(AH59,PARAMETRES!$J$536:$J$586,0)),"")</f>
        <v/>
      </c>
      <c r="AM59" s="89"/>
      <c r="AN59" s="89"/>
      <c r="AO59" s="80"/>
      <c r="AP59" s="80"/>
      <c r="AQ59" s="80"/>
      <c r="AR59" s="80"/>
      <c r="AS59" s="80"/>
      <c r="AT59" s="80"/>
      <c r="AU59" s="80"/>
      <c r="AV59" s="81" t="n">
        <f aca="false">IF(A59="",0,COUNTIFS(tbl_Beneficiaires_Activites[ID activite],A59))</f>
        <v>0</v>
      </c>
      <c r="AW59" s="80"/>
      <c r="AX59" s="80"/>
      <c r="AY59" s="80"/>
      <c r="AZ59" s="86"/>
      <c r="BA59" s="86"/>
      <c r="BB59" s="89"/>
      <c r="BC59" s="80"/>
      <c r="BD59" s="80"/>
      <c r="BE59" s="80"/>
      <c r="BF59" s="81" t="n">
        <f aca="false">IF(BD59="",0,BD59)-IF(BE59="",0,BE59)</f>
        <v>0</v>
      </c>
      <c r="BG59" s="82" t="n">
        <f aca="false">IF(OR(BD59="",BD59=0),0,BE59/BD59)</f>
        <v>0</v>
      </c>
      <c r="BH59" s="86"/>
      <c r="BI59" s="89"/>
      <c r="BJ59" s="80"/>
      <c r="BK59" s="80"/>
      <c r="BL59" s="86"/>
      <c r="BM59" s="89"/>
      <c r="BN59" s="89"/>
      <c r="BO59" s="89"/>
      <c r="BP59" s="89"/>
      <c r="BQ59" s="80"/>
      <c r="BR59" s="86"/>
      <c r="BS59" s="89"/>
      <c r="BT59" s="89"/>
      <c r="BU59" s="89"/>
      <c r="BV59" s="81" t="str">
        <f aca="false">IF(OR(AO59="",AV59=""),"",AV59-AO59)</f>
        <v/>
      </c>
      <c r="BW59" s="81" t="str">
        <f aca="false">IF(OR(BE59="",BD59=""),"",BE59-BD59)</f>
        <v/>
      </c>
      <c r="BX59" s="86"/>
      <c r="BY59" s="86"/>
      <c r="BZ59" s="86"/>
      <c r="CA59" s="86"/>
      <c r="CB59" s="89"/>
      <c r="CC59" s="89"/>
      <c r="CD59" s="83"/>
      <c r="CE59" s="86"/>
      <c r="CF59" s="79"/>
      <c r="CG59" s="89"/>
      <c r="CH59" s="86"/>
      <c r="CI59" s="89"/>
      <c r="CJ59" s="89"/>
      <c r="CK59" s="81" t="n">
        <f aca="false">IF(A59="",0,COUNTIF(tbl_Activites_Documents[ID Activite],A59))</f>
        <v>0</v>
      </c>
      <c r="CL59" s="81" t="n">
        <f aca="false">IF(A59="",0,COUNTIF(tbl_Activites_Risques[ID Activite],A59))</f>
        <v>0</v>
      </c>
      <c r="CM59" s="61" t="str">
        <f aca="false">IF(A59="","",IF(BE59&gt;BD59,"OUI","NON"))</f>
        <v/>
      </c>
      <c r="CN59" s="89"/>
    </row>
    <row r="60" customFormat="false" ht="30" hidden="false" customHeight="true" outlineLevel="0" collapsed="false">
      <c r="A60" s="61" t="str">
        <f aca="false">IF(G60="","","ACT"&amp;TEXT(ROW()-55,"00000"))</f>
        <v/>
      </c>
      <c r="B60" s="89"/>
      <c r="C60" s="86"/>
      <c r="D60" s="90" t="n">
        <f aca="false">IFERROR(INDEX(tbl_Projets[Titre complet du projet],MATCH(C60,tbl_Projets[ID Projet],0)),"")</f>
        <v>0</v>
      </c>
      <c r="E60" s="61" t="n">
        <f aca="false">IFERROR(INDEX(tbl_Projets[Domaine d''intervention],MATCH(C60,tbl_Projets[ID Projet],0)),"")</f>
        <v>0</v>
      </c>
      <c r="F60" s="61" t="n">
        <f aca="false">IFERROR(INDEX(tbl_Projets[Nom du responsable],MATCH(C60,tbl_Projets[ID Projet],0)),"")</f>
        <v>0</v>
      </c>
      <c r="G60" s="89"/>
      <c r="H60" s="89"/>
      <c r="I60" s="89"/>
      <c r="J60" s="86"/>
      <c r="K60" s="86"/>
      <c r="L60" s="79"/>
      <c r="M60" s="91"/>
      <c r="N60" s="91"/>
      <c r="O60" s="92" t="str">
        <f aca="false">IF(OR(M60="",N60=""),"",(N60-M60)*24)</f>
        <v/>
      </c>
      <c r="P60" s="86"/>
      <c r="Q60" s="93" t="str">
        <f aca="false">IF(L60="","",INDEX(PARAMETRES!$B$53:$B$65,MONTH(L60)))</f>
        <v/>
      </c>
      <c r="R60" s="93" t="str">
        <f aca="false">IF(L60="","",INDEX(PARAMETRES!$C$53:$C$65,MONTH(L60)))</f>
        <v/>
      </c>
      <c r="S60" s="61" t="str">
        <f aca="false">IF(L60="","",YEAR(L60))</f>
        <v/>
      </c>
      <c r="T60" s="79"/>
      <c r="U60" s="91"/>
      <c r="V60" s="91"/>
      <c r="W60" s="92" t="str">
        <f aca="false">IF(OR(U60="",V60=""),"",(V60-U60)*24)</f>
        <v/>
      </c>
      <c r="X60" s="86"/>
      <c r="Y60" s="83"/>
      <c r="Z60" s="86"/>
      <c r="AA60" s="81" t="str">
        <f aca="false">IF(AND(L60&lt;&gt;"",T60&lt;&gt;""),T60-L60,"")</f>
        <v/>
      </c>
      <c r="AB60" s="61" t="str">
        <f aca="true">IF(L60="","",IF(AND(TODAY()&gt;L60,T60="",NOT(OR(Z60="Realisee",Z60="Annulee"))),"OUI","NON"))</f>
        <v/>
      </c>
      <c r="AC60" s="89"/>
      <c r="AD60" s="89"/>
      <c r="AE60" s="86"/>
      <c r="AF60" s="89"/>
      <c r="AG60" s="89"/>
      <c r="AH60" s="86"/>
      <c r="AI60" s="61" t="str">
        <f aca="false">IFERROR(INDEX(PARAMETRES!$B$536:$B$586,MATCH(AH60,PARAMETRES!$J$536:$J$586,0)),"")</f>
        <v/>
      </c>
      <c r="AJ60" s="61" t="str">
        <f aca="false">IFERROR(INDEX(PARAMETRES!$D$536:$D$586,MATCH(AH60,PARAMETRES!$J$536:$J$586,0)),"")</f>
        <v/>
      </c>
      <c r="AK60" s="61" t="str">
        <f aca="false">IFERROR(INDEX(PARAMETRES!$F$536:$F$586,MATCH(AH60,PARAMETRES!$J$536:$J$586,0)),"")</f>
        <v/>
      </c>
      <c r="AL60" s="61" t="str">
        <f aca="false">IFERROR(INDEX(PARAMETRES!$H$536:$H$586,MATCH(AH60,PARAMETRES!$J$536:$J$586,0)),"")</f>
        <v/>
      </c>
      <c r="AM60" s="89"/>
      <c r="AN60" s="89"/>
      <c r="AO60" s="80"/>
      <c r="AP60" s="80"/>
      <c r="AQ60" s="80"/>
      <c r="AR60" s="80"/>
      <c r="AS60" s="80"/>
      <c r="AT60" s="80"/>
      <c r="AU60" s="80"/>
      <c r="AV60" s="81" t="n">
        <f aca="false">IF(A60="",0,COUNTIFS(tbl_Beneficiaires_Activites[ID activite],A60))</f>
        <v>0</v>
      </c>
      <c r="AW60" s="80"/>
      <c r="AX60" s="80"/>
      <c r="AY60" s="80"/>
      <c r="AZ60" s="86"/>
      <c r="BA60" s="86"/>
      <c r="BB60" s="89"/>
      <c r="BC60" s="80"/>
      <c r="BD60" s="80"/>
      <c r="BE60" s="80"/>
      <c r="BF60" s="81" t="n">
        <f aca="false">IF(BD60="",0,BD60)-IF(BE60="",0,BE60)</f>
        <v>0</v>
      </c>
      <c r="BG60" s="82" t="n">
        <f aca="false">IF(OR(BD60="",BD60=0),0,BE60/BD60)</f>
        <v>0</v>
      </c>
      <c r="BH60" s="86"/>
      <c r="BI60" s="89"/>
      <c r="BJ60" s="80"/>
      <c r="BK60" s="80"/>
      <c r="BL60" s="86"/>
      <c r="BM60" s="89"/>
      <c r="BN60" s="89"/>
      <c r="BO60" s="89"/>
      <c r="BP60" s="89"/>
      <c r="BQ60" s="80"/>
      <c r="BR60" s="86"/>
      <c r="BS60" s="89"/>
      <c r="BT60" s="89"/>
      <c r="BU60" s="89"/>
      <c r="BV60" s="81" t="str">
        <f aca="false">IF(OR(AO60="",AV60=""),"",AV60-AO60)</f>
        <v/>
      </c>
      <c r="BW60" s="81" t="str">
        <f aca="false">IF(OR(BE60="",BD60=""),"",BE60-BD60)</f>
        <v/>
      </c>
      <c r="BX60" s="86"/>
      <c r="BY60" s="86"/>
      <c r="BZ60" s="86"/>
      <c r="CA60" s="86"/>
      <c r="CB60" s="89"/>
      <c r="CC60" s="89"/>
      <c r="CD60" s="83"/>
      <c r="CE60" s="86"/>
      <c r="CF60" s="79"/>
      <c r="CG60" s="89"/>
      <c r="CH60" s="86"/>
      <c r="CI60" s="89"/>
      <c r="CJ60" s="89"/>
      <c r="CK60" s="81" t="n">
        <f aca="false">IF(A60="",0,COUNTIF(tbl_Activites_Documents[ID Activite],A60))</f>
        <v>0</v>
      </c>
      <c r="CL60" s="81" t="n">
        <f aca="false">IF(A60="",0,COUNTIF(tbl_Activites_Risques[ID Activite],A60))</f>
        <v>0</v>
      </c>
      <c r="CM60" s="61" t="str">
        <f aca="false">IF(A60="","",IF(BE60&gt;BD60,"OUI","NON"))</f>
        <v/>
      </c>
      <c r="CN60" s="89"/>
    </row>
    <row r="61" customFormat="false" ht="30" hidden="false" customHeight="true" outlineLevel="0" collapsed="false">
      <c r="A61" s="61" t="str">
        <f aca="false">IF(G61="","","ACT"&amp;TEXT(ROW()-55,"00000"))</f>
        <v/>
      </c>
      <c r="B61" s="89"/>
      <c r="C61" s="86"/>
      <c r="D61" s="90" t="n">
        <f aca="false">IFERROR(INDEX(tbl_Projets[Titre complet du projet],MATCH(C61,tbl_Projets[ID Projet],0)),"")</f>
        <v>0</v>
      </c>
      <c r="E61" s="61" t="n">
        <f aca="false">IFERROR(INDEX(tbl_Projets[Domaine d''intervention],MATCH(C61,tbl_Projets[ID Projet],0)),"")</f>
        <v>0</v>
      </c>
      <c r="F61" s="61" t="n">
        <f aca="false">IFERROR(INDEX(tbl_Projets[Nom du responsable],MATCH(C61,tbl_Projets[ID Projet],0)),"")</f>
        <v>0</v>
      </c>
      <c r="G61" s="89"/>
      <c r="H61" s="89"/>
      <c r="I61" s="89"/>
      <c r="J61" s="86"/>
      <c r="K61" s="86"/>
      <c r="L61" s="79"/>
      <c r="M61" s="91"/>
      <c r="N61" s="91"/>
      <c r="O61" s="92" t="str">
        <f aca="false">IF(OR(M61="",N61=""),"",(N61-M61)*24)</f>
        <v/>
      </c>
      <c r="P61" s="86"/>
      <c r="Q61" s="93" t="str">
        <f aca="false">IF(L61="","",INDEX(PARAMETRES!$B$53:$B$65,MONTH(L61)))</f>
        <v/>
      </c>
      <c r="R61" s="93" t="str">
        <f aca="false">IF(L61="","",INDEX(PARAMETRES!$C$53:$C$65,MONTH(L61)))</f>
        <v/>
      </c>
      <c r="S61" s="61" t="str">
        <f aca="false">IF(L61="","",YEAR(L61))</f>
        <v/>
      </c>
      <c r="T61" s="79"/>
      <c r="U61" s="91"/>
      <c r="V61" s="91"/>
      <c r="W61" s="92" t="str">
        <f aca="false">IF(OR(U61="",V61=""),"",(V61-U61)*24)</f>
        <v/>
      </c>
      <c r="X61" s="86"/>
      <c r="Y61" s="83"/>
      <c r="Z61" s="86"/>
      <c r="AA61" s="81" t="str">
        <f aca="false">IF(AND(L61&lt;&gt;"",T61&lt;&gt;""),T61-L61,"")</f>
        <v/>
      </c>
      <c r="AB61" s="61" t="str">
        <f aca="true">IF(L61="","",IF(AND(TODAY()&gt;L61,T61="",NOT(OR(Z61="Realisee",Z61="Annulee"))),"OUI","NON"))</f>
        <v/>
      </c>
      <c r="AC61" s="89"/>
      <c r="AD61" s="89"/>
      <c r="AE61" s="86"/>
      <c r="AF61" s="89"/>
      <c r="AG61" s="89"/>
      <c r="AH61" s="86"/>
      <c r="AI61" s="61" t="str">
        <f aca="false">IFERROR(INDEX(PARAMETRES!$B$536:$B$586,MATCH(AH61,PARAMETRES!$J$536:$J$586,0)),"")</f>
        <v/>
      </c>
      <c r="AJ61" s="61" t="str">
        <f aca="false">IFERROR(INDEX(PARAMETRES!$D$536:$D$586,MATCH(AH61,PARAMETRES!$J$536:$J$586,0)),"")</f>
        <v/>
      </c>
      <c r="AK61" s="61" t="str">
        <f aca="false">IFERROR(INDEX(PARAMETRES!$F$536:$F$586,MATCH(AH61,PARAMETRES!$J$536:$J$586,0)),"")</f>
        <v/>
      </c>
      <c r="AL61" s="61" t="str">
        <f aca="false">IFERROR(INDEX(PARAMETRES!$H$536:$H$586,MATCH(AH61,PARAMETRES!$J$536:$J$586,0)),"")</f>
        <v/>
      </c>
      <c r="AM61" s="89"/>
      <c r="AN61" s="89"/>
      <c r="AO61" s="80"/>
      <c r="AP61" s="80"/>
      <c r="AQ61" s="80"/>
      <c r="AR61" s="80"/>
      <c r="AS61" s="80"/>
      <c r="AT61" s="80"/>
      <c r="AU61" s="80"/>
      <c r="AV61" s="81" t="n">
        <f aca="false">IF(A61="",0,COUNTIFS(tbl_Beneficiaires_Activites[ID activite],A61))</f>
        <v>0</v>
      </c>
      <c r="AW61" s="80"/>
      <c r="AX61" s="80"/>
      <c r="AY61" s="80"/>
      <c r="AZ61" s="86"/>
      <c r="BA61" s="86"/>
      <c r="BB61" s="89"/>
      <c r="BC61" s="80"/>
      <c r="BD61" s="80"/>
      <c r="BE61" s="80"/>
      <c r="BF61" s="81" t="n">
        <f aca="false">IF(BD61="",0,BD61)-IF(BE61="",0,BE61)</f>
        <v>0</v>
      </c>
      <c r="BG61" s="82" t="n">
        <f aca="false">IF(OR(BD61="",BD61=0),0,BE61/BD61)</f>
        <v>0</v>
      </c>
      <c r="BH61" s="86"/>
      <c r="BI61" s="89"/>
      <c r="BJ61" s="80"/>
      <c r="BK61" s="80"/>
      <c r="BL61" s="86"/>
      <c r="BM61" s="89"/>
      <c r="BN61" s="89"/>
      <c r="BO61" s="89"/>
      <c r="BP61" s="89"/>
      <c r="BQ61" s="80"/>
      <c r="BR61" s="86"/>
      <c r="BS61" s="89"/>
      <c r="BT61" s="89"/>
      <c r="BU61" s="89"/>
      <c r="BV61" s="81" t="str">
        <f aca="false">IF(OR(AO61="",AV61=""),"",AV61-AO61)</f>
        <v/>
      </c>
      <c r="BW61" s="81" t="str">
        <f aca="false">IF(OR(BE61="",BD61=""),"",BE61-BD61)</f>
        <v/>
      </c>
      <c r="BX61" s="86"/>
      <c r="BY61" s="86"/>
      <c r="BZ61" s="86"/>
      <c r="CA61" s="86"/>
      <c r="CB61" s="89"/>
      <c r="CC61" s="89"/>
      <c r="CD61" s="83"/>
      <c r="CE61" s="86"/>
      <c r="CF61" s="79"/>
      <c r="CG61" s="89"/>
      <c r="CH61" s="86"/>
      <c r="CI61" s="89"/>
      <c r="CJ61" s="89"/>
      <c r="CK61" s="81" t="n">
        <f aca="false">IF(A61="",0,COUNTIF(tbl_Activites_Documents[ID Activite],A61))</f>
        <v>0</v>
      </c>
      <c r="CL61" s="81" t="n">
        <f aca="false">IF(A61="",0,COUNTIF(tbl_Activites_Risques[ID Activite],A61))</f>
        <v>0</v>
      </c>
      <c r="CM61" s="61" t="str">
        <f aca="false">IF(A61="","",IF(BE61&gt;BD61,"OUI","NON"))</f>
        <v/>
      </c>
      <c r="CN61" s="89"/>
    </row>
    <row r="62" customFormat="false" ht="30" hidden="false" customHeight="true" outlineLevel="0" collapsed="false">
      <c r="A62" s="61" t="str">
        <f aca="false">IF(G62="","","ACT"&amp;TEXT(ROW()-55,"00000"))</f>
        <v/>
      </c>
      <c r="B62" s="89"/>
      <c r="C62" s="86"/>
      <c r="D62" s="90" t="n">
        <f aca="false">IFERROR(INDEX(tbl_Projets[Titre complet du projet],MATCH(C62,tbl_Projets[ID Projet],0)),"")</f>
        <v>0</v>
      </c>
      <c r="E62" s="61" t="n">
        <f aca="false">IFERROR(INDEX(tbl_Projets[Domaine d''intervention],MATCH(C62,tbl_Projets[ID Projet],0)),"")</f>
        <v>0</v>
      </c>
      <c r="F62" s="61" t="n">
        <f aca="false">IFERROR(INDEX(tbl_Projets[Nom du responsable],MATCH(C62,tbl_Projets[ID Projet],0)),"")</f>
        <v>0</v>
      </c>
      <c r="G62" s="89"/>
      <c r="H62" s="89"/>
      <c r="I62" s="89"/>
      <c r="J62" s="86"/>
      <c r="K62" s="86"/>
      <c r="L62" s="79"/>
      <c r="M62" s="91"/>
      <c r="N62" s="91"/>
      <c r="O62" s="92" t="str">
        <f aca="false">IF(OR(M62="",N62=""),"",(N62-M62)*24)</f>
        <v/>
      </c>
      <c r="P62" s="86"/>
      <c r="Q62" s="93" t="str">
        <f aca="false">IF(L62="","",INDEX(PARAMETRES!$B$53:$B$65,MONTH(L62)))</f>
        <v/>
      </c>
      <c r="R62" s="93" t="str">
        <f aca="false">IF(L62="","",INDEX(PARAMETRES!$C$53:$C$65,MONTH(L62)))</f>
        <v/>
      </c>
      <c r="S62" s="61" t="str">
        <f aca="false">IF(L62="","",YEAR(L62))</f>
        <v/>
      </c>
      <c r="T62" s="79"/>
      <c r="U62" s="91"/>
      <c r="V62" s="91"/>
      <c r="W62" s="92" t="str">
        <f aca="false">IF(OR(U62="",V62=""),"",(V62-U62)*24)</f>
        <v/>
      </c>
      <c r="X62" s="86"/>
      <c r="Y62" s="83"/>
      <c r="Z62" s="86"/>
      <c r="AA62" s="81" t="str">
        <f aca="false">IF(AND(L62&lt;&gt;"",T62&lt;&gt;""),T62-L62,"")</f>
        <v/>
      </c>
      <c r="AB62" s="61" t="str">
        <f aca="true">IF(L62="","",IF(AND(TODAY()&gt;L62,T62="",NOT(OR(Z62="Realisee",Z62="Annulee"))),"OUI","NON"))</f>
        <v/>
      </c>
      <c r="AC62" s="89"/>
      <c r="AD62" s="89"/>
      <c r="AE62" s="86"/>
      <c r="AF62" s="89"/>
      <c r="AG62" s="89"/>
      <c r="AH62" s="86"/>
      <c r="AI62" s="61" t="str">
        <f aca="false">IFERROR(INDEX(PARAMETRES!$B$536:$B$586,MATCH(AH62,PARAMETRES!$J$536:$J$586,0)),"")</f>
        <v/>
      </c>
      <c r="AJ62" s="61" t="str">
        <f aca="false">IFERROR(INDEX(PARAMETRES!$D$536:$D$586,MATCH(AH62,PARAMETRES!$J$536:$J$586,0)),"")</f>
        <v/>
      </c>
      <c r="AK62" s="61" t="str">
        <f aca="false">IFERROR(INDEX(PARAMETRES!$F$536:$F$586,MATCH(AH62,PARAMETRES!$J$536:$J$586,0)),"")</f>
        <v/>
      </c>
      <c r="AL62" s="61" t="str">
        <f aca="false">IFERROR(INDEX(PARAMETRES!$H$536:$H$586,MATCH(AH62,PARAMETRES!$J$536:$J$586,0)),"")</f>
        <v/>
      </c>
      <c r="AM62" s="89"/>
      <c r="AN62" s="89"/>
      <c r="AO62" s="80"/>
      <c r="AP62" s="80"/>
      <c r="AQ62" s="80"/>
      <c r="AR62" s="80"/>
      <c r="AS62" s="80"/>
      <c r="AT62" s="80"/>
      <c r="AU62" s="80"/>
      <c r="AV62" s="81" t="n">
        <f aca="false">IF(A62="",0,COUNTIFS(tbl_Beneficiaires_Activites[ID activite],A62))</f>
        <v>0</v>
      </c>
      <c r="AW62" s="80"/>
      <c r="AX62" s="80"/>
      <c r="AY62" s="80"/>
      <c r="AZ62" s="86"/>
      <c r="BA62" s="86"/>
      <c r="BB62" s="89"/>
      <c r="BC62" s="80"/>
      <c r="BD62" s="80"/>
      <c r="BE62" s="80"/>
      <c r="BF62" s="81" t="n">
        <f aca="false">IF(BD62="",0,BD62)-IF(BE62="",0,BE62)</f>
        <v>0</v>
      </c>
      <c r="BG62" s="82" t="n">
        <f aca="false">IF(OR(BD62="",BD62=0),0,BE62/BD62)</f>
        <v>0</v>
      </c>
      <c r="BH62" s="86"/>
      <c r="BI62" s="89"/>
      <c r="BJ62" s="80"/>
      <c r="BK62" s="80"/>
      <c r="BL62" s="86"/>
      <c r="BM62" s="89"/>
      <c r="BN62" s="89"/>
      <c r="BO62" s="89"/>
      <c r="BP62" s="89"/>
      <c r="BQ62" s="80"/>
      <c r="BR62" s="86"/>
      <c r="BS62" s="89"/>
      <c r="BT62" s="89"/>
      <c r="BU62" s="89"/>
      <c r="BV62" s="81" t="str">
        <f aca="false">IF(OR(AO62="",AV62=""),"",AV62-AO62)</f>
        <v/>
      </c>
      <c r="BW62" s="81" t="str">
        <f aca="false">IF(OR(BE62="",BD62=""),"",BE62-BD62)</f>
        <v/>
      </c>
      <c r="BX62" s="86"/>
      <c r="BY62" s="86"/>
      <c r="BZ62" s="86"/>
      <c r="CA62" s="86"/>
      <c r="CB62" s="89"/>
      <c r="CC62" s="89"/>
      <c r="CD62" s="83"/>
      <c r="CE62" s="86"/>
      <c r="CF62" s="79"/>
      <c r="CG62" s="89"/>
      <c r="CH62" s="86"/>
      <c r="CI62" s="89"/>
      <c r="CJ62" s="89"/>
      <c r="CK62" s="81" t="n">
        <f aca="false">IF(A62="",0,COUNTIF(tbl_Activites_Documents[ID Activite],A62))</f>
        <v>0</v>
      </c>
      <c r="CL62" s="81" t="n">
        <f aca="false">IF(A62="",0,COUNTIF(tbl_Activites_Risques[ID Activite],A62))</f>
        <v>0</v>
      </c>
      <c r="CM62" s="61" t="str">
        <f aca="false">IF(A62="","",IF(BE62&gt;BD62,"OUI","NON"))</f>
        <v/>
      </c>
      <c r="CN62" s="89"/>
    </row>
    <row r="63" customFormat="false" ht="30" hidden="false" customHeight="true" outlineLevel="0" collapsed="false">
      <c r="A63" s="61" t="str">
        <f aca="false">IF(G63="","","ACT"&amp;TEXT(ROW()-55,"00000"))</f>
        <v/>
      </c>
      <c r="B63" s="89"/>
      <c r="C63" s="86"/>
      <c r="D63" s="90" t="n">
        <f aca="false">IFERROR(INDEX(tbl_Projets[Titre complet du projet],MATCH(C63,tbl_Projets[ID Projet],0)),"")</f>
        <v>0</v>
      </c>
      <c r="E63" s="61" t="n">
        <f aca="false">IFERROR(INDEX(tbl_Projets[Domaine d''intervention],MATCH(C63,tbl_Projets[ID Projet],0)),"")</f>
        <v>0</v>
      </c>
      <c r="F63" s="61" t="n">
        <f aca="false">IFERROR(INDEX(tbl_Projets[Nom du responsable],MATCH(C63,tbl_Projets[ID Projet],0)),"")</f>
        <v>0</v>
      </c>
      <c r="G63" s="89"/>
      <c r="H63" s="89"/>
      <c r="I63" s="89"/>
      <c r="J63" s="86"/>
      <c r="K63" s="86"/>
      <c r="L63" s="79"/>
      <c r="M63" s="91"/>
      <c r="N63" s="91"/>
      <c r="O63" s="92" t="str">
        <f aca="false">IF(OR(M63="",N63=""),"",(N63-M63)*24)</f>
        <v/>
      </c>
      <c r="P63" s="86"/>
      <c r="Q63" s="93" t="str">
        <f aca="false">IF(L63="","",INDEX(PARAMETRES!$B$53:$B$65,MONTH(L63)))</f>
        <v/>
      </c>
      <c r="R63" s="93" t="str">
        <f aca="false">IF(L63="","",INDEX(PARAMETRES!$C$53:$C$65,MONTH(L63)))</f>
        <v/>
      </c>
      <c r="S63" s="61" t="str">
        <f aca="false">IF(L63="","",YEAR(L63))</f>
        <v/>
      </c>
      <c r="T63" s="79"/>
      <c r="U63" s="91"/>
      <c r="V63" s="91"/>
      <c r="W63" s="92" t="str">
        <f aca="false">IF(OR(U63="",V63=""),"",(V63-U63)*24)</f>
        <v/>
      </c>
      <c r="X63" s="86"/>
      <c r="Y63" s="83"/>
      <c r="Z63" s="86"/>
      <c r="AA63" s="81" t="str">
        <f aca="false">IF(AND(L63&lt;&gt;"",T63&lt;&gt;""),T63-L63,"")</f>
        <v/>
      </c>
      <c r="AB63" s="61" t="str">
        <f aca="true">IF(L63="","",IF(AND(TODAY()&gt;L63,T63="",NOT(OR(Z63="Realisee",Z63="Annulee"))),"OUI","NON"))</f>
        <v/>
      </c>
      <c r="AC63" s="89"/>
      <c r="AD63" s="89"/>
      <c r="AE63" s="86"/>
      <c r="AF63" s="89"/>
      <c r="AG63" s="89"/>
      <c r="AH63" s="86"/>
      <c r="AI63" s="61" t="str">
        <f aca="false">IFERROR(INDEX(PARAMETRES!$B$536:$B$586,MATCH(AH63,PARAMETRES!$J$536:$J$586,0)),"")</f>
        <v/>
      </c>
      <c r="AJ63" s="61" t="str">
        <f aca="false">IFERROR(INDEX(PARAMETRES!$D$536:$D$586,MATCH(AH63,PARAMETRES!$J$536:$J$586,0)),"")</f>
        <v/>
      </c>
      <c r="AK63" s="61" t="str">
        <f aca="false">IFERROR(INDEX(PARAMETRES!$F$536:$F$586,MATCH(AH63,PARAMETRES!$J$536:$J$586,0)),"")</f>
        <v/>
      </c>
      <c r="AL63" s="61" t="str">
        <f aca="false">IFERROR(INDEX(PARAMETRES!$H$536:$H$586,MATCH(AH63,PARAMETRES!$J$536:$J$586,0)),"")</f>
        <v/>
      </c>
      <c r="AM63" s="89"/>
      <c r="AN63" s="89"/>
      <c r="AO63" s="80"/>
      <c r="AP63" s="80"/>
      <c r="AQ63" s="80"/>
      <c r="AR63" s="80"/>
      <c r="AS63" s="80"/>
      <c r="AT63" s="80"/>
      <c r="AU63" s="80"/>
      <c r="AV63" s="81" t="n">
        <f aca="false">IF(A63="",0,COUNTIFS(tbl_Beneficiaires_Activites[ID activite],A63))</f>
        <v>0</v>
      </c>
      <c r="AW63" s="80"/>
      <c r="AX63" s="80"/>
      <c r="AY63" s="80"/>
      <c r="AZ63" s="86"/>
      <c r="BA63" s="86"/>
      <c r="BB63" s="89"/>
      <c r="BC63" s="80"/>
      <c r="BD63" s="80"/>
      <c r="BE63" s="80"/>
      <c r="BF63" s="81" t="n">
        <f aca="false">IF(BD63="",0,BD63)-IF(BE63="",0,BE63)</f>
        <v>0</v>
      </c>
      <c r="BG63" s="82" t="n">
        <f aca="false">IF(OR(BD63="",BD63=0),0,BE63/BD63)</f>
        <v>0</v>
      </c>
      <c r="BH63" s="86"/>
      <c r="BI63" s="89"/>
      <c r="BJ63" s="80"/>
      <c r="BK63" s="80"/>
      <c r="BL63" s="86"/>
      <c r="BM63" s="89"/>
      <c r="BN63" s="89"/>
      <c r="BO63" s="89"/>
      <c r="BP63" s="89"/>
      <c r="BQ63" s="80"/>
      <c r="BR63" s="86"/>
      <c r="BS63" s="89"/>
      <c r="BT63" s="89"/>
      <c r="BU63" s="89"/>
      <c r="BV63" s="81" t="str">
        <f aca="false">IF(OR(AO63="",AV63=""),"",AV63-AO63)</f>
        <v/>
      </c>
      <c r="BW63" s="81" t="str">
        <f aca="false">IF(OR(BE63="",BD63=""),"",BE63-BD63)</f>
        <v/>
      </c>
      <c r="BX63" s="86"/>
      <c r="BY63" s="86"/>
      <c r="BZ63" s="86"/>
      <c r="CA63" s="86"/>
      <c r="CB63" s="89"/>
      <c r="CC63" s="89"/>
      <c r="CD63" s="83"/>
      <c r="CE63" s="86"/>
      <c r="CF63" s="79"/>
      <c r="CG63" s="89"/>
      <c r="CH63" s="86"/>
      <c r="CI63" s="89"/>
      <c r="CJ63" s="89"/>
      <c r="CK63" s="81" t="n">
        <f aca="false">IF(A63="",0,COUNTIF(tbl_Activites_Documents[ID Activite],A63))</f>
        <v>0</v>
      </c>
      <c r="CL63" s="81" t="n">
        <f aca="false">IF(A63="",0,COUNTIF(tbl_Activites_Risques[ID Activite],A63))</f>
        <v>0</v>
      </c>
      <c r="CM63" s="61" t="str">
        <f aca="false">IF(A63="","",IF(BE63&gt;BD63,"OUI","NON"))</f>
        <v/>
      </c>
      <c r="CN63" s="89"/>
    </row>
    <row r="64" customFormat="false" ht="30" hidden="false" customHeight="true" outlineLevel="0" collapsed="false">
      <c r="A64" s="61" t="str">
        <f aca="false">IF(G64="","","ACT"&amp;TEXT(ROW()-55,"00000"))</f>
        <v/>
      </c>
      <c r="B64" s="89"/>
      <c r="C64" s="86"/>
      <c r="D64" s="90" t="n">
        <f aca="false">IFERROR(INDEX(tbl_Projets[Titre complet du projet],MATCH(C64,tbl_Projets[ID Projet],0)),"")</f>
        <v>0</v>
      </c>
      <c r="E64" s="61" t="n">
        <f aca="false">IFERROR(INDEX(tbl_Projets[Domaine d''intervention],MATCH(C64,tbl_Projets[ID Projet],0)),"")</f>
        <v>0</v>
      </c>
      <c r="F64" s="61" t="n">
        <f aca="false">IFERROR(INDEX(tbl_Projets[Nom du responsable],MATCH(C64,tbl_Projets[ID Projet],0)),"")</f>
        <v>0</v>
      </c>
      <c r="G64" s="89"/>
      <c r="H64" s="89"/>
      <c r="I64" s="89"/>
      <c r="J64" s="86"/>
      <c r="K64" s="86"/>
      <c r="L64" s="79"/>
      <c r="M64" s="91"/>
      <c r="N64" s="91"/>
      <c r="O64" s="92" t="str">
        <f aca="false">IF(OR(M64="",N64=""),"",(N64-M64)*24)</f>
        <v/>
      </c>
      <c r="P64" s="86"/>
      <c r="Q64" s="93" t="str">
        <f aca="false">IF(L64="","",INDEX(PARAMETRES!$B$53:$B$65,MONTH(L64)))</f>
        <v/>
      </c>
      <c r="R64" s="93" t="str">
        <f aca="false">IF(L64="","",INDEX(PARAMETRES!$C$53:$C$65,MONTH(L64)))</f>
        <v/>
      </c>
      <c r="S64" s="61" t="str">
        <f aca="false">IF(L64="","",YEAR(L64))</f>
        <v/>
      </c>
      <c r="T64" s="79"/>
      <c r="U64" s="91"/>
      <c r="V64" s="91"/>
      <c r="W64" s="92" t="str">
        <f aca="false">IF(OR(U64="",V64=""),"",(V64-U64)*24)</f>
        <v/>
      </c>
      <c r="X64" s="86"/>
      <c r="Y64" s="83"/>
      <c r="Z64" s="86"/>
      <c r="AA64" s="81" t="str">
        <f aca="false">IF(AND(L64&lt;&gt;"",T64&lt;&gt;""),T64-L64,"")</f>
        <v/>
      </c>
      <c r="AB64" s="61" t="str">
        <f aca="true">IF(L64="","",IF(AND(TODAY()&gt;L64,T64="",NOT(OR(Z64="Realisee",Z64="Annulee"))),"OUI","NON"))</f>
        <v/>
      </c>
      <c r="AC64" s="89"/>
      <c r="AD64" s="89"/>
      <c r="AE64" s="86"/>
      <c r="AF64" s="89"/>
      <c r="AG64" s="89"/>
      <c r="AH64" s="86"/>
      <c r="AI64" s="61" t="str">
        <f aca="false">IFERROR(INDEX(PARAMETRES!$B$536:$B$586,MATCH(AH64,PARAMETRES!$J$536:$J$586,0)),"")</f>
        <v/>
      </c>
      <c r="AJ64" s="61" t="str">
        <f aca="false">IFERROR(INDEX(PARAMETRES!$D$536:$D$586,MATCH(AH64,PARAMETRES!$J$536:$J$586,0)),"")</f>
        <v/>
      </c>
      <c r="AK64" s="61" t="str">
        <f aca="false">IFERROR(INDEX(PARAMETRES!$F$536:$F$586,MATCH(AH64,PARAMETRES!$J$536:$J$586,0)),"")</f>
        <v/>
      </c>
      <c r="AL64" s="61" t="str">
        <f aca="false">IFERROR(INDEX(PARAMETRES!$H$536:$H$586,MATCH(AH64,PARAMETRES!$J$536:$J$586,0)),"")</f>
        <v/>
      </c>
      <c r="AM64" s="89"/>
      <c r="AN64" s="89"/>
      <c r="AO64" s="80"/>
      <c r="AP64" s="80"/>
      <c r="AQ64" s="80"/>
      <c r="AR64" s="80"/>
      <c r="AS64" s="80"/>
      <c r="AT64" s="80"/>
      <c r="AU64" s="80"/>
      <c r="AV64" s="81" t="n">
        <f aca="false">IF(A64="",0,COUNTIFS(tbl_Beneficiaires_Activites[ID activite],A64))</f>
        <v>0</v>
      </c>
      <c r="AW64" s="80"/>
      <c r="AX64" s="80"/>
      <c r="AY64" s="80"/>
      <c r="AZ64" s="86"/>
      <c r="BA64" s="86"/>
      <c r="BB64" s="89"/>
      <c r="BC64" s="80"/>
      <c r="BD64" s="80"/>
      <c r="BE64" s="80"/>
      <c r="BF64" s="81" t="n">
        <f aca="false">IF(BD64="",0,BD64)-IF(BE64="",0,BE64)</f>
        <v>0</v>
      </c>
      <c r="BG64" s="82" t="n">
        <f aca="false">IF(OR(BD64="",BD64=0),0,BE64/BD64)</f>
        <v>0</v>
      </c>
      <c r="BH64" s="86"/>
      <c r="BI64" s="89"/>
      <c r="BJ64" s="80"/>
      <c r="BK64" s="80"/>
      <c r="BL64" s="86"/>
      <c r="BM64" s="89"/>
      <c r="BN64" s="89"/>
      <c r="BO64" s="89"/>
      <c r="BP64" s="89"/>
      <c r="BQ64" s="80"/>
      <c r="BR64" s="86"/>
      <c r="BS64" s="89"/>
      <c r="BT64" s="89"/>
      <c r="BU64" s="89"/>
      <c r="BV64" s="81" t="str">
        <f aca="false">IF(OR(AO64="",AV64=""),"",AV64-AO64)</f>
        <v/>
      </c>
      <c r="BW64" s="81" t="str">
        <f aca="false">IF(OR(BE64="",BD64=""),"",BE64-BD64)</f>
        <v/>
      </c>
      <c r="BX64" s="86"/>
      <c r="BY64" s="86"/>
      <c r="BZ64" s="86"/>
      <c r="CA64" s="86"/>
      <c r="CB64" s="89"/>
      <c r="CC64" s="89"/>
      <c r="CD64" s="83"/>
      <c r="CE64" s="86"/>
      <c r="CF64" s="79"/>
      <c r="CG64" s="89"/>
      <c r="CH64" s="86"/>
      <c r="CI64" s="89"/>
      <c r="CJ64" s="89"/>
      <c r="CK64" s="81" t="n">
        <f aca="false">IF(A64="",0,COUNTIF(tbl_Activites_Documents[ID Activite],A64))</f>
        <v>0</v>
      </c>
      <c r="CL64" s="81" t="n">
        <f aca="false">IF(A64="",0,COUNTIF(tbl_Activites_Risques[ID Activite],A64))</f>
        <v>0</v>
      </c>
      <c r="CM64" s="61" t="str">
        <f aca="false">IF(A64="","",IF(BE64&gt;BD64,"OUI","NON"))</f>
        <v/>
      </c>
      <c r="CN64" s="89"/>
    </row>
    <row r="65" customFormat="false" ht="30" hidden="false" customHeight="true" outlineLevel="0" collapsed="false">
      <c r="A65" s="61" t="str">
        <f aca="false">IF(G65="","","ACT"&amp;TEXT(ROW()-55,"00000"))</f>
        <v/>
      </c>
      <c r="B65" s="89"/>
      <c r="C65" s="86"/>
      <c r="D65" s="90" t="n">
        <f aca="false">IFERROR(INDEX(tbl_Projets[Titre complet du projet],MATCH(C65,tbl_Projets[ID Projet],0)),"")</f>
        <v>0</v>
      </c>
      <c r="E65" s="61" t="n">
        <f aca="false">IFERROR(INDEX(tbl_Projets[Domaine d''intervention],MATCH(C65,tbl_Projets[ID Projet],0)),"")</f>
        <v>0</v>
      </c>
      <c r="F65" s="61" t="n">
        <f aca="false">IFERROR(INDEX(tbl_Projets[Nom du responsable],MATCH(C65,tbl_Projets[ID Projet],0)),"")</f>
        <v>0</v>
      </c>
      <c r="G65" s="89"/>
      <c r="H65" s="89"/>
      <c r="I65" s="89"/>
      <c r="J65" s="86"/>
      <c r="K65" s="86"/>
      <c r="L65" s="79"/>
      <c r="M65" s="91"/>
      <c r="N65" s="91"/>
      <c r="O65" s="92" t="str">
        <f aca="false">IF(OR(M65="",N65=""),"",(N65-M65)*24)</f>
        <v/>
      </c>
      <c r="P65" s="86"/>
      <c r="Q65" s="93" t="str">
        <f aca="false">IF(L65="","",INDEX(PARAMETRES!$B$53:$B$65,MONTH(L65)))</f>
        <v/>
      </c>
      <c r="R65" s="93" t="str">
        <f aca="false">IF(L65="","",INDEX(PARAMETRES!$C$53:$C$65,MONTH(L65)))</f>
        <v/>
      </c>
      <c r="S65" s="61" t="str">
        <f aca="false">IF(L65="","",YEAR(L65))</f>
        <v/>
      </c>
      <c r="T65" s="79"/>
      <c r="U65" s="91"/>
      <c r="V65" s="91"/>
      <c r="W65" s="92" t="str">
        <f aca="false">IF(OR(U65="",V65=""),"",(V65-U65)*24)</f>
        <v/>
      </c>
      <c r="X65" s="86"/>
      <c r="Y65" s="83"/>
      <c r="Z65" s="86"/>
      <c r="AA65" s="81" t="str">
        <f aca="false">IF(AND(L65&lt;&gt;"",T65&lt;&gt;""),T65-L65,"")</f>
        <v/>
      </c>
      <c r="AB65" s="61" t="str">
        <f aca="true">IF(L65="","",IF(AND(TODAY()&gt;L65,T65="",NOT(OR(Z65="Realisee",Z65="Annulee"))),"OUI","NON"))</f>
        <v/>
      </c>
      <c r="AC65" s="89"/>
      <c r="AD65" s="89"/>
      <c r="AE65" s="86"/>
      <c r="AF65" s="89"/>
      <c r="AG65" s="89"/>
      <c r="AH65" s="86"/>
      <c r="AI65" s="61" t="str">
        <f aca="false">IFERROR(INDEX(PARAMETRES!$B$536:$B$586,MATCH(AH65,PARAMETRES!$J$536:$J$586,0)),"")</f>
        <v/>
      </c>
      <c r="AJ65" s="61" t="str">
        <f aca="false">IFERROR(INDEX(PARAMETRES!$D$536:$D$586,MATCH(AH65,PARAMETRES!$J$536:$J$586,0)),"")</f>
        <v/>
      </c>
      <c r="AK65" s="61" t="str">
        <f aca="false">IFERROR(INDEX(PARAMETRES!$F$536:$F$586,MATCH(AH65,PARAMETRES!$J$536:$J$586,0)),"")</f>
        <v/>
      </c>
      <c r="AL65" s="61" t="str">
        <f aca="false">IFERROR(INDEX(PARAMETRES!$H$536:$H$586,MATCH(AH65,PARAMETRES!$J$536:$J$586,0)),"")</f>
        <v/>
      </c>
      <c r="AM65" s="89"/>
      <c r="AN65" s="89"/>
      <c r="AO65" s="80"/>
      <c r="AP65" s="80"/>
      <c r="AQ65" s="80"/>
      <c r="AR65" s="80"/>
      <c r="AS65" s="80"/>
      <c r="AT65" s="80"/>
      <c r="AU65" s="80"/>
      <c r="AV65" s="81" t="n">
        <f aca="false">IF(A65="",0,COUNTIFS(tbl_Beneficiaires_Activites[ID activite],A65))</f>
        <v>0</v>
      </c>
      <c r="AW65" s="80"/>
      <c r="AX65" s="80"/>
      <c r="AY65" s="80"/>
      <c r="AZ65" s="86"/>
      <c r="BA65" s="86"/>
      <c r="BB65" s="89"/>
      <c r="BC65" s="80"/>
      <c r="BD65" s="80"/>
      <c r="BE65" s="80"/>
      <c r="BF65" s="81" t="n">
        <f aca="false">IF(BD65="",0,BD65)-IF(BE65="",0,BE65)</f>
        <v>0</v>
      </c>
      <c r="BG65" s="82" t="n">
        <f aca="false">IF(OR(BD65="",BD65=0),0,BE65/BD65)</f>
        <v>0</v>
      </c>
      <c r="BH65" s="86"/>
      <c r="BI65" s="89"/>
      <c r="BJ65" s="80"/>
      <c r="BK65" s="80"/>
      <c r="BL65" s="86"/>
      <c r="BM65" s="89"/>
      <c r="BN65" s="89"/>
      <c r="BO65" s="89"/>
      <c r="BP65" s="89"/>
      <c r="BQ65" s="80"/>
      <c r="BR65" s="86"/>
      <c r="BS65" s="89"/>
      <c r="BT65" s="89"/>
      <c r="BU65" s="89"/>
      <c r="BV65" s="81" t="str">
        <f aca="false">IF(OR(AO65="",AV65=""),"",AV65-AO65)</f>
        <v/>
      </c>
      <c r="BW65" s="81" t="str">
        <f aca="false">IF(OR(BE65="",BD65=""),"",BE65-BD65)</f>
        <v/>
      </c>
      <c r="BX65" s="86"/>
      <c r="BY65" s="86"/>
      <c r="BZ65" s="86"/>
      <c r="CA65" s="86"/>
      <c r="CB65" s="89"/>
      <c r="CC65" s="89"/>
      <c r="CD65" s="83"/>
      <c r="CE65" s="86"/>
      <c r="CF65" s="79"/>
      <c r="CG65" s="89"/>
      <c r="CH65" s="86"/>
      <c r="CI65" s="89"/>
      <c r="CJ65" s="89"/>
      <c r="CK65" s="81" t="n">
        <f aca="false">IF(A65="",0,COUNTIF(tbl_Activites_Documents[ID Activite],A65))</f>
        <v>0</v>
      </c>
      <c r="CL65" s="81" t="n">
        <f aca="false">IF(A65="",0,COUNTIF(tbl_Activites_Risques[ID Activite],A65))</f>
        <v>0</v>
      </c>
      <c r="CM65" s="61" t="str">
        <f aca="false">IF(A65="","",IF(BE65&gt;BD65,"OUI","NON"))</f>
        <v/>
      </c>
      <c r="CN65" s="89"/>
    </row>
    <row r="66" customFormat="false" ht="30" hidden="false" customHeight="true" outlineLevel="0" collapsed="false">
      <c r="A66" s="61" t="str">
        <f aca="false">IF(G66="","","ACT"&amp;TEXT(ROW()-55,"00000"))</f>
        <v/>
      </c>
      <c r="B66" s="89"/>
      <c r="C66" s="86"/>
      <c r="D66" s="90" t="n">
        <f aca="false">IFERROR(INDEX(tbl_Projets[Titre complet du projet],MATCH(C66,tbl_Projets[ID Projet],0)),"")</f>
        <v>0</v>
      </c>
      <c r="E66" s="61" t="n">
        <f aca="false">IFERROR(INDEX(tbl_Projets[Domaine d''intervention],MATCH(C66,tbl_Projets[ID Projet],0)),"")</f>
        <v>0</v>
      </c>
      <c r="F66" s="61" t="n">
        <f aca="false">IFERROR(INDEX(tbl_Projets[Nom du responsable],MATCH(C66,tbl_Projets[ID Projet],0)),"")</f>
        <v>0</v>
      </c>
      <c r="G66" s="89"/>
      <c r="H66" s="89"/>
      <c r="I66" s="89"/>
      <c r="J66" s="86"/>
      <c r="K66" s="86"/>
      <c r="L66" s="79"/>
      <c r="M66" s="91"/>
      <c r="N66" s="91"/>
      <c r="O66" s="92" t="str">
        <f aca="false">IF(OR(M66="",N66=""),"",(N66-M66)*24)</f>
        <v/>
      </c>
      <c r="P66" s="86"/>
      <c r="Q66" s="93" t="str">
        <f aca="false">IF(L66="","",INDEX(PARAMETRES!$B$53:$B$65,MONTH(L66)))</f>
        <v/>
      </c>
      <c r="R66" s="93" t="str">
        <f aca="false">IF(L66="","",INDEX(PARAMETRES!$C$53:$C$65,MONTH(L66)))</f>
        <v/>
      </c>
      <c r="S66" s="61" t="str">
        <f aca="false">IF(L66="","",YEAR(L66))</f>
        <v/>
      </c>
      <c r="T66" s="79"/>
      <c r="U66" s="91"/>
      <c r="V66" s="91"/>
      <c r="W66" s="92" t="str">
        <f aca="false">IF(OR(U66="",V66=""),"",(V66-U66)*24)</f>
        <v/>
      </c>
      <c r="X66" s="86"/>
      <c r="Y66" s="83"/>
      <c r="Z66" s="86"/>
      <c r="AA66" s="81" t="str">
        <f aca="false">IF(AND(L66&lt;&gt;"",T66&lt;&gt;""),T66-L66,"")</f>
        <v/>
      </c>
      <c r="AB66" s="61" t="str">
        <f aca="true">IF(L66="","",IF(AND(TODAY()&gt;L66,T66="",NOT(OR(Z66="Realisee",Z66="Annulee"))),"OUI","NON"))</f>
        <v/>
      </c>
      <c r="AC66" s="89"/>
      <c r="AD66" s="89"/>
      <c r="AE66" s="86"/>
      <c r="AF66" s="89"/>
      <c r="AG66" s="89"/>
      <c r="AH66" s="86"/>
      <c r="AI66" s="61" t="str">
        <f aca="false">IFERROR(INDEX(PARAMETRES!$B$536:$B$586,MATCH(AH66,PARAMETRES!$J$536:$J$586,0)),"")</f>
        <v/>
      </c>
      <c r="AJ66" s="61" t="str">
        <f aca="false">IFERROR(INDEX(PARAMETRES!$D$536:$D$586,MATCH(AH66,PARAMETRES!$J$536:$J$586,0)),"")</f>
        <v/>
      </c>
      <c r="AK66" s="61" t="str">
        <f aca="false">IFERROR(INDEX(PARAMETRES!$F$536:$F$586,MATCH(AH66,PARAMETRES!$J$536:$J$586,0)),"")</f>
        <v/>
      </c>
      <c r="AL66" s="61" t="str">
        <f aca="false">IFERROR(INDEX(PARAMETRES!$H$536:$H$586,MATCH(AH66,PARAMETRES!$J$536:$J$586,0)),"")</f>
        <v/>
      </c>
      <c r="AM66" s="89"/>
      <c r="AN66" s="89"/>
      <c r="AO66" s="80"/>
      <c r="AP66" s="80"/>
      <c r="AQ66" s="80"/>
      <c r="AR66" s="80"/>
      <c r="AS66" s="80"/>
      <c r="AT66" s="80"/>
      <c r="AU66" s="80"/>
      <c r="AV66" s="81" t="n">
        <f aca="false">IF(A66="",0,COUNTIFS(tbl_Beneficiaires_Activites[ID activite],A66))</f>
        <v>0</v>
      </c>
      <c r="AW66" s="80"/>
      <c r="AX66" s="80"/>
      <c r="AY66" s="80"/>
      <c r="AZ66" s="86"/>
      <c r="BA66" s="86"/>
      <c r="BB66" s="89"/>
      <c r="BC66" s="80"/>
      <c r="BD66" s="80"/>
      <c r="BE66" s="80"/>
      <c r="BF66" s="81" t="n">
        <f aca="false">IF(BD66="",0,BD66)-IF(BE66="",0,BE66)</f>
        <v>0</v>
      </c>
      <c r="BG66" s="82" t="n">
        <f aca="false">IF(OR(BD66="",BD66=0),0,BE66/BD66)</f>
        <v>0</v>
      </c>
      <c r="BH66" s="86"/>
      <c r="BI66" s="89"/>
      <c r="BJ66" s="80"/>
      <c r="BK66" s="80"/>
      <c r="BL66" s="86"/>
      <c r="BM66" s="89"/>
      <c r="BN66" s="89"/>
      <c r="BO66" s="89"/>
      <c r="BP66" s="89"/>
      <c r="BQ66" s="80"/>
      <c r="BR66" s="86"/>
      <c r="BS66" s="89"/>
      <c r="BT66" s="89"/>
      <c r="BU66" s="89"/>
      <c r="BV66" s="81" t="str">
        <f aca="false">IF(OR(AO66="",AV66=""),"",AV66-AO66)</f>
        <v/>
      </c>
      <c r="BW66" s="81" t="str">
        <f aca="false">IF(OR(BE66="",BD66=""),"",BE66-BD66)</f>
        <v/>
      </c>
      <c r="BX66" s="86"/>
      <c r="BY66" s="86"/>
      <c r="BZ66" s="86"/>
      <c r="CA66" s="86"/>
      <c r="CB66" s="89"/>
      <c r="CC66" s="89"/>
      <c r="CD66" s="83"/>
      <c r="CE66" s="86"/>
      <c r="CF66" s="79"/>
      <c r="CG66" s="89"/>
      <c r="CH66" s="86"/>
      <c r="CI66" s="89"/>
      <c r="CJ66" s="89"/>
      <c r="CK66" s="81" t="n">
        <f aca="false">IF(A66="",0,COUNTIF(tbl_Activites_Documents[ID Activite],A66))</f>
        <v>0</v>
      </c>
      <c r="CL66" s="81" t="n">
        <f aca="false">IF(A66="",0,COUNTIF(tbl_Activites_Risques[ID Activite],A66))</f>
        <v>0</v>
      </c>
      <c r="CM66" s="61" t="str">
        <f aca="false">IF(A66="","",IF(BE66&gt;BD66,"OUI","NON"))</f>
        <v/>
      </c>
      <c r="CN66" s="89"/>
    </row>
    <row r="67" customFormat="false" ht="30" hidden="false" customHeight="true" outlineLevel="0" collapsed="false">
      <c r="A67" s="61" t="str">
        <f aca="false">IF(G67="","","ACT"&amp;TEXT(ROW()-55,"00000"))</f>
        <v/>
      </c>
      <c r="B67" s="89"/>
      <c r="C67" s="86"/>
      <c r="D67" s="90" t="n">
        <f aca="false">IFERROR(INDEX(tbl_Projets[Titre complet du projet],MATCH(C67,tbl_Projets[ID Projet],0)),"")</f>
        <v>0</v>
      </c>
      <c r="E67" s="61" t="n">
        <f aca="false">IFERROR(INDEX(tbl_Projets[Domaine d''intervention],MATCH(C67,tbl_Projets[ID Projet],0)),"")</f>
        <v>0</v>
      </c>
      <c r="F67" s="61" t="n">
        <f aca="false">IFERROR(INDEX(tbl_Projets[Nom du responsable],MATCH(C67,tbl_Projets[ID Projet],0)),"")</f>
        <v>0</v>
      </c>
      <c r="G67" s="89"/>
      <c r="H67" s="89"/>
      <c r="I67" s="89"/>
      <c r="J67" s="86"/>
      <c r="K67" s="86"/>
      <c r="L67" s="79"/>
      <c r="M67" s="91"/>
      <c r="N67" s="91"/>
      <c r="O67" s="92" t="str">
        <f aca="false">IF(OR(M67="",N67=""),"",(N67-M67)*24)</f>
        <v/>
      </c>
      <c r="P67" s="86"/>
      <c r="Q67" s="93" t="str">
        <f aca="false">IF(L67="","",INDEX(PARAMETRES!$B$53:$B$65,MONTH(L67)))</f>
        <v/>
      </c>
      <c r="R67" s="93" t="str">
        <f aca="false">IF(L67="","",INDEX(PARAMETRES!$C$53:$C$65,MONTH(L67)))</f>
        <v/>
      </c>
      <c r="S67" s="61" t="str">
        <f aca="false">IF(L67="","",YEAR(L67))</f>
        <v/>
      </c>
      <c r="T67" s="79"/>
      <c r="U67" s="91"/>
      <c r="V67" s="91"/>
      <c r="W67" s="92" t="str">
        <f aca="false">IF(OR(U67="",V67=""),"",(V67-U67)*24)</f>
        <v/>
      </c>
      <c r="X67" s="86"/>
      <c r="Y67" s="83"/>
      <c r="Z67" s="86"/>
      <c r="AA67" s="81" t="str">
        <f aca="false">IF(AND(L67&lt;&gt;"",T67&lt;&gt;""),T67-L67,"")</f>
        <v/>
      </c>
      <c r="AB67" s="61" t="str">
        <f aca="true">IF(L67="","",IF(AND(TODAY()&gt;L67,T67="",NOT(OR(Z67="Realisee",Z67="Annulee"))),"OUI","NON"))</f>
        <v/>
      </c>
      <c r="AC67" s="89"/>
      <c r="AD67" s="89"/>
      <c r="AE67" s="86"/>
      <c r="AF67" s="89"/>
      <c r="AG67" s="89"/>
      <c r="AH67" s="86"/>
      <c r="AI67" s="61" t="str">
        <f aca="false">IFERROR(INDEX(PARAMETRES!$B$536:$B$586,MATCH(AH67,PARAMETRES!$J$536:$J$586,0)),"")</f>
        <v/>
      </c>
      <c r="AJ67" s="61" t="str">
        <f aca="false">IFERROR(INDEX(PARAMETRES!$D$536:$D$586,MATCH(AH67,PARAMETRES!$J$536:$J$586,0)),"")</f>
        <v/>
      </c>
      <c r="AK67" s="61" t="str">
        <f aca="false">IFERROR(INDEX(PARAMETRES!$F$536:$F$586,MATCH(AH67,PARAMETRES!$J$536:$J$586,0)),"")</f>
        <v/>
      </c>
      <c r="AL67" s="61" t="str">
        <f aca="false">IFERROR(INDEX(PARAMETRES!$H$536:$H$586,MATCH(AH67,PARAMETRES!$J$536:$J$586,0)),"")</f>
        <v/>
      </c>
      <c r="AM67" s="89"/>
      <c r="AN67" s="89"/>
      <c r="AO67" s="80"/>
      <c r="AP67" s="80"/>
      <c r="AQ67" s="80"/>
      <c r="AR67" s="80"/>
      <c r="AS67" s="80"/>
      <c r="AT67" s="80"/>
      <c r="AU67" s="80"/>
      <c r="AV67" s="81" t="n">
        <f aca="false">IF(A67="",0,COUNTIFS(tbl_Beneficiaires_Activites[ID activite],A67))</f>
        <v>0</v>
      </c>
      <c r="AW67" s="80"/>
      <c r="AX67" s="80"/>
      <c r="AY67" s="80"/>
      <c r="AZ67" s="86"/>
      <c r="BA67" s="86"/>
      <c r="BB67" s="89"/>
      <c r="BC67" s="80"/>
      <c r="BD67" s="80"/>
      <c r="BE67" s="80"/>
      <c r="BF67" s="81" t="n">
        <f aca="false">IF(BD67="",0,BD67)-IF(BE67="",0,BE67)</f>
        <v>0</v>
      </c>
      <c r="BG67" s="82" t="n">
        <f aca="false">IF(OR(BD67="",BD67=0),0,BE67/BD67)</f>
        <v>0</v>
      </c>
      <c r="BH67" s="86"/>
      <c r="BI67" s="89"/>
      <c r="BJ67" s="80"/>
      <c r="BK67" s="80"/>
      <c r="BL67" s="86"/>
      <c r="BM67" s="89"/>
      <c r="BN67" s="89"/>
      <c r="BO67" s="89"/>
      <c r="BP67" s="89"/>
      <c r="BQ67" s="80"/>
      <c r="BR67" s="86"/>
      <c r="BS67" s="89"/>
      <c r="BT67" s="89"/>
      <c r="BU67" s="89"/>
      <c r="BV67" s="81" t="str">
        <f aca="false">IF(OR(AO67="",AV67=""),"",AV67-AO67)</f>
        <v/>
      </c>
      <c r="BW67" s="81" t="str">
        <f aca="false">IF(OR(BE67="",BD67=""),"",BE67-BD67)</f>
        <v/>
      </c>
      <c r="BX67" s="86"/>
      <c r="BY67" s="86"/>
      <c r="BZ67" s="86"/>
      <c r="CA67" s="86"/>
      <c r="CB67" s="89"/>
      <c r="CC67" s="89"/>
      <c r="CD67" s="83"/>
      <c r="CE67" s="86"/>
      <c r="CF67" s="79"/>
      <c r="CG67" s="89"/>
      <c r="CH67" s="86"/>
      <c r="CI67" s="89"/>
      <c r="CJ67" s="89"/>
      <c r="CK67" s="81" t="n">
        <f aca="false">IF(A67="",0,COUNTIF(tbl_Activites_Documents[ID Activite],A67))</f>
        <v>0</v>
      </c>
      <c r="CL67" s="81" t="n">
        <f aca="false">IF(A67="",0,COUNTIF(tbl_Activites_Risques[ID Activite],A67))</f>
        <v>0</v>
      </c>
      <c r="CM67" s="61" t="str">
        <f aca="false">IF(A67="","",IF(BE67&gt;BD67,"OUI","NON"))</f>
        <v/>
      </c>
      <c r="CN67" s="89"/>
    </row>
    <row r="68" customFormat="false" ht="30" hidden="false" customHeight="true" outlineLevel="0" collapsed="false">
      <c r="A68" s="61" t="str">
        <f aca="false">IF(G68="","","ACT"&amp;TEXT(ROW()-55,"00000"))</f>
        <v/>
      </c>
      <c r="B68" s="89"/>
      <c r="C68" s="86"/>
      <c r="D68" s="90" t="n">
        <f aca="false">IFERROR(INDEX(tbl_Projets[Titre complet du projet],MATCH(C68,tbl_Projets[ID Projet],0)),"")</f>
        <v>0</v>
      </c>
      <c r="E68" s="61" t="n">
        <f aca="false">IFERROR(INDEX(tbl_Projets[Domaine d''intervention],MATCH(C68,tbl_Projets[ID Projet],0)),"")</f>
        <v>0</v>
      </c>
      <c r="F68" s="61" t="n">
        <f aca="false">IFERROR(INDEX(tbl_Projets[Nom du responsable],MATCH(C68,tbl_Projets[ID Projet],0)),"")</f>
        <v>0</v>
      </c>
      <c r="G68" s="89"/>
      <c r="H68" s="89"/>
      <c r="I68" s="89"/>
      <c r="J68" s="86"/>
      <c r="K68" s="86"/>
      <c r="L68" s="79"/>
      <c r="M68" s="91"/>
      <c r="N68" s="91"/>
      <c r="O68" s="92" t="str">
        <f aca="false">IF(OR(M68="",N68=""),"",(N68-M68)*24)</f>
        <v/>
      </c>
      <c r="P68" s="86"/>
      <c r="Q68" s="93" t="str">
        <f aca="false">IF(L68="","",INDEX(PARAMETRES!$B$53:$B$65,MONTH(L68)))</f>
        <v/>
      </c>
      <c r="R68" s="93" t="str">
        <f aca="false">IF(L68="","",INDEX(PARAMETRES!$C$53:$C$65,MONTH(L68)))</f>
        <v/>
      </c>
      <c r="S68" s="61" t="str">
        <f aca="false">IF(L68="","",YEAR(L68))</f>
        <v/>
      </c>
      <c r="T68" s="79"/>
      <c r="U68" s="91"/>
      <c r="V68" s="91"/>
      <c r="W68" s="92" t="str">
        <f aca="false">IF(OR(U68="",V68=""),"",(V68-U68)*24)</f>
        <v/>
      </c>
      <c r="X68" s="86"/>
      <c r="Y68" s="83"/>
      <c r="Z68" s="86"/>
      <c r="AA68" s="81" t="str">
        <f aca="false">IF(AND(L68&lt;&gt;"",T68&lt;&gt;""),T68-L68,"")</f>
        <v/>
      </c>
      <c r="AB68" s="61" t="str">
        <f aca="true">IF(L68="","",IF(AND(TODAY()&gt;L68,T68="",NOT(OR(Z68="Realisee",Z68="Annulee"))),"OUI","NON"))</f>
        <v/>
      </c>
      <c r="AC68" s="89"/>
      <c r="AD68" s="89"/>
      <c r="AE68" s="86"/>
      <c r="AF68" s="89"/>
      <c r="AG68" s="89"/>
      <c r="AH68" s="86"/>
      <c r="AI68" s="61" t="str">
        <f aca="false">IFERROR(INDEX(PARAMETRES!$B$536:$B$586,MATCH(AH68,PARAMETRES!$J$536:$J$586,0)),"")</f>
        <v/>
      </c>
      <c r="AJ68" s="61" t="str">
        <f aca="false">IFERROR(INDEX(PARAMETRES!$D$536:$D$586,MATCH(AH68,PARAMETRES!$J$536:$J$586,0)),"")</f>
        <v/>
      </c>
      <c r="AK68" s="61" t="str">
        <f aca="false">IFERROR(INDEX(PARAMETRES!$F$536:$F$586,MATCH(AH68,PARAMETRES!$J$536:$J$586,0)),"")</f>
        <v/>
      </c>
      <c r="AL68" s="61" t="str">
        <f aca="false">IFERROR(INDEX(PARAMETRES!$H$536:$H$586,MATCH(AH68,PARAMETRES!$J$536:$J$586,0)),"")</f>
        <v/>
      </c>
      <c r="AM68" s="89"/>
      <c r="AN68" s="89"/>
      <c r="AO68" s="80"/>
      <c r="AP68" s="80"/>
      <c r="AQ68" s="80"/>
      <c r="AR68" s="80"/>
      <c r="AS68" s="80"/>
      <c r="AT68" s="80"/>
      <c r="AU68" s="80"/>
      <c r="AV68" s="81" t="n">
        <f aca="false">IF(A68="",0,COUNTIFS(tbl_Beneficiaires_Activites[ID activite],A68))</f>
        <v>0</v>
      </c>
      <c r="AW68" s="80"/>
      <c r="AX68" s="80"/>
      <c r="AY68" s="80"/>
      <c r="AZ68" s="86"/>
      <c r="BA68" s="86"/>
      <c r="BB68" s="89"/>
      <c r="BC68" s="80"/>
      <c r="BD68" s="80"/>
      <c r="BE68" s="80"/>
      <c r="BF68" s="81" t="n">
        <f aca="false">IF(BD68="",0,BD68)-IF(BE68="",0,BE68)</f>
        <v>0</v>
      </c>
      <c r="BG68" s="82" t="n">
        <f aca="false">IF(OR(BD68="",BD68=0),0,BE68/BD68)</f>
        <v>0</v>
      </c>
      <c r="BH68" s="86"/>
      <c r="BI68" s="89"/>
      <c r="BJ68" s="80"/>
      <c r="BK68" s="80"/>
      <c r="BL68" s="86"/>
      <c r="BM68" s="89"/>
      <c r="BN68" s="89"/>
      <c r="BO68" s="89"/>
      <c r="BP68" s="89"/>
      <c r="BQ68" s="80"/>
      <c r="BR68" s="86"/>
      <c r="BS68" s="89"/>
      <c r="BT68" s="89"/>
      <c r="BU68" s="89"/>
      <c r="BV68" s="81" t="str">
        <f aca="false">IF(OR(AO68="",AV68=""),"",AV68-AO68)</f>
        <v/>
      </c>
      <c r="BW68" s="81" t="str">
        <f aca="false">IF(OR(BE68="",BD68=""),"",BE68-BD68)</f>
        <v/>
      </c>
      <c r="BX68" s="86"/>
      <c r="BY68" s="86"/>
      <c r="BZ68" s="86"/>
      <c r="CA68" s="86"/>
      <c r="CB68" s="89"/>
      <c r="CC68" s="89"/>
      <c r="CD68" s="83"/>
      <c r="CE68" s="86"/>
      <c r="CF68" s="79"/>
      <c r="CG68" s="89"/>
      <c r="CH68" s="86"/>
      <c r="CI68" s="89"/>
      <c r="CJ68" s="89"/>
      <c r="CK68" s="81" t="n">
        <f aca="false">IF(A68="",0,COUNTIF(tbl_Activites_Documents[ID Activite],A68))</f>
        <v>0</v>
      </c>
      <c r="CL68" s="81" t="n">
        <f aca="false">IF(A68="",0,COUNTIF(tbl_Activites_Risques[ID Activite],A68))</f>
        <v>0</v>
      </c>
      <c r="CM68" s="61" t="str">
        <f aca="false">IF(A68="","",IF(BE68&gt;BD68,"OUI","NON"))</f>
        <v/>
      </c>
      <c r="CN68" s="89"/>
    </row>
    <row r="69" customFormat="false" ht="30" hidden="false" customHeight="true" outlineLevel="0" collapsed="false">
      <c r="A69" s="61" t="str">
        <f aca="false">IF(G69="","","ACT"&amp;TEXT(ROW()-55,"00000"))</f>
        <v/>
      </c>
      <c r="B69" s="89"/>
      <c r="C69" s="86"/>
      <c r="D69" s="90" t="n">
        <f aca="false">IFERROR(INDEX(tbl_Projets[Titre complet du projet],MATCH(C69,tbl_Projets[ID Projet],0)),"")</f>
        <v>0</v>
      </c>
      <c r="E69" s="61" t="n">
        <f aca="false">IFERROR(INDEX(tbl_Projets[Domaine d''intervention],MATCH(C69,tbl_Projets[ID Projet],0)),"")</f>
        <v>0</v>
      </c>
      <c r="F69" s="61" t="n">
        <f aca="false">IFERROR(INDEX(tbl_Projets[Nom du responsable],MATCH(C69,tbl_Projets[ID Projet],0)),"")</f>
        <v>0</v>
      </c>
      <c r="G69" s="89"/>
      <c r="H69" s="89"/>
      <c r="I69" s="89"/>
      <c r="J69" s="86"/>
      <c r="K69" s="86"/>
      <c r="L69" s="79"/>
      <c r="M69" s="91"/>
      <c r="N69" s="91"/>
      <c r="O69" s="92" t="str">
        <f aca="false">IF(OR(M69="",N69=""),"",(N69-M69)*24)</f>
        <v/>
      </c>
      <c r="P69" s="86"/>
      <c r="Q69" s="93" t="str">
        <f aca="false">IF(L69="","",INDEX(PARAMETRES!$B$53:$B$65,MONTH(L69)))</f>
        <v/>
      </c>
      <c r="R69" s="93" t="str">
        <f aca="false">IF(L69="","",INDEX(PARAMETRES!$C$53:$C$65,MONTH(L69)))</f>
        <v/>
      </c>
      <c r="S69" s="61" t="str">
        <f aca="false">IF(L69="","",YEAR(L69))</f>
        <v/>
      </c>
      <c r="T69" s="79"/>
      <c r="U69" s="91"/>
      <c r="V69" s="91"/>
      <c r="W69" s="92" t="str">
        <f aca="false">IF(OR(U69="",V69=""),"",(V69-U69)*24)</f>
        <v/>
      </c>
      <c r="X69" s="86"/>
      <c r="Y69" s="83"/>
      <c r="Z69" s="86"/>
      <c r="AA69" s="81" t="str">
        <f aca="false">IF(AND(L69&lt;&gt;"",T69&lt;&gt;""),T69-L69,"")</f>
        <v/>
      </c>
      <c r="AB69" s="61" t="str">
        <f aca="true">IF(L69="","",IF(AND(TODAY()&gt;L69,T69="",NOT(OR(Z69="Realisee",Z69="Annulee"))),"OUI","NON"))</f>
        <v/>
      </c>
      <c r="AC69" s="89"/>
      <c r="AD69" s="89"/>
      <c r="AE69" s="86"/>
      <c r="AF69" s="89"/>
      <c r="AG69" s="89"/>
      <c r="AH69" s="86"/>
      <c r="AI69" s="61" t="str">
        <f aca="false">IFERROR(INDEX(PARAMETRES!$B$536:$B$586,MATCH(AH69,PARAMETRES!$J$536:$J$586,0)),"")</f>
        <v/>
      </c>
      <c r="AJ69" s="61" t="str">
        <f aca="false">IFERROR(INDEX(PARAMETRES!$D$536:$D$586,MATCH(AH69,PARAMETRES!$J$536:$J$586,0)),"")</f>
        <v/>
      </c>
      <c r="AK69" s="61" t="str">
        <f aca="false">IFERROR(INDEX(PARAMETRES!$F$536:$F$586,MATCH(AH69,PARAMETRES!$J$536:$J$586,0)),"")</f>
        <v/>
      </c>
      <c r="AL69" s="61" t="str">
        <f aca="false">IFERROR(INDEX(PARAMETRES!$H$536:$H$586,MATCH(AH69,PARAMETRES!$J$536:$J$586,0)),"")</f>
        <v/>
      </c>
      <c r="AM69" s="89"/>
      <c r="AN69" s="89"/>
      <c r="AO69" s="80"/>
      <c r="AP69" s="80"/>
      <c r="AQ69" s="80"/>
      <c r="AR69" s="80"/>
      <c r="AS69" s="80"/>
      <c r="AT69" s="80"/>
      <c r="AU69" s="80"/>
      <c r="AV69" s="81" t="n">
        <f aca="false">IF(A69="",0,COUNTIFS(tbl_Beneficiaires_Activites[ID activite],A69))</f>
        <v>0</v>
      </c>
      <c r="AW69" s="80"/>
      <c r="AX69" s="80"/>
      <c r="AY69" s="80"/>
      <c r="AZ69" s="86"/>
      <c r="BA69" s="86"/>
      <c r="BB69" s="89"/>
      <c r="BC69" s="80"/>
      <c r="BD69" s="80"/>
      <c r="BE69" s="80"/>
      <c r="BF69" s="81" t="n">
        <f aca="false">IF(BD69="",0,BD69)-IF(BE69="",0,BE69)</f>
        <v>0</v>
      </c>
      <c r="BG69" s="82" t="n">
        <f aca="false">IF(OR(BD69="",BD69=0),0,BE69/BD69)</f>
        <v>0</v>
      </c>
      <c r="BH69" s="86"/>
      <c r="BI69" s="89"/>
      <c r="BJ69" s="80"/>
      <c r="BK69" s="80"/>
      <c r="BL69" s="86"/>
      <c r="BM69" s="89"/>
      <c r="BN69" s="89"/>
      <c r="BO69" s="89"/>
      <c r="BP69" s="89"/>
      <c r="BQ69" s="80"/>
      <c r="BR69" s="86"/>
      <c r="BS69" s="89"/>
      <c r="BT69" s="89"/>
      <c r="BU69" s="89"/>
      <c r="BV69" s="81" t="str">
        <f aca="false">IF(OR(AO69="",AV69=""),"",AV69-AO69)</f>
        <v/>
      </c>
      <c r="BW69" s="81" t="str">
        <f aca="false">IF(OR(BE69="",BD69=""),"",BE69-BD69)</f>
        <v/>
      </c>
      <c r="BX69" s="86"/>
      <c r="BY69" s="86"/>
      <c r="BZ69" s="86"/>
      <c r="CA69" s="86"/>
      <c r="CB69" s="89"/>
      <c r="CC69" s="89"/>
      <c r="CD69" s="83"/>
      <c r="CE69" s="86"/>
      <c r="CF69" s="79"/>
      <c r="CG69" s="89"/>
      <c r="CH69" s="86"/>
      <c r="CI69" s="89"/>
      <c r="CJ69" s="89"/>
      <c r="CK69" s="81" t="n">
        <f aca="false">IF(A69="",0,COUNTIF(tbl_Activites_Documents[ID Activite],A69))</f>
        <v>0</v>
      </c>
      <c r="CL69" s="81" t="n">
        <f aca="false">IF(A69="",0,COUNTIF(tbl_Activites_Risques[ID Activite],A69))</f>
        <v>0</v>
      </c>
      <c r="CM69" s="61" t="str">
        <f aca="false">IF(A69="","",IF(BE69&gt;BD69,"OUI","NON"))</f>
        <v/>
      </c>
      <c r="CN69" s="89"/>
    </row>
    <row r="70" customFormat="false" ht="30" hidden="false" customHeight="true" outlineLevel="0" collapsed="false">
      <c r="A70" s="61" t="str">
        <f aca="false">IF(G70="","","ACT"&amp;TEXT(ROW()-55,"00000"))</f>
        <v/>
      </c>
      <c r="B70" s="89"/>
      <c r="C70" s="86"/>
      <c r="D70" s="90" t="n">
        <f aca="false">IFERROR(INDEX(tbl_Projets[Titre complet du projet],MATCH(C70,tbl_Projets[ID Projet],0)),"")</f>
        <v>0</v>
      </c>
      <c r="E70" s="61" t="n">
        <f aca="false">IFERROR(INDEX(tbl_Projets[Domaine d''intervention],MATCH(C70,tbl_Projets[ID Projet],0)),"")</f>
        <v>0</v>
      </c>
      <c r="F70" s="61" t="n">
        <f aca="false">IFERROR(INDEX(tbl_Projets[Nom du responsable],MATCH(C70,tbl_Projets[ID Projet],0)),"")</f>
        <v>0</v>
      </c>
      <c r="G70" s="89"/>
      <c r="H70" s="89"/>
      <c r="I70" s="89"/>
      <c r="J70" s="86"/>
      <c r="K70" s="86"/>
      <c r="L70" s="79"/>
      <c r="M70" s="91"/>
      <c r="N70" s="91"/>
      <c r="O70" s="92" t="str">
        <f aca="false">IF(OR(M70="",N70=""),"",(N70-M70)*24)</f>
        <v/>
      </c>
      <c r="P70" s="86"/>
      <c r="Q70" s="93" t="str">
        <f aca="false">IF(L70="","",INDEX(PARAMETRES!$B$53:$B$65,MONTH(L70)))</f>
        <v/>
      </c>
      <c r="R70" s="93" t="str">
        <f aca="false">IF(L70="","",INDEX(PARAMETRES!$C$53:$C$65,MONTH(L70)))</f>
        <v/>
      </c>
      <c r="S70" s="61" t="str">
        <f aca="false">IF(L70="","",YEAR(L70))</f>
        <v/>
      </c>
      <c r="T70" s="79"/>
      <c r="U70" s="91"/>
      <c r="V70" s="91"/>
      <c r="W70" s="92" t="str">
        <f aca="false">IF(OR(U70="",V70=""),"",(V70-U70)*24)</f>
        <v/>
      </c>
      <c r="X70" s="86"/>
      <c r="Y70" s="83"/>
      <c r="Z70" s="86"/>
      <c r="AA70" s="81" t="str">
        <f aca="false">IF(AND(L70&lt;&gt;"",T70&lt;&gt;""),T70-L70,"")</f>
        <v/>
      </c>
      <c r="AB70" s="61" t="str">
        <f aca="true">IF(L70="","",IF(AND(TODAY()&gt;L70,T70="",NOT(OR(Z70="Realisee",Z70="Annulee"))),"OUI","NON"))</f>
        <v/>
      </c>
      <c r="AC70" s="89"/>
      <c r="AD70" s="89"/>
      <c r="AE70" s="86"/>
      <c r="AF70" s="89"/>
      <c r="AG70" s="89"/>
      <c r="AH70" s="86"/>
      <c r="AI70" s="61" t="str">
        <f aca="false">IFERROR(INDEX(PARAMETRES!$B$536:$B$586,MATCH(AH70,PARAMETRES!$J$536:$J$586,0)),"")</f>
        <v/>
      </c>
      <c r="AJ70" s="61" t="str">
        <f aca="false">IFERROR(INDEX(PARAMETRES!$D$536:$D$586,MATCH(AH70,PARAMETRES!$J$536:$J$586,0)),"")</f>
        <v/>
      </c>
      <c r="AK70" s="61" t="str">
        <f aca="false">IFERROR(INDEX(PARAMETRES!$F$536:$F$586,MATCH(AH70,PARAMETRES!$J$536:$J$586,0)),"")</f>
        <v/>
      </c>
      <c r="AL70" s="61" t="str">
        <f aca="false">IFERROR(INDEX(PARAMETRES!$H$536:$H$586,MATCH(AH70,PARAMETRES!$J$536:$J$586,0)),"")</f>
        <v/>
      </c>
      <c r="AM70" s="89"/>
      <c r="AN70" s="89"/>
      <c r="AO70" s="80"/>
      <c r="AP70" s="80"/>
      <c r="AQ70" s="80"/>
      <c r="AR70" s="80"/>
      <c r="AS70" s="80"/>
      <c r="AT70" s="80"/>
      <c r="AU70" s="80"/>
      <c r="AV70" s="81" t="n">
        <f aca="false">IF(A70="",0,COUNTIFS(tbl_Beneficiaires_Activites[ID activite],A70))</f>
        <v>0</v>
      </c>
      <c r="AW70" s="80"/>
      <c r="AX70" s="80"/>
      <c r="AY70" s="80"/>
      <c r="AZ70" s="86"/>
      <c r="BA70" s="86"/>
      <c r="BB70" s="89"/>
      <c r="BC70" s="80"/>
      <c r="BD70" s="80"/>
      <c r="BE70" s="80"/>
      <c r="BF70" s="81" t="n">
        <f aca="false">IF(BD70="",0,BD70)-IF(BE70="",0,BE70)</f>
        <v>0</v>
      </c>
      <c r="BG70" s="82" t="n">
        <f aca="false">IF(OR(BD70="",BD70=0),0,BE70/BD70)</f>
        <v>0</v>
      </c>
      <c r="BH70" s="86"/>
      <c r="BI70" s="89"/>
      <c r="BJ70" s="80"/>
      <c r="BK70" s="80"/>
      <c r="BL70" s="86"/>
      <c r="BM70" s="89"/>
      <c r="BN70" s="89"/>
      <c r="BO70" s="89"/>
      <c r="BP70" s="89"/>
      <c r="BQ70" s="80"/>
      <c r="BR70" s="86"/>
      <c r="BS70" s="89"/>
      <c r="BT70" s="89"/>
      <c r="BU70" s="89"/>
      <c r="BV70" s="81" t="str">
        <f aca="false">IF(OR(AO70="",AV70=""),"",AV70-AO70)</f>
        <v/>
      </c>
      <c r="BW70" s="81" t="str">
        <f aca="false">IF(OR(BE70="",BD70=""),"",BE70-BD70)</f>
        <v/>
      </c>
      <c r="BX70" s="86"/>
      <c r="BY70" s="86"/>
      <c r="BZ70" s="86"/>
      <c r="CA70" s="86"/>
      <c r="CB70" s="89"/>
      <c r="CC70" s="89"/>
      <c r="CD70" s="83"/>
      <c r="CE70" s="86"/>
      <c r="CF70" s="79"/>
      <c r="CG70" s="89"/>
      <c r="CH70" s="86"/>
      <c r="CI70" s="89"/>
      <c r="CJ70" s="89"/>
      <c r="CK70" s="81" t="n">
        <f aca="false">IF(A70="",0,COUNTIF(tbl_Activites_Documents[ID Activite],A70))</f>
        <v>0</v>
      </c>
      <c r="CL70" s="81" t="n">
        <f aca="false">IF(A70="",0,COUNTIF(tbl_Activites_Risques[ID Activite],A70))</f>
        <v>0</v>
      </c>
      <c r="CM70" s="61" t="str">
        <f aca="false">IF(A70="","",IF(BE70&gt;BD70,"OUI","NON"))</f>
        <v/>
      </c>
      <c r="CN70" s="89"/>
    </row>
    <row r="71" customFormat="false" ht="30" hidden="false" customHeight="true" outlineLevel="0" collapsed="false">
      <c r="A71" s="61" t="str">
        <f aca="false">IF(G71="","","ACT"&amp;TEXT(ROW()-55,"00000"))</f>
        <v/>
      </c>
      <c r="B71" s="89"/>
      <c r="C71" s="86"/>
      <c r="D71" s="90" t="n">
        <f aca="false">IFERROR(INDEX(tbl_Projets[Titre complet du projet],MATCH(C71,tbl_Projets[ID Projet],0)),"")</f>
        <v>0</v>
      </c>
      <c r="E71" s="61" t="n">
        <f aca="false">IFERROR(INDEX(tbl_Projets[Domaine d''intervention],MATCH(C71,tbl_Projets[ID Projet],0)),"")</f>
        <v>0</v>
      </c>
      <c r="F71" s="61" t="n">
        <f aca="false">IFERROR(INDEX(tbl_Projets[Nom du responsable],MATCH(C71,tbl_Projets[ID Projet],0)),"")</f>
        <v>0</v>
      </c>
      <c r="G71" s="89"/>
      <c r="H71" s="89"/>
      <c r="I71" s="89"/>
      <c r="J71" s="86"/>
      <c r="K71" s="86"/>
      <c r="L71" s="79"/>
      <c r="M71" s="91"/>
      <c r="N71" s="91"/>
      <c r="O71" s="92" t="str">
        <f aca="false">IF(OR(M71="",N71=""),"",(N71-M71)*24)</f>
        <v/>
      </c>
      <c r="P71" s="86"/>
      <c r="Q71" s="93" t="str">
        <f aca="false">IF(L71="","",INDEX(PARAMETRES!$B$53:$B$65,MONTH(L71)))</f>
        <v/>
      </c>
      <c r="R71" s="93" t="str">
        <f aca="false">IF(L71="","",INDEX(PARAMETRES!$C$53:$C$65,MONTH(L71)))</f>
        <v/>
      </c>
      <c r="S71" s="61" t="str">
        <f aca="false">IF(L71="","",YEAR(L71))</f>
        <v/>
      </c>
      <c r="T71" s="79"/>
      <c r="U71" s="91"/>
      <c r="V71" s="91"/>
      <c r="W71" s="92" t="str">
        <f aca="false">IF(OR(U71="",V71=""),"",(V71-U71)*24)</f>
        <v/>
      </c>
      <c r="X71" s="86"/>
      <c r="Y71" s="83"/>
      <c r="Z71" s="86"/>
      <c r="AA71" s="81" t="str">
        <f aca="false">IF(AND(L71&lt;&gt;"",T71&lt;&gt;""),T71-L71,"")</f>
        <v/>
      </c>
      <c r="AB71" s="61" t="str">
        <f aca="true">IF(L71="","",IF(AND(TODAY()&gt;L71,T71="",NOT(OR(Z71="Realisee",Z71="Annulee"))),"OUI","NON"))</f>
        <v/>
      </c>
      <c r="AC71" s="89"/>
      <c r="AD71" s="89"/>
      <c r="AE71" s="86"/>
      <c r="AF71" s="89"/>
      <c r="AG71" s="89"/>
      <c r="AH71" s="86"/>
      <c r="AI71" s="61" t="str">
        <f aca="false">IFERROR(INDEX(PARAMETRES!$B$536:$B$586,MATCH(AH71,PARAMETRES!$J$536:$J$586,0)),"")</f>
        <v/>
      </c>
      <c r="AJ71" s="61" t="str">
        <f aca="false">IFERROR(INDEX(PARAMETRES!$D$536:$D$586,MATCH(AH71,PARAMETRES!$J$536:$J$586,0)),"")</f>
        <v/>
      </c>
      <c r="AK71" s="61" t="str">
        <f aca="false">IFERROR(INDEX(PARAMETRES!$F$536:$F$586,MATCH(AH71,PARAMETRES!$J$536:$J$586,0)),"")</f>
        <v/>
      </c>
      <c r="AL71" s="61" t="str">
        <f aca="false">IFERROR(INDEX(PARAMETRES!$H$536:$H$586,MATCH(AH71,PARAMETRES!$J$536:$J$586,0)),"")</f>
        <v/>
      </c>
      <c r="AM71" s="89"/>
      <c r="AN71" s="89"/>
      <c r="AO71" s="80"/>
      <c r="AP71" s="80"/>
      <c r="AQ71" s="80"/>
      <c r="AR71" s="80"/>
      <c r="AS71" s="80"/>
      <c r="AT71" s="80"/>
      <c r="AU71" s="80"/>
      <c r="AV71" s="81" t="n">
        <f aca="false">IF(A71="",0,COUNTIFS(tbl_Beneficiaires_Activites[ID activite],A71))</f>
        <v>0</v>
      </c>
      <c r="AW71" s="80"/>
      <c r="AX71" s="80"/>
      <c r="AY71" s="80"/>
      <c r="AZ71" s="86"/>
      <c r="BA71" s="86"/>
      <c r="BB71" s="89"/>
      <c r="BC71" s="80"/>
      <c r="BD71" s="80"/>
      <c r="BE71" s="80"/>
      <c r="BF71" s="81" t="n">
        <f aca="false">IF(BD71="",0,BD71)-IF(BE71="",0,BE71)</f>
        <v>0</v>
      </c>
      <c r="BG71" s="82" t="n">
        <f aca="false">IF(OR(BD71="",BD71=0),0,BE71/BD71)</f>
        <v>0</v>
      </c>
      <c r="BH71" s="86"/>
      <c r="BI71" s="89"/>
      <c r="BJ71" s="80"/>
      <c r="BK71" s="80"/>
      <c r="BL71" s="86"/>
      <c r="BM71" s="89"/>
      <c r="BN71" s="89"/>
      <c r="BO71" s="89"/>
      <c r="BP71" s="89"/>
      <c r="BQ71" s="80"/>
      <c r="BR71" s="86"/>
      <c r="BS71" s="89"/>
      <c r="BT71" s="89"/>
      <c r="BU71" s="89"/>
      <c r="BV71" s="81" t="str">
        <f aca="false">IF(OR(AO71="",AV71=""),"",AV71-AO71)</f>
        <v/>
      </c>
      <c r="BW71" s="81" t="str">
        <f aca="false">IF(OR(BE71="",BD71=""),"",BE71-BD71)</f>
        <v/>
      </c>
      <c r="BX71" s="86"/>
      <c r="BY71" s="86"/>
      <c r="BZ71" s="86"/>
      <c r="CA71" s="86"/>
      <c r="CB71" s="89"/>
      <c r="CC71" s="89"/>
      <c r="CD71" s="83"/>
      <c r="CE71" s="86"/>
      <c r="CF71" s="79"/>
      <c r="CG71" s="89"/>
      <c r="CH71" s="86"/>
      <c r="CI71" s="89"/>
      <c r="CJ71" s="89"/>
      <c r="CK71" s="81" t="n">
        <f aca="false">IF(A71="",0,COUNTIF(tbl_Activites_Documents[ID Activite],A71))</f>
        <v>0</v>
      </c>
      <c r="CL71" s="81" t="n">
        <f aca="false">IF(A71="",0,COUNTIF(tbl_Activites_Risques[ID Activite],A71))</f>
        <v>0</v>
      </c>
      <c r="CM71" s="61" t="str">
        <f aca="false">IF(A71="","",IF(BE71&gt;BD71,"OUI","NON"))</f>
        <v/>
      </c>
      <c r="CN71" s="89"/>
    </row>
    <row r="72" customFormat="false" ht="30" hidden="false" customHeight="true" outlineLevel="0" collapsed="false">
      <c r="A72" s="61" t="str">
        <f aca="false">IF(G72="","","ACT"&amp;TEXT(ROW()-55,"00000"))</f>
        <v/>
      </c>
      <c r="B72" s="89"/>
      <c r="C72" s="86"/>
      <c r="D72" s="90" t="n">
        <f aca="false">IFERROR(INDEX(tbl_Projets[Titre complet du projet],MATCH(C72,tbl_Projets[ID Projet],0)),"")</f>
        <v>0</v>
      </c>
      <c r="E72" s="61" t="n">
        <f aca="false">IFERROR(INDEX(tbl_Projets[Domaine d''intervention],MATCH(C72,tbl_Projets[ID Projet],0)),"")</f>
        <v>0</v>
      </c>
      <c r="F72" s="61" t="n">
        <f aca="false">IFERROR(INDEX(tbl_Projets[Nom du responsable],MATCH(C72,tbl_Projets[ID Projet],0)),"")</f>
        <v>0</v>
      </c>
      <c r="G72" s="89"/>
      <c r="H72" s="89"/>
      <c r="I72" s="89"/>
      <c r="J72" s="86"/>
      <c r="K72" s="86"/>
      <c r="L72" s="79"/>
      <c r="M72" s="91"/>
      <c r="N72" s="91"/>
      <c r="O72" s="92" t="str">
        <f aca="false">IF(OR(M72="",N72=""),"",(N72-M72)*24)</f>
        <v/>
      </c>
      <c r="P72" s="86"/>
      <c r="Q72" s="93" t="str">
        <f aca="false">IF(L72="","",INDEX(PARAMETRES!$B$53:$B$65,MONTH(L72)))</f>
        <v/>
      </c>
      <c r="R72" s="93" t="str">
        <f aca="false">IF(L72="","",INDEX(PARAMETRES!$C$53:$C$65,MONTH(L72)))</f>
        <v/>
      </c>
      <c r="S72" s="61" t="str">
        <f aca="false">IF(L72="","",YEAR(L72))</f>
        <v/>
      </c>
      <c r="T72" s="79"/>
      <c r="U72" s="91"/>
      <c r="V72" s="91"/>
      <c r="W72" s="92" t="str">
        <f aca="false">IF(OR(U72="",V72=""),"",(V72-U72)*24)</f>
        <v/>
      </c>
      <c r="X72" s="86"/>
      <c r="Y72" s="83"/>
      <c r="Z72" s="86"/>
      <c r="AA72" s="81" t="str">
        <f aca="false">IF(AND(L72&lt;&gt;"",T72&lt;&gt;""),T72-L72,"")</f>
        <v/>
      </c>
      <c r="AB72" s="61" t="str">
        <f aca="true">IF(L72="","",IF(AND(TODAY()&gt;L72,T72="",NOT(OR(Z72="Realisee",Z72="Annulee"))),"OUI","NON"))</f>
        <v/>
      </c>
      <c r="AC72" s="89"/>
      <c r="AD72" s="89"/>
      <c r="AE72" s="86"/>
      <c r="AF72" s="89"/>
      <c r="AG72" s="89"/>
      <c r="AH72" s="86"/>
      <c r="AI72" s="61" t="str">
        <f aca="false">IFERROR(INDEX(PARAMETRES!$B$536:$B$586,MATCH(AH72,PARAMETRES!$J$536:$J$586,0)),"")</f>
        <v/>
      </c>
      <c r="AJ72" s="61" t="str">
        <f aca="false">IFERROR(INDEX(PARAMETRES!$D$536:$D$586,MATCH(AH72,PARAMETRES!$J$536:$J$586,0)),"")</f>
        <v/>
      </c>
      <c r="AK72" s="61" t="str">
        <f aca="false">IFERROR(INDEX(PARAMETRES!$F$536:$F$586,MATCH(AH72,PARAMETRES!$J$536:$J$586,0)),"")</f>
        <v/>
      </c>
      <c r="AL72" s="61" t="str">
        <f aca="false">IFERROR(INDEX(PARAMETRES!$H$536:$H$586,MATCH(AH72,PARAMETRES!$J$536:$J$586,0)),"")</f>
        <v/>
      </c>
      <c r="AM72" s="89"/>
      <c r="AN72" s="89"/>
      <c r="AO72" s="80"/>
      <c r="AP72" s="80"/>
      <c r="AQ72" s="80"/>
      <c r="AR72" s="80"/>
      <c r="AS72" s="80"/>
      <c r="AT72" s="80"/>
      <c r="AU72" s="80"/>
      <c r="AV72" s="81" t="n">
        <f aca="false">IF(A72="",0,COUNTIFS(tbl_Beneficiaires_Activites[ID activite],A72))</f>
        <v>0</v>
      </c>
      <c r="AW72" s="80"/>
      <c r="AX72" s="80"/>
      <c r="AY72" s="80"/>
      <c r="AZ72" s="86"/>
      <c r="BA72" s="86"/>
      <c r="BB72" s="89"/>
      <c r="BC72" s="80"/>
      <c r="BD72" s="80"/>
      <c r="BE72" s="80"/>
      <c r="BF72" s="81" t="n">
        <f aca="false">IF(BD72="",0,BD72)-IF(BE72="",0,BE72)</f>
        <v>0</v>
      </c>
      <c r="BG72" s="82" t="n">
        <f aca="false">IF(OR(BD72="",BD72=0),0,BE72/BD72)</f>
        <v>0</v>
      </c>
      <c r="BH72" s="86"/>
      <c r="BI72" s="89"/>
      <c r="BJ72" s="80"/>
      <c r="BK72" s="80"/>
      <c r="BL72" s="86"/>
      <c r="BM72" s="89"/>
      <c r="BN72" s="89"/>
      <c r="BO72" s="89"/>
      <c r="BP72" s="89"/>
      <c r="BQ72" s="80"/>
      <c r="BR72" s="86"/>
      <c r="BS72" s="89"/>
      <c r="BT72" s="89"/>
      <c r="BU72" s="89"/>
      <c r="BV72" s="81" t="str">
        <f aca="false">IF(OR(AO72="",AV72=""),"",AV72-AO72)</f>
        <v/>
      </c>
      <c r="BW72" s="81" t="str">
        <f aca="false">IF(OR(BE72="",BD72=""),"",BE72-BD72)</f>
        <v/>
      </c>
      <c r="BX72" s="86"/>
      <c r="BY72" s="86"/>
      <c r="BZ72" s="86"/>
      <c r="CA72" s="86"/>
      <c r="CB72" s="89"/>
      <c r="CC72" s="89"/>
      <c r="CD72" s="83"/>
      <c r="CE72" s="86"/>
      <c r="CF72" s="79"/>
      <c r="CG72" s="89"/>
      <c r="CH72" s="86"/>
      <c r="CI72" s="89"/>
      <c r="CJ72" s="89"/>
      <c r="CK72" s="81" t="n">
        <f aca="false">IF(A72="",0,COUNTIF(tbl_Activites_Documents[ID Activite],A72))</f>
        <v>0</v>
      </c>
      <c r="CL72" s="81" t="n">
        <f aca="false">IF(A72="",0,COUNTIF(tbl_Activites_Risques[ID Activite],A72))</f>
        <v>0</v>
      </c>
      <c r="CM72" s="61" t="str">
        <f aca="false">IF(A72="","",IF(BE72&gt;BD72,"OUI","NON"))</f>
        <v/>
      </c>
      <c r="CN72" s="89"/>
    </row>
    <row r="73" customFormat="false" ht="30" hidden="false" customHeight="true" outlineLevel="0" collapsed="false">
      <c r="A73" s="61" t="str">
        <f aca="false">IF(G73="","","ACT"&amp;TEXT(ROW()-55,"00000"))</f>
        <v/>
      </c>
      <c r="B73" s="89"/>
      <c r="C73" s="86"/>
      <c r="D73" s="90" t="n">
        <f aca="false">IFERROR(INDEX(tbl_Projets[Titre complet du projet],MATCH(C73,tbl_Projets[ID Projet],0)),"")</f>
        <v>0</v>
      </c>
      <c r="E73" s="61" t="n">
        <f aca="false">IFERROR(INDEX(tbl_Projets[Domaine d''intervention],MATCH(C73,tbl_Projets[ID Projet],0)),"")</f>
        <v>0</v>
      </c>
      <c r="F73" s="61" t="n">
        <f aca="false">IFERROR(INDEX(tbl_Projets[Nom du responsable],MATCH(C73,tbl_Projets[ID Projet],0)),"")</f>
        <v>0</v>
      </c>
      <c r="G73" s="89"/>
      <c r="H73" s="89"/>
      <c r="I73" s="89"/>
      <c r="J73" s="86"/>
      <c r="K73" s="86"/>
      <c r="L73" s="79"/>
      <c r="M73" s="91"/>
      <c r="N73" s="91"/>
      <c r="O73" s="92" t="str">
        <f aca="false">IF(OR(M73="",N73=""),"",(N73-M73)*24)</f>
        <v/>
      </c>
      <c r="P73" s="86"/>
      <c r="Q73" s="93" t="str">
        <f aca="false">IF(L73="","",INDEX(PARAMETRES!$B$53:$B$65,MONTH(L73)))</f>
        <v/>
      </c>
      <c r="R73" s="93" t="str">
        <f aca="false">IF(L73="","",INDEX(PARAMETRES!$C$53:$C$65,MONTH(L73)))</f>
        <v/>
      </c>
      <c r="S73" s="61" t="str">
        <f aca="false">IF(L73="","",YEAR(L73))</f>
        <v/>
      </c>
      <c r="T73" s="79"/>
      <c r="U73" s="91"/>
      <c r="V73" s="91"/>
      <c r="W73" s="92" t="str">
        <f aca="false">IF(OR(U73="",V73=""),"",(V73-U73)*24)</f>
        <v/>
      </c>
      <c r="X73" s="86"/>
      <c r="Y73" s="83"/>
      <c r="Z73" s="86"/>
      <c r="AA73" s="81" t="str">
        <f aca="false">IF(AND(L73&lt;&gt;"",T73&lt;&gt;""),T73-L73,"")</f>
        <v/>
      </c>
      <c r="AB73" s="61" t="str">
        <f aca="true">IF(L73="","",IF(AND(TODAY()&gt;L73,T73="",NOT(OR(Z73="Realisee",Z73="Annulee"))),"OUI","NON"))</f>
        <v/>
      </c>
      <c r="AC73" s="89"/>
      <c r="AD73" s="89"/>
      <c r="AE73" s="86"/>
      <c r="AF73" s="89"/>
      <c r="AG73" s="89"/>
      <c r="AH73" s="86"/>
      <c r="AI73" s="61" t="str">
        <f aca="false">IFERROR(INDEX(PARAMETRES!$B$536:$B$586,MATCH(AH73,PARAMETRES!$J$536:$J$586,0)),"")</f>
        <v/>
      </c>
      <c r="AJ73" s="61" t="str">
        <f aca="false">IFERROR(INDEX(PARAMETRES!$D$536:$D$586,MATCH(AH73,PARAMETRES!$J$536:$J$586,0)),"")</f>
        <v/>
      </c>
      <c r="AK73" s="61" t="str">
        <f aca="false">IFERROR(INDEX(PARAMETRES!$F$536:$F$586,MATCH(AH73,PARAMETRES!$J$536:$J$586,0)),"")</f>
        <v/>
      </c>
      <c r="AL73" s="61" t="str">
        <f aca="false">IFERROR(INDEX(PARAMETRES!$H$536:$H$586,MATCH(AH73,PARAMETRES!$J$536:$J$586,0)),"")</f>
        <v/>
      </c>
      <c r="AM73" s="89"/>
      <c r="AN73" s="89"/>
      <c r="AO73" s="80"/>
      <c r="AP73" s="80"/>
      <c r="AQ73" s="80"/>
      <c r="AR73" s="80"/>
      <c r="AS73" s="80"/>
      <c r="AT73" s="80"/>
      <c r="AU73" s="80"/>
      <c r="AV73" s="81" t="n">
        <f aca="false">IF(A73="",0,COUNTIFS(tbl_Beneficiaires_Activites[ID activite],A73))</f>
        <v>0</v>
      </c>
      <c r="AW73" s="80"/>
      <c r="AX73" s="80"/>
      <c r="AY73" s="80"/>
      <c r="AZ73" s="86"/>
      <c r="BA73" s="86"/>
      <c r="BB73" s="89"/>
      <c r="BC73" s="80"/>
      <c r="BD73" s="80"/>
      <c r="BE73" s="80"/>
      <c r="BF73" s="81" t="n">
        <f aca="false">IF(BD73="",0,BD73)-IF(BE73="",0,BE73)</f>
        <v>0</v>
      </c>
      <c r="BG73" s="82" t="n">
        <f aca="false">IF(OR(BD73="",BD73=0),0,BE73/BD73)</f>
        <v>0</v>
      </c>
      <c r="BH73" s="86"/>
      <c r="BI73" s="89"/>
      <c r="BJ73" s="80"/>
      <c r="BK73" s="80"/>
      <c r="BL73" s="86"/>
      <c r="BM73" s="89"/>
      <c r="BN73" s="89"/>
      <c r="BO73" s="89"/>
      <c r="BP73" s="89"/>
      <c r="BQ73" s="80"/>
      <c r="BR73" s="86"/>
      <c r="BS73" s="89"/>
      <c r="BT73" s="89"/>
      <c r="BU73" s="89"/>
      <c r="BV73" s="81" t="str">
        <f aca="false">IF(OR(AO73="",AV73=""),"",AV73-AO73)</f>
        <v/>
      </c>
      <c r="BW73" s="81" t="str">
        <f aca="false">IF(OR(BE73="",BD73=""),"",BE73-BD73)</f>
        <v/>
      </c>
      <c r="BX73" s="86"/>
      <c r="BY73" s="86"/>
      <c r="BZ73" s="86"/>
      <c r="CA73" s="86"/>
      <c r="CB73" s="89"/>
      <c r="CC73" s="89"/>
      <c r="CD73" s="83"/>
      <c r="CE73" s="86"/>
      <c r="CF73" s="79"/>
      <c r="CG73" s="89"/>
      <c r="CH73" s="86"/>
      <c r="CI73" s="89"/>
      <c r="CJ73" s="89"/>
      <c r="CK73" s="81" t="n">
        <f aca="false">IF(A73="",0,COUNTIF(tbl_Activites_Documents[ID Activite],A73))</f>
        <v>0</v>
      </c>
      <c r="CL73" s="81" t="n">
        <f aca="false">IF(A73="",0,COUNTIF(tbl_Activites_Risques[ID Activite],A73))</f>
        <v>0</v>
      </c>
      <c r="CM73" s="61" t="str">
        <f aca="false">IF(A73="","",IF(BE73&gt;BD73,"OUI","NON"))</f>
        <v/>
      </c>
      <c r="CN73" s="89"/>
    </row>
    <row r="74" customFormat="false" ht="30" hidden="false" customHeight="true" outlineLevel="0" collapsed="false">
      <c r="A74" s="61" t="str">
        <f aca="false">IF(G74="","","ACT"&amp;TEXT(ROW()-55,"00000"))</f>
        <v/>
      </c>
      <c r="B74" s="89"/>
      <c r="C74" s="86"/>
      <c r="D74" s="90" t="n">
        <f aca="false">IFERROR(INDEX(tbl_Projets[Titre complet du projet],MATCH(C74,tbl_Projets[ID Projet],0)),"")</f>
        <v>0</v>
      </c>
      <c r="E74" s="61" t="n">
        <f aca="false">IFERROR(INDEX(tbl_Projets[Domaine d''intervention],MATCH(C74,tbl_Projets[ID Projet],0)),"")</f>
        <v>0</v>
      </c>
      <c r="F74" s="61" t="n">
        <f aca="false">IFERROR(INDEX(tbl_Projets[Nom du responsable],MATCH(C74,tbl_Projets[ID Projet],0)),"")</f>
        <v>0</v>
      </c>
      <c r="G74" s="89"/>
      <c r="H74" s="89"/>
      <c r="I74" s="89"/>
      <c r="J74" s="86"/>
      <c r="K74" s="86"/>
      <c r="L74" s="79"/>
      <c r="M74" s="91"/>
      <c r="N74" s="91"/>
      <c r="O74" s="92" t="str">
        <f aca="false">IF(OR(M74="",N74=""),"",(N74-M74)*24)</f>
        <v/>
      </c>
      <c r="P74" s="86"/>
      <c r="Q74" s="93" t="str">
        <f aca="false">IF(L74="","",INDEX(PARAMETRES!$B$53:$B$65,MONTH(L74)))</f>
        <v/>
      </c>
      <c r="R74" s="93" t="str">
        <f aca="false">IF(L74="","",INDEX(PARAMETRES!$C$53:$C$65,MONTH(L74)))</f>
        <v/>
      </c>
      <c r="S74" s="61" t="str">
        <f aca="false">IF(L74="","",YEAR(L74))</f>
        <v/>
      </c>
      <c r="T74" s="79"/>
      <c r="U74" s="91"/>
      <c r="V74" s="91"/>
      <c r="W74" s="92" t="str">
        <f aca="false">IF(OR(U74="",V74=""),"",(V74-U74)*24)</f>
        <v/>
      </c>
      <c r="X74" s="86"/>
      <c r="Y74" s="83"/>
      <c r="Z74" s="86"/>
      <c r="AA74" s="81" t="str">
        <f aca="false">IF(AND(L74&lt;&gt;"",T74&lt;&gt;""),T74-L74,"")</f>
        <v/>
      </c>
      <c r="AB74" s="61" t="str">
        <f aca="true">IF(L74="","",IF(AND(TODAY()&gt;L74,T74="",NOT(OR(Z74="Realisee",Z74="Annulee"))),"OUI","NON"))</f>
        <v/>
      </c>
      <c r="AC74" s="89"/>
      <c r="AD74" s="89"/>
      <c r="AE74" s="86"/>
      <c r="AF74" s="89"/>
      <c r="AG74" s="89"/>
      <c r="AH74" s="86"/>
      <c r="AI74" s="61" t="str">
        <f aca="false">IFERROR(INDEX(PARAMETRES!$B$536:$B$586,MATCH(AH74,PARAMETRES!$J$536:$J$586,0)),"")</f>
        <v/>
      </c>
      <c r="AJ74" s="61" t="str">
        <f aca="false">IFERROR(INDEX(PARAMETRES!$D$536:$D$586,MATCH(AH74,PARAMETRES!$J$536:$J$586,0)),"")</f>
        <v/>
      </c>
      <c r="AK74" s="61" t="str">
        <f aca="false">IFERROR(INDEX(PARAMETRES!$F$536:$F$586,MATCH(AH74,PARAMETRES!$J$536:$J$586,0)),"")</f>
        <v/>
      </c>
      <c r="AL74" s="61" t="str">
        <f aca="false">IFERROR(INDEX(PARAMETRES!$H$536:$H$586,MATCH(AH74,PARAMETRES!$J$536:$J$586,0)),"")</f>
        <v/>
      </c>
      <c r="AM74" s="89"/>
      <c r="AN74" s="89"/>
      <c r="AO74" s="80"/>
      <c r="AP74" s="80"/>
      <c r="AQ74" s="80"/>
      <c r="AR74" s="80"/>
      <c r="AS74" s="80"/>
      <c r="AT74" s="80"/>
      <c r="AU74" s="80"/>
      <c r="AV74" s="81" t="n">
        <f aca="false">IF(A74="",0,COUNTIFS(tbl_Beneficiaires_Activites[ID activite],A74))</f>
        <v>0</v>
      </c>
      <c r="AW74" s="80"/>
      <c r="AX74" s="80"/>
      <c r="AY74" s="80"/>
      <c r="AZ74" s="86"/>
      <c r="BA74" s="86"/>
      <c r="BB74" s="89"/>
      <c r="BC74" s="80"/>
      <c r="BD74" s="80"/>
      <c r="BE74" s="80"/>
      <c r="BF74" s="81" t="n">
        <f aca="false">IF(BD74="",0,BD74)-IF(BE74="",0,BE74)</f>
        <v>0</v>
      </c>
      <c r="BG74" s="82" t="n">
        <f aca="false">IF(OR(BD74="",BD74=0),0,BE74/BD74)</f>
        <v>0</v>
      </c>
      <c r="BH74" s="86"/>
      <c r="BI74" s="89"/>
      <c r="BJ74" s="80"/>
      <c r="BK74" s="80"/>
      <c r="BL74" s="86"/>
      <c r="BM74" s="89"/>
      <c r="BN74" s="89"/>
      <c r="BO74" s="89"/>
      <c r="BP74" s="89"/>
      <c r="BQ74" s="80"/>
      <c r="BR74" s="86"/>
      <c r="BS74" s="89"/>
      <c r="BT74" s="89"/>
      <c r="BU74" s="89"/>
      <c r="BV74" s="81" t="str">
        <f aca="false">IF(OR(AO74="",AV74=""),"",AV74-AO74)</f>
        <v/>
      </c>
      <c r="BW74" s="81" t="str">
        <f aca="false">IF(OR(BE74="",BD74=""),"",BE74-BD74)</f>
        <v/>
      </c>
      <c r="BX74" s="86"/>
      <c r="BY74" s="86"/>
      <c r="BZ74" s="86"/>
      <c r="CA74" s="86"/>
      <c r="CB74" s="89"/>
      <c r="CC74" s="89"/>
      <c r="CD74" s="83"/>
      <c r="CE74" s="86"/>
      <c r="CF74" s="79"/>
      <c r="CG74" s="89"/>
      <c r="CH74" s="86"/>
      <c r="CI74" s="89"/>
      <c r="CJ74" s="89"/>
      <c r="CK74" s="81" t="n">
        <f aca="false">IF(A74="",0,COUNTIF(tbl_Activites_Documents[ID Activite],A74))</f>
        <v>0</v>
      </c>
      <c r="CL74" s="81" t="n">
        <f aca="false">IF(A74="",0,COUNTIF(tbl_Activites_Risques[ID Activite],A74))</f>
        <v>0</v>
      </c>
      <c r="CM74" s="61" t="str">
        <f aca="false">IF(A74="","",IF(BE74&gt;BD74,"OUI","NON"))</f>
        <v/>
      </c>
      <c r="CN74" s="89"/>
    </row>
    <row r="75" customFormat="false" ht="30" hidden="false" customHeight="true" outlineLevel="0" collapsed="false">
      <c r="A75" s="61" t="str">
        <f aca="false">IF(G75="","","ACT"&amp;TEXT(ROW()-55,"00000"))</f>
        <v/>
      </c>
      <c r="B75" s="89"/>
      <c r="C75" s="86"/>
      <c r="D75" s="90" t="n">
        <f aca="false">IFERROR(INDEX(tbl_Projets[Titre complet du projet],MATCH(C75,tbl_Projets[ID Projet],0)),"")</f>
        <v>0</v>
      </c>
      <c r="E75" s="61" t="n">
        <f aca="false">IFERROR(INDEX(tbl_Projets[Domaine d''intervention],MATCH(C75,tbl_Projets[ID Projet],0)),"")</f>
        <v>0</v>
      </c>
      <c r="F75" s="61" t="n">
        <f aca="false">IFERROR(INDEX(tbl_Projets[Nom du responsable],MATCH(C75,tbl_Projets[ID Projet],0)),"")</f>
        <v>0</v>
      </c>
      <c r="G75" s="89"/>
      <c r="H75" s="89"/>
      <c r="I75" s="89"/>
      <c r="J75" s="86"/>
      <c r="K75" s="86"/>
      <c r="L75" s="79"/>
      <c r="M75" s="91"/>
      <c r="N75" s="91"/>
      <c r="O75" s="92" t="str">
        <f aca="false">IF(OR(M75="",N75=""),"",(N75-M75)*24)</f>
        <v/>
      </c>
      <c r="P75" s="86"/>
      <c r="Q75" s="93" t="str">
        <f aca="false">IF(L75="","",INDEX(PARAMETRES!$B$53:$B$65,MONTH(L75)))</f>
        <v/>
      </c>
      <c r="R75" s="93" t="str">
        <f aca="false">IF(L75="","",INDEX(PARAMETRES!$C$53:$C$65,MONTH(L75)))</f>
        <v/>
      </c>
      <c r="S75" s="61" t="str">
        <f aca="false">IF(L75="","",YEAR(L75))</f>
        <v/>
      </c>
      <c r="T75" s="79"/>
      <c r="U75" s="91"/>
      <c r="V75" s="91"/>
      <c r="W75" s="92" t="str">
        <f aca="false">IF(OR(U75="",V75=""),"",(V75-U75)*24)</f>
        <v/>
      </c>
      <c r="X75" s="86"/>
      <c r="Y75" s="83"/>
      <c r="Z75" s="86"/>
      <c r="AA75" s="81" t="str">
        <f aca="false">IF(AND(L75&lt;&gt;"",T75&lt;&gt;""),T75-L75,"")</f>
        <v/>
      </c>
      <c r="AB75" s="61" t="str">
        <f aca="true">IF(L75="","",IF(AND(TODAY()&gt;L75,T75="",NOT(OR(Z75="Realisee",Z75="Annulee"))),"OUI","NON"))</f>
        <v/>
      </c>
      <c r="AC75" s="89"/>
      <c r="AD75" s="89"/>
      <c r="AE75" s="86"/>
      <c r="AF75" s="89"/>
      <c r="AG75" s="89"/>
      <c r="AH75" s="86"/>
      <c r="AI75" s="61" t="str">
        <f aca="false">IFERROR(INDEX(PARAMETRES!$B$536:$B$586,MATCH(AH75,PARAMETRES!$J$536:$J$586,0)),"")</f>
        <v/>
      </c>
      <c r="AJ75" s="61" t="str">
        <f aca="false">IFERROR(INDEX(PARAMETRES!$D$536:$D$586,MATCH(AH75,PARAMETRES!$J$536:$J$586,0)),"")</f>
        <v/>
      </c>
      <c r="AK75" s="61" t="str">
        <f aca="false">IFERROR(INDEX(PARAMETRES!$F$536:$F$586,MATCH(AH75,PARAMETRES!$J$536:$J$586,0)),"")</f>
        <v/>
      </c>
      <c r="AL75" s="61" t="str">
        <f aca="false">IFERROR(INDEX(PARAMETRES!$H$536:$H$586,MATCH(AH75,PARAMETRES!$J$536:$J$586,0)),"")</f>
        <v/>
      </c>
      <c r="AM75" s="89"/>
      <c r="AN75" s="89"/>
      <c r="AO75" s="80"/>
      <c r="AP75" s="80"/>
      <c r="AQ75" s="80"/>
      <c r="AR75" s="80"/>
      <c r="AS75" s="80"/>
      <c r="AT75" s="80"/>
      <c r="AU75" s="80"/>
      <c r="AV75" s="81" t="n">
        <f aca="false">IF(A75="",0,COUNTIFS(tbl_Beneficiaires_Activites[ID activite],A75))</f>
        <v>0</v>
      </c>
      <c r="AW75" s="80"/>
      <c r="AX75" s="80"/>
      <c r="AY75" s="80"/>
      <c r="AZ75" s="86"/>
      <c r="BA75" s="86"/>
      <c r="BB75" s="89"/>
      <c r="BC75" s="80"/>
      <c r="BD75" s="80"/>
      <c r="BE75" s="80"/>
      <c r="BF75" s="81" t="n">
        <f aca="false">IF(BD75="",0,BD75)-IF(BE75="",0,BE75)</f>
        <v>0</v>
      </c>
      <c r="BG75" s="82" t="n">
        <f aca="false">IF(OR(BD75="",BD75=0),0,BE75/BD75)</f>
        <v>0</v>
      </c>
      <c r="BH75" s="86"/>
      <c r="BI75" s="89"/>
      <c r="BJ75" s="80"/>
      <c r="BK75" s="80"/>
      <c r="BL75" s="86"/>
      <c r="BM75" s="89"/>
      <c r="BN75" s="89"/>
      <c r="BO75" s="89"/>
      <c r="BP75" s="89"/>
      <c r="BQ75" s="80"/>
      <c r="BR75" s="86"/>
      <c r="BS75" s="89"/>
      <c r="BT75" s="89"/>
      <c r="BU75" s="89"/>
      <c r="BV75" s="81" t="str">
        <f aca="false">IF(OR(AO75="",AV75=""),"",AV75-AO75)</f>
        <v/>
      </c>
      <c r="BW75" s="81" t="str">
        <f aca="false">IF(OR(BE75="",BD75=""),"",BE75-BD75)</f>
        <v/>
      </c>
      <c r="BX75" s="86"/>
      <c r="BY75" s="86"/>
      <c r="BZ75" s="86"/>
      <c r="CA75" s="86"/>
      <c r="CB75" s="89"/>
      <c r="CC75" s="89"/>
      <c r="CD75" s="83"/>
      <c r="CE75" s="86"/>
      <c r="CF75" s="79"/>
      <c r="CG75" s="89"/>
      <c r="CH75" s="86"/>
      <c r="CI75" s="89"/>
      <c r="CJ75" s="89"/>
      <c r="CK75" s="81" t="n">
        <f aca="false">IF(A75="",0,COUNTIF(tbl_Activites_Documents[ID Activite],A75))</f>
        <v>0</v>
      </c>
      <c r="CL75" s="81" t="n">
        <f aca="false">IF(A75="",0,COUNTIF(tbl_Activites_Risques[ID Activite],A75))</f>
        <v>0</v>
      </c>
      <c r="CM75" s="61" t="str">
        <f aca="false">IF(A75="","",IF(BE75&gt;BD75,"OUI","NON"))</f>
        <v/>
      </c>
      <c r="CN75" s="89"/>
    </row>
    <row r="76" customFormat="false" ht="30" hidden="false" customHeight="true" outlineLevel="0" collapsed="false">
      <c r="A76" s="61" t="str">
        <f aca="false">IF(G76="","","ACT"&amp;TEXT(ROW()-55,"00000"))</f>
        <v/>
      </c>
      <c r="B76" s="89"/>
      <c r="C76" s="86"/>
      <c r="D76" s="90" t="n">
        <f aca="false">IFERROR(INDEX(tbl_Projets[Titre complet du projet],MATCH(C76,tbl_Projets[ID Projet],0)),"")</f>
        <v>0</v>
      </c>
      <c r="E76" s="61" t="n">
        <f aca="false">IFERROR(INDEX(tbl_Projets[Domaine d''intervention],MATCH(C76,tbl_Projets[ID Projet],0)),"")</f>
        <v>0</v>
      </c>
      <c r="F76" s="61" t="n">
        <f aca="false">IFERROR(INDEX(tbl_Projets[Nom du responsable],MATCH(C76,tbl_Projets[ID Projet],0)),"")</f>
        <v>0</v>
      </c>
      <c r="G76" s="89"/>
      <c r="H76" s="89"/>
      <c r="I76" s="89"/>
      <c r="J76" s="86"/>
      <c r="K76" s="86"/>
      <c r="L76" s="79"/>
      <c r="M76" s="91"/>
      <c r="N76" s="91"/>
      <c r="O76" s="92" t="str">
        <f aca="false">IF(OR(M76="",N76=""),"",(N76-M76)*24)</f>
        <v/>
      </c>
      <c r="P76" s="86"/>
      <c r="Q76" s="93" t="str">
        <f aca="false">IF(L76="","",INDEX(PARAMETRES!$B$53:$B$65,MONTH(L76)))</f>
        <v/>
      </c>
      <c r="R76" s="93" t="str">
        <f aca="false">IF(L76="","",INDEX(PARAMETRES!$C$53:$C$65,MONTH(L76)))</f>
        <v/>
      </c>
      <c r="S76" s="61" t="str">
        <f aca="false">IF(L76="","",YEAR(L76))</f>
        <v/>
      </c>
      <c r="T76" s="79"/>
      <c r="U76" s="91"/>
      <c r="V76" s="91"/>
      <c r="W76" s="92" t="str">
        <f aca="false">IF(OR(U76="",V76=""),"",(V76-U76)*24)</f>
        <v/>
      </c>
      <c r="X76" s="86"/>
      <c r="Y76" s="83"/>
      <c r="Z76" s="86"/>
      <c r="AA76" s="81" t="str">
        <f aca="false">IF(AND(L76&lt;&gt;"",T76&lt;&gt;""),T76-L76,"")</f>
        <v/>
      </c>
      <c r="AB76" s="61" t="str">
        <f aca="true">IF(L76="","",IF(AND(TODAY()&gt;L76,T76="",NOT(OR(Z76="Realisee",Z76="Annulee"))),"OUI","NON"))</f>
        <v/>
      </c>
      <c r="AC76" s="89"/>
      <c r="AD76" s="89"/>
      <c r="AE76" s="86"/>
      <c r="AF76" s="89"/>
      <c r="AG76" s="89"/>
      <c r="AH76" s="86"/>
      <c r="AI76" s="61" t="str">
        <f aca="false">IFERROR(INDEX(PARAMETRES!$B$536:$B$586,MATCH(AH76,PARAMETRES!$J$536:$J$586,0)),"")</f>
        <v/>
      </c>
      <c r="AJ76" s="61" t="str">
        <f aca="false">IFERROR(INDEX(PARAMETRES!$D$536:$D$586,MATCH(AH76,PARAMETRES!$J$536:$J$586,0)),"")</f>
        <v/>
      </c>
      <c r="AK76" s="61" t="str">
        <f aca="false">IFERROR(INDEX(PARAMETRES!$F$536:$F$586,MATCH(AH76,PARAMETRES!$J$536:$J$586,0)),"")</f>
        <v/>
      </c>
      <c r="AL76" s="61" t="str">
        <f aca="false">IFERROR(INDEX(PARAMETRES!$H$536:$H$586,MATCH(AH76,PARAMETRES!$J$536:$J$586,0)),"")</f>
        <v/>
      </c>
      <c r="AM76" s="89"/>
      <c r="AN76" s="89"/>
      <c r="AO76" s="80"/>
      <c r="AP76" s="80"/>
      <c r="AQ76" s="80"/>
      <c r="AR76" s="80"/>
      <c r="AS76" s="80"/>
      <c r="AT76" s="80"/>
      <c r="AU76" s="80"/>
      <c r="AV76" s="81" t="n">
        <f aca="false">IF(A76="",0,COUNTIFS(tbl_Beneficiaires_Activites[ID activite],A76))</f>
        <v>0</v>
      </c>
      <c r="AW76" s="80"/>
      <c r="AX76" s="80"/>
      <c r="AY76" s="80"/>
      <c r="AZ76" s="86"/>
      <c r="BA76" s="86"/>
      <c r="BB76" s="89"/>
      <c r="BC76" s="80"/>
      <c r="BD76" s="80"/>
      <c r="BE76" s="80"/>
      <c r="BF76" s="81" t="n">
        <f aca="false">IF(BD76="",0,BD76)-IF(BE76="",0,BE76)</f>
        <v>0</v>
      </c>
      <c r="BG76" s="82" t="n">
        <f aca="false">IF(OR(BD76="",BD76=0),0,BE76/BD76)</f>
        <v>0</v>
      </c>
      <c r="BH76" s="86"/>
      <c r="BI76" s="89"/>
      <c r="BJ76" s="80"/>
      <c r="BK76" s="80"/>
      <c r="BL76" s="86"/>
      <c r="BM76" s="89"/>
      <c r="BN76" s="89"/>
      <c r="BO76" s="89"/>
      <c r="BP76" s="89"/>
      <c r="BQ76" s="80"/>
      <c r="BR76" s="86"/>
      <c r="BS76" s="89"/>
      <c r="BT76" s="89"/>
      <c r="BU76" s="89"/>
      <c r="BV76" s="81" t="str">
        <f aca="false">IF(OR(AO76="",AV76=""),"",AV76-AO76)</f>
        <v/>
      </c>
      <c r="BW76" s="81" t="str">
        <f aca="false">IF(OR(BE76="",BD76=""),"",BE76-BD76)</f>
        <v/>
      </c>
      <c r="BX76" s="86"/>
      <c r="BY76" s="86"/>
      <c r="BZ76" s="86"/>
      <c r="CA76" s="86"/>
      <c r="CB76" s="89"/>
      <c r="CC76" s="89"/>
      <c r="CD76" s="83"/>
      <c r="CE76" s="86"/>
      <c r="CF76" s="79"/>
      <c r="CG76" s="89"/>
      <c r="CH76" s="86"/>
      <c r="CI76" s="89"/>
      <c r="CJ76" s="89"/>
      <c r="CK76" s="81" t="n">
        <f aca="false">IF(A76="",0,COUNTIF(tbl_Activites_Documents[ID Activite],A76))</f>
        <v>0</v>
      </c>
      <c r="CL76" s="81" t="n">
        <f aca="false">IF(A76="",0,COUNTIF(tbl_Activites_Risques[ID Activite],A76))</f>
        <v>0</v>
      </c>
      <c r="CM76" s="61" t="str">
        <f aca="false">IF(A76="","",IF(BE76&gt;BD76,"OUI","NON"))</f>
        <v/>
      </c>
      <c r="CN76" s="89"/>
    </row>
    <row r="77" customFormat="false" ht="30" hidden="false" customHeight="true" outlineLevel="0" collapsed="false">
      <c r="A77" s="61" t="str">
        <f aca="false">IF(G77="","","ACT"&amp;TEXT(ROW()-55,"00000"))</f>
        <v/>
      </c>
      <c r="B77" s="89"/>
      <c r="C77" s="86"/>
      <c r="D77" s="90" t="n">
        <f aca="false">IFERROR(INDEX(tbl_Projets[Titre complet du projet],MATCH(C77,tbl_Projets[ID Projet],0)),"")</f>
        <v>0</v>
      </c>
      <c r="E77" s="61" t="n">
        <f aca="false">IFERROR(INDEX(tbl_Projets[Domaine d''intervention],MATCH(C77,tbl_Projets[ID Projet],0)),"")</f>
        <v>0</v>
      </c>
      <c r="F77" s="61" t="n">
        <f aca="false">IFERROR(INDEX(tbl_Projets[Nom du responsable],MATCH(C77,tbl_Projets[ID Projet],0)),"")</f>
        <v>0</v>
      </c>
      <c r="G77" s="89"/>
      <c r="H77" s="89"/>
      <c r="I77" s="89"/>
      <c r="J77" s="86"/>
      <c r="K77" s="86"/>
      <c r="L77" s="79"/>
      <c r="M77" s="91"/>
      <c r="N77" s="91"/>
      <c r="O77" s="92" t="str">
        <f aca="false">IF(OR(M77="",N77=""),"",(N77-M77)*24)</f>
        <v/>
      </c>
      <c r="P77" s="86"/>
      <c r="Q77" s="93" t="str">
        <f aca="false">IF(L77="","",INDEX(PARAMETRES!$B$53:$B$65,MONTH(L77)))</f>
        <v/>
      </c>
      <c r="R77" s="93" t="str">
        <f aca="false">IF(L77="","",INDEX(PARAMETRES!$C$53:$C$65,MONTH(L77)))</f>
        <v/>
      </c>
      <c r="S77" s="61" t="str">
        <f aca="false">IF(L77="","",YEAR(L77))</f>
        <v/>
      </c>
      <c r="T77" s="79"/>
      <c r="U77" s="91"/>
      <c r="V77" s="91"/>
      <c r="W77" s="92" t="str">
        <f aca="false">IF(OR(U77="",V77=""),"",(V77-U77)*24)</f>
        <v/>
      </c>
      <c r="X77" s="86"/>
      <c r="Y77" s="83"/>
      <c r="Z77" s="86"/>
      <c r="AA77" s="81" t="str">
        <f aca="false">IF(AND(L77&lt;&gt;"",T77&lt;&gt;""),T77-L77,"")</f>
        <v/>
      </c>
      <c r="AB77" s="61" t="str">
        <f aca="true">IF(L77="","",IF(AND(TODAY()&gt;L77,T77="",NOT(OR(Z77="Realisee",Z77="Annulee"))),"OUI","NON"))</f>
        <v/>
      </c>
      <c r="AC77" s="89"/>
      <c r="AD77" s="89"/>
      <c r="AE77" s="86"/>
      <c r="AF77" s="89"/>
      <c r="AG77" s="89"/>
      <c r="AH77" s="86"/>
      <c r="AI77" s="61" t="str">
        <f aca="false">IFERROR(INDEX(PARAMETRES!$B$536:$B$586,MATCH(AH77,PARAMETRES!$J$536:$J$586,0)),"")</f>
        <v/>
      </c>
      <c r="AJ77" s="61" t="str">
        <f aca="false">IFERROR(INDEX(PARAMETRES!$D$536:$D$586,MATCH(AH77,PARAMETRES!$J$536:$J$586,0)),"")</f>
        <v/>
      </c>
      <c r="AK77" s="61" t="str">
        <f aca="false">IFERROR(INDEX(PARAMETRES!$F$536:$F$586,MATCH(AH77,PARAMETRES!$J$536:$J$586,0)),"")</f>
        <v/>
      </c>
      <c r="AL77" s="61" t="str">
        <f aca="false">IFERROR(INDEX(PARAMETRES!$H$536:$H$586,MATCH(AH77,PARAMETRES!$J$536:$J$586,0)),"")</f>
        <v/>
      </c>
      <c r="AM77" s="89"/>
      <c r="AN77" s="89"/>
      <c r="AO77" s="80"/>
      <c r="AP77" s="80"/>
      <c r="AQ77" s="80"/>
      <c r="AR77" s="80"/>
      <c r="AS77" s="80"/>
      <c r="AT77" s="80"/>
      <c r="AU77" s="80"/>
      <c r="AV77" s="81" t="n">
        <f aca="false">IF(A77="",0,COUNTIFS(tbl_Beneficiaires_Activites[ID activite],A77))</f>
        <v>0</v>
      </c>
      <c r="AW77" s="80"/>
      <c r="AX77" s="80"/>
      <c r="AY77" s="80"/>
      <c r="AZ77" s="86"/>
      <c r="BA77" s="86"/>
      <c r="BB77" s="89"/>
      <c r="BC77" s="80"/>
      <c r="BD77" s="80"/>
      <c r="BE77" s="80"/>
      <c r="BF77" s="81" t="n">
        <f aca="false">IF(BD77="",0,BD77)-IF(BE77="",0,BE77)</f>
        <v>0</v>
      </c>
      <c r="BG77" s="82" t="n">
        <f aca="false">IF(OR(BD77="",BD77=0),0,BE77/BD77)</f>
        <v>0</v>
      </c>
      <c r="BH77" s="86"/>
      <c r="BI77" s="89"/>
      <c r="BJ77" s="80"/>
      <c r="BK77" s="80"/>
      <c r="BL77" s="86"/>
      <c r="BM77" s="89"/>
      <c r="BN77" s="89"/>
      <c r="BO77" s="89"/>
      <c r="BP77" s="89"/>
      <c r="BQ77" s="80"/>
      <c r="BR77" s="86"/>
      <c r="BS77" s="89"/>
      <c r="BT77" s="89"/>
      <c r="BU77" s="89"/>
      <c r="BV77" s="81" t="str">
        <f aca="false">IF(OR(AO77="",AV77=""),"",AV77-AO77)</f>
        <v/>
      </c>
      <c r="BW77" s="81" t="str">
        <f aca="false">IF(OR(BE77="",BD77=""),"",BE77-BD77)</f>
        <v/>
      </c>
      <c r="BX77" s="86"/>
      <c r="BY77" s="86"/>
      <c r="BZ77" s="86"/>
      <c r="CA77" s="86"/>
      <c r="CB77" s="89"/>
      <c r="CC77" s="89"/>
      <c r="CD77" s="83"/>
      <c r="CE77" s="86"/>
      <c r="CF77" s="79"/>
      <c r="CG77" s="89"/>
      <c r="CH77" s="86"/>
      <c r="CI77" s="89"/>
      <c r="CJ77" s="89"/>
      <c r="CK77" s="81" t="n">
        <f aca="false">IF(A77="",0,COUNTIF(tbl_Activites_Documents[ID Activite],A77))</f>
        <v>0</v>
      </c>
      <c r="CL77" s="81" t="n">
        <f aca="false">IF(A77="",0,COUNTIF(tbl_Activites_Risques[ID Activite],A77))</f>
        <v>0</v>
      </c>
      <c r="CM77" s="61" t="str">
        <f aca="false">IF(A77="","",IF(BE77&gt;BD77,"OUI","NON"))</f>
        <v/>
      </c>
      <c r="CN77" s="89"/>
    </row>
    <row r="78" customFormat="false" ht="30" hidden="false" customHeight="true" outlineLevel="0" collapsed="false">
      <c r="A78" s="61" t="str">
        <f aca="false">IF(G78="","","ACT"&amp;TEXT(ROW()-55,"00000"))</f>
        <v/>
      </c>
      <c r="B78" s="89"/>
      <c r="C78" s="86"/>
      <c r="D78" s="90" t="n">
        <f aca="false">IFERROR(INDEX(tbl_Projets[Titre complet du projet],MATCH(C78,tbl_Projets[ID Projet],0)),"")</f>
        <v>0</v>
      </c>
      <c r="E78" s="61" t="n">
        <f aca="false">IFERROR(INDEX(tbl_Projets[Domaine d''intervention],MATCH(C78,tbl_Projets[ID Projet],0)),"")</f>
        <v>0</v>
      </c>
      <c r="F78" s="61" t="n">
        <f aca="false">IFERROR(INDEX(tbl_Projets[Nom du responsable],MATCH(C78,tbl_Projets[ID Projet],0)),"")</f>
        <v>0</v>
      </c>
      <c r="G78" s="89"/>
      <c r="H78" s="89"/>
      <c r="I78" s="89"/>
      <c r="J78" s="86"/>
      <c r="K78" s="86"/>
      <c r="L78" s="79"/>
      <c r="M78" s="91"/>
      <c r="N78" s="91"/>
      <c r="O78" s="92" t="str">
        <f aca="false">IF(OR(M78="",N78=""),"",(N78-M78)*24)</f>
        <v/>
      </c>
      <c r="P78" s="86"/>
      <c r="Q78" s="93" t="str">
        <f aca="false">IF(L78="","",INDEX(PARAMETRES!$B$53:$B$65,MONTH(L78)))</f>
        <v/>
      </c>
      <c r="R78" s="93" t="str">
        <f aca="false">IF(L78="","",INDEX(PARAMETRES!$C$53:$C$65,MONTH(L78)))</f>
        <v/>
      </c>
      <c r="S78" s="61" t="str">
        <f aca="false">IF(L78="","",YEAR(L78))</f>
        <v/>
      </c>
      <c r="T78" s="79"/>
      <c r="U78" s="91"/>
      <c r="V78" s="91"/>
      <c r="W78" s="92" t="str">
        <f aca="false">IF(OR(U78="",V78=""),"",(V78-U78)*24)</f>
        <v/>
      </c>
      <c r="X78" s="86"/>
      <c r="Y78" s="83"/>
      <c r="Z78" s="86"/>
      <c r="AA78" s="81" t="str">
        <f aca="false">IF(AND(L78&lt;&gt;"",T78&lt;&gt;""),T78-L78,"")</f>
        <v/>
      </c>
      <c r="AB78" s="61" t="str">
        <f aca="true">IF(L78="","",IF(AND(TODAY()&gt;L78,T78="",NOT(OR(Z78="Realisee",Z78="Annulee"))),"OUI","NON"))</f>
        <v/>
      </c>
      <c r="AC78" s="89"/>
      <c r="AD78" s="89"/>
      <c r="AE78" s="86"/>
      <c r="AF78" s="89"/>
      <c r="AG78" s="89"/>
      <c r="AH78" s="86"/>
      <c r="AI78" s="61" t="str">
        <f aca="false">IFERROR(INDEX(PARAMETRES!$B$536:$B$586,MATCH(AH78,PARAMETRES!$J$536:$J$586,0)),"")</f>
        <v/>
      </c>
      <c r="AJ78" s="61" t="str">
        <f aca="false">IFERROR(INDEX(PARAMETRES!$D$536:$D$586,MATCH(AH78,PARAMETRES!$J$536:$J$586,0)),"")</f>
        <v/>
      </c>
      <c r="AK78" s="61" t="str">
        <f aca="false">IFERROR(INDEX(PARAMETRES!$F$536:$F$586,MATCH(AH78,PARAMETRES!$J$536:$J$586,0)),"")</f>
        <v/>
      </c>
      <c r="AL78" s="61" t="str">
        <f aca="false">IFERROR(INDEX(PARAMETRES!$H$536:$H$586,MATCH(AH78,PARAMETRES!$J$536:$J$586,0)),"")</f>
        <v/>
      </c>
      <c r="AM78" s="89"/>
      <c r="AN78" s="89"/>
      <c r="AO78" s="80"/>
      <c r="AP78" s="80"/>
      <c r="AQ78" s="80"/>
      <c r="AR78" s="80"/>
      <c r="AS78" s="80"/>
      <c r="AT78" s="80"/>
      <c r="AU78" s="80"/>
      <c r="AV78" s="81" t="n">
        <f aca="false">IF(A78="",0,COUNTIFS(tbl_Beneficiaires_Activites[ID activite],A78))</f>
        <v>0</v>
      </c>
      <c r="AW78" s="80"/>
      <c r="AX78" s="80"/>
      <c r="AY78" s="80"/>
      <c r="AZ78" s="86"/>
      <c r="BA78" s="86"/>
      <c r="BB78" s="89"/>
      <c r="BC78" s="80"/>
      <c r="BD78" s="80"/>
      <c r="BE78" s="80"/>
      <c r="BF78" s="81" t="n">
        <f aca="false">IF(BD78="",0,BD78)-IF(BE78="",0,BE78)</f>
        <v>0</v>
      </c>
      <c r="BG78" s="82" t="n">
        <f aca="false">IF(OR(BD78="",BD78=0),0,BE78/BD78)</f>
        <v>0</v>
      </c>
      <c r="BH78" s="86"/>
      <c r="BI78" s="89"/>
      <c r="BJ78" s="80"/>
      <c r="BK78" s="80"/>
      <c r="BL78" s="86"/>
      <c r="BM78" s="89"/>
      <c r="BN78" s="89"/>
      <c r="BO78" s="89"/>
      <c r="BP78" s="89"/>
      <c r="BQ78" s="80"/>
      <c r="BR78" s="86"/>
      <c r="BS78" s="89"/>
      <c r="BT78" s="89"/>
      <c r="BU78" s="89"/>
      <c r="BV78" s="81" t="str">
        <f aca="false">IF(OR(AO78="",AV78=""),"",AV78-AO78)</f>
        <v/>
      </c>
      <c r="BW78" s="81" t="str">
        <f aca="false">IF(OR(BE78="",BD78=""),"",BE78-BD78)</f>
        <v/>
      </c>
      <c r="BX78" s="86"/>
      <c r="BY78" s="86"/>
      <c r="BZ78" s="86"/>
      <c r="CA78" s="86"/>
      <c r="CB78" s="89"/>
      <c r="CC78" s="89"/>
      <c r="CD78" s="83"/>
      <c r="CE78" s="86"/>
      <c r="CF78" s="79"/>
      <c r="CG78" s="89"/>
      <c r="CH78" s="86"/>
      <c r="CI78" s="89"/>
      <c r="CJ78" s="89"/>
      <c r="CK78" s="81" t="n">
        <f aca="false">IF(A78="",0,COUNTIF(tbl_Activites_Documents[ID Activite],A78))</f>
        <v>0</v>
      </c>
      <c r="CL78" s="81" t="n">
        <f aca="false">IF(A78="",0,COUNTIF(tbl_Activites_Risques[ID Activite],A78))</f>
        <v>0</v>
      </c>
      <c r="CM78" s="61" t="str">
        <f aca="false">IF(A78="","",IF(BE78&gt;BD78,"OUI","NON"))</f>
        <v/>
      </c>
      <c r="CN78" s="89"/>
    </row>
    <row r="79" customFormat="false" ht="30" hidden="false" customHeight="true" outlineLevel="0" collapsed="false">
      <c r="A79" s="61" t="str">
        <f aca="false">IF(G79="","","ACT"&amp;TEXT(ROW()-55,"00000"))</f>
        <v/>
      </c>
      <c r="B79" s="89"/>
      <c r="C79" s="86"/>
      <c r="D79" s="90" t="n">
        <f aca="false">IFERROR(INDEX(tbl_Projets[Titre complet du projet],MATCH(C79,tbl_Projets[ID Projet],0)),"")</f>
        <v>0</v>
      </c>
      <c r="E79" s="61" t="n">
        <f aca="false">IFERROR(INDEX(tbl_Projets[Domaine d''intervention],MATCH(C79,tbl_Projets[ID Projet],0)),"")</f>
        <v>0</v>
      </c>
      <c r="F79" s="61" t="n">
        <f aca="false">IFERROR(INDEX(tbl_Projets[Nom du responsable],MATCH(C79,tbl_Projets[ID Projet],0)),"")</f>
        <v>0</v>
      </c>
      <c r="G79" s="89"/>
      <c r="H79" s="89"/>
      <c r="I79" s="89"/>
      <c r="J79" s="86"/>
      <c r="K79" s="86"/>
      <c r="L79" s="79"/>
      <c r="M79" s="91"/>
      <c r="N79" s="91"/>
      <c r="O79" s="92" t="str">
        <f aca="false">IF(OR(M79="",N79=""),"",(N79-M79)*24)</f>
        <v/>
      </c>
      <c r="P79" s="86"/>
      <c r="Q79" s="93" t="str">
        <f aca="false">IF(L79="","",INDEX(PARAMETRES!$B$53:$B$65,MONTH(L79)))</f>
        <v/>
      </c>
      <c r="R79" s="93" t="str">
        <f aca="false">IF(L79="","",INDEX(PARAMETRES!$C$53:$C$65,MONTH(L79)))</f>
        <v/>
      </c>
      <c r="S79" s="61" t="str">
        <f aca="false">IF(L79="","",YEAR(L79))</f>
        <v/>
      </c>
      <c r="T79" s="79"/>
      <c r="U79" s="91"/>
      <c r="V79" s="91"/>
      <c r="W79" s="92" t="str">
        <f aca="false">IF(OR(U79="",V79=""),"",(V79-U79)*24)</f>
        <v/>
      </c>
      <c r="X79" s="86"/>
      <c r="Y79" s="83"/>
      <c r="Z79" s="86"/>
      <c r="AA79" s="81" t="str">
        <f aca="false">IF(AND(L79&lt;&gt;"",T79&lt;&gt;""),T79-L79,"")</f>
        <v/>
      </c>
      <c r="AB79" s="61" t="str">
        <f aca="true">IF(L79="","",IF(AND(TODAY()&gt;L79,T79="",NOT(OR(Z79="Realisee",Z79="Annulee"))),"OUI","NON"))</f>
        <v/>
      </c>
      <c r="AC79" s="89"/>
      <c r="AD79" s="89"/>
      <c r="AE79" s="86"/>
      <c r="AF79" s="89"/>
      <c r="AG79" s="89"/>
      <c r="AH79" s="86"/>
      <c r="AI79" s="61" t="str">
        <f aca="false">IFERROR(INDEX(PARAMETRES!$B$536:$B$586,MATCH(AH79,PARAMETRES!$J$536:$J$586,0)),"")</f>
        <v/>
      </c>
      <c r="AJ79" s="61" t="str">
        <f aca="false">IFERROR(INDEX(PARAMETRES!$D$536:$D$586,MATCH(AH79,PARAMETRES!$J$536:$J$586,0)),"")</f>
        <v/>
      </c>
      <c r="AK79" s="61" t="str">
        <f aca="false">IFERROR(INDEX(PARAMETRES!$F$536:$F$586,MATCH(AH79,PARAMETRES!$J$536:$J$586,0)),"")</f>
        <v/>
      </c>
      <c r="AL79" s="61" t="str">
        <f aca="false">IFERROR(INDEX(PARAMETRES!$H$536:$H$586,MATCH(AH79,PARAMETRES!$J$536:$J$586,0)),"")</f>
        <v/>
      </c>
      <c r="AM79" s="89"/>
      <c r="AN79" s="89"/>
      <c r="AO79" s="80"/>
      <c r="AP79" s="80"/>
      <c r="AQ79" s="80"/>
      <c r="AR79" s="80"/>
      <c r="AS79" s="80"/>
      <c r="AT79" s="80"/>
      <c r="AU79" s="80"/>
      <c r="AV79" s="81" t="n">
        <f aca="false">IF(A79="",0,COUNTIFS(tbl_Beneficiaires_Activites[ID activite],A79))</f>
        <v>0</v>
      </c>
      <c r="AW79" s="80"/>
      <c r="AX79" s="80"/>
      <c r="AY79" s="80"/>
      <c r="AZ79" s="86"/>
      <c r="BA79" s="86"/>
      <c r="BB79" s="89"/>
      <c r="BC79" s="80"/>
      <c r="BD79" s="80"/>
      <c r="BE79" s="80"/>
      <c r="BF79" s="81" t="n">
        <f aca="false">IF(BD79="",0,BD79)-IF(BE79="",0,BE79)</f>
        <v>0</v>
      </c>
      <c r="BG79" s="82" t="n">
        <f aca="false">IF(OR(BD79="",BD79=0),0,BE79/BD79)</f>
        <v>0</v>
      </c>
      <c r="BH79" s="86"/>
      <c r="BI79" s="89"/>
      <c r="BJ79" s="80"/>
      <c r="BK79" s="80"/>
      <c r="BL79" s="86"/>
      <c r="BM79" s="89"/>
      <c r="BN79" s="89"/>
      <c r="BO79" s="89"/>
      <c r="BP79" s="89"/>
      <c r="BQ79" s="80"/>
      <c r="BR79" s="86"/>
      <c r="BS79" s="89"/>
      <c r="BT79" s="89"/>
      <c r="BU79" s="89"/>
      <c r="BV79" s="81" t="str">
        <f aca="false">IF(OR(AO79="",AV79=""),"",AV79-AO79)</f>
        <v/>
      </c>
      <c r="BW79" s="81" t="str">
        <f aca="false">IF(OR(BE79="",BD79=""),"",BE79-BD79)</f>
        <v/>
      </c>
      <c r="BX79" s="86"/>
      <c r="BY79" s="86"/>
      <c r="BZ79" s="86"/>
      <c r="CA79" s="86"/>
      <c r="CB79" s="89"/>
      <c r="CC79" s="89"/>
      <c r="CD79" s="83"/>
      <c r="CE79" s="86"/>
      <c r="CF79" s="79"/>
      <c r="CG79" s="89"/>
      <c r="CH79" s="86"/>
      <c r="CI79" s="89"/>
      <c r="CJ79" s="89"/>
      <c r="CK79" s="81" t="n">
        <f aca="false">IF(A79="",0,COUNTIF(tbl_Activites_Documents[ID Activite],A79))</f>
        <v>0</v>
      </c>
      <c r="CL79" s="81" t="n">
        <f aca="false">IF(A79="",0,COUNTIF(tbl_Activites_Risques[ID Activite],A79))</f>
        <v>0</v>
      </c>
      <c r="CM79" s="61" t="str">
        <f aca="false">IF(A79="","",IF(BE79&gt;BD79,"OUI","NON"))</f>
        <v/>
      </c>
      <c r="CN79" s="89"/>
    </row>
    <row r="80" customFormat="false" ht="30" hidden="false" customHeight="true" outlineLevel="0" collapsed="false">
      <c r="A80" s="61" t="str">
        <f aca="false">IF(G80="","","ACT"&amp;TEXT(ROW()-55,"00000"))</f>
        <v/>
      </c>
      <c r="B80" s="89"/>
      <c r="C80" s="86"/>
      <c r="D80" s="90" t="n">
        <f aca="false">IFERROR(INDEX(tbl_Projets[Titre complet du projet],MATCH(C80,tbl_Projets[ID Projet],0)),"")</f>
        <v>0</v>
      </c>
      <c r="E80" s="61" t="n">
        <f aca="false">IFERROR(INDEX(tbl_Projets[Domaine d''intervention],MATCH(C80,tbl_Projets[ID Projet],0)),"")</f>
        <v>0</v>
      </c>
      <c r="F80" s="61" t="n">
        <f aca="false">IFERROR(INDEX(tbl_Projets[Nom du responsable],MATCH(C80,tbl_Projets[ID Projet],0)),"")</f>
        <v>0</v>
      </c>
      <c r="G80" s="89"/>
      <c r="H80" s="89"/>
      <c r="I80" s="89"/>
      <c r="J80" s="86"/>
      <c r="K80" s="86"/>
      <c r="L80" s="79"/>
      <c r="M80" s="91"/>
      <c r="N80" s="91"/>
      <c r="O80" s="92" t="str">
        <f aca="false">IF(OR(M80="",N80=""),"",(N80-M80)*24)</f>
        <v/>
      </c>
      <c r="P80" s="86"/>
      <c r="Q80" s="93" t="str">
        <f aca="false">IF(L80="","",INDEX(PARAMETRES!$B$53:$B$65,MONTH(L80)))</f>
        <v/>
      </c>
      <c r="R80" s="93" t="str">
        <f aca="false">IF(L80="","",INDEX(PARAMETRES!$C$53:$C$65,MONTH(L80)))</f>
        <v/>
      </c>
      <c r="S80" s="61" t="str">
        <f aca="false">IF(L80="","",YEAR(L80))</f>
        <v/>
      </c>
      <c r="T80" s="79"/>
      <c r="U80" s="91"/>
      <c r="V80" s="91"/>
      <c r="W80" s="92" t="str">
        <f aca="false">IF(OR(U80="",V80=""),"",(V80-U80)*24)</f>
        <v/>
      </c>
      <c r="X80" s="86"/>
      <c r="Y80" s="83"/>
      <c r="Z80" s="86"/>
      <c r="AA80" s="81" t="str">
        <f aca="false">IF(AND(L80&lt;&gt;"",T80&lt;&gt;""),T80-L80,"")</f>
        <v/>
      </c>
      <c r="AB80" s="61" t="str">
        <f aca="true">IF(L80="","",IF(AND(TODAY()&gt;L80,T80="",NOT(OR(Z80="Realisee",Z80="Annulee"))),"OUI","NON"))</f>
        <v/>
      </c>
      <c r="AC80" s="89"/>
      <c r="AD80" s="89"/>
      <c r="AE80" s="86"/>
      <c r="AF80" s="89"/>
      <c r="AG80" s="89"/>
      <c r="AH80" s="86"/>
      <c r="AI80" s="61" t="str">
        <f aca="false">IFERROR(INDEX(PARAMETRES!$B$536:$B$586,MATCH(AH80,PARAMETRES!$J$536:$J$586,0)),"")</f>
        <v/>
      </c>
      <c r="AJ80" s="61" t="str">
        <f aca="false">IFERROR(INDEX(PARAMETRES!$D$536:$D$586,MATCH(AH80,PARAMETRES!$J$536:$J$586,0)),"")</f>
        <v/>
      </c>
      <c r="AK80" s="61" t="str">
        <f aca="false">IFERROR(INDEX(PARAMETRES!$F$536:$F$586,MATCH(AH80,PARAMETRES!$J$536:$J$586,0)),"")</f>
        <v/>
      </c>
      <c r="AL80" s="61" t="str">
        <f aca="false">IFERROR(INDEX(PARAMETRES!$H$536:$H$586,MATCH(AH80,PARAMETRES!$J$536:$J$586,0)),"")</f>
        <v/>
      </c>
      <c r="AM80" s="89"/>
      <c r="AN80" s="89"/>
      <c r="AO80" s="80"/>
      <c r="AP80" s="80"/>
      <c r="AQ80" s="80"/>
      <c r="AR80" s="80"/>
      <c r="AS80" s="80"/>
      <c r="AT80" s="80"/>
      <c r="AU80" s="80"/>
      <c r="AV80" s="81" t="n">
        <f aca="false">IF(A80="",0,COUNTIFS(tbl_Beneficiaires_Activites[ID activite],A80))</f>
        <v>0</v>
      </c>
      <c r="AW80" s="80"/>
      <c r="AX80" s="80"/>
      <c r="AY80" s="80"/>
      <c r="AZ80" s="86"/>
      <c r="BA80" s="86"/>
      <c r="BB80" s="89"/>
      <c r="BC80" s="80"/>
      <c r="BD80" s="80"/>
      <c r="BE80" s="80"/>
      <c r="BF80" s="81" t="n">
        <f aca="false">IF(BD80="",0,BD80)-IF(BE80="",0,BE80)</f>
        <v>0</v>
      </c>
      <c r="BG80" s="82" t="n">
        <f aca="false">IF(OR(BD80="",BD80=0),0,BE80/BD80)</f>
        <v>0</v>
      </c>
      <c r="BH80" s="86"/>
      <c r="BI80" s="89"/>
      <c r="BJ80" s="80"/>
      <c r="BK80" s="80"/>
      <c r="BL80" s="86"/>
      <c r="BM80" s="89"/>
      <c r="BN80" s="89"/>
      <c r="BO80" s="89"/>
      <c r="BP80" s="89"/>
      <c r="BQ80" s="80"/>
      <c r="BR80" s="86"/>
      <c r="BS80" s="89"/>
      <c r="BT80" s="89"/>
      <c r="BU80" s="89"/>
      <c r="BV80" s="81" t="str">
        <f aca="false">IF(OR(AO80="",AV80=""),"",AV80-AO80)</f>
        <v/>
      </c>
      <c r="BW80" s="81" t="str">
        <f aca="false">IF(OR(BE80="",BD80=""),"",BE80-BD80)</f>
        <v/>
      </c>
      <c r="BX80" s="86"/>
      <c r="BY80" s="86"/>
      <c r="BZ80" s="86"/>
      <c r="CA80" s="86"/>
      <c r="CB80" s="89"/>
      <c r="CC80" s="89"/>
      <c r="CD80" s="83"/>
      <c r="CE80" s="86"/>
      <c r="CF80" s="79"/>
      <c r="CG80" s="89"/>
      <c r="CH80" s="86"/>
      <c r="CI80" s="89"/>
      <c r="CJ80" s="89"/>
      <c r="CK80" s="81" t="n">
        <f aca="false">IF(A80="",0,COUNTIF(tbl_Activites_Documents[ID Activite],A80))</f>
        <v>0</v>
      </c>
      <c r="CL80" s="81" t="n">
        <f aca="false">IF(A80="",0,COUNTIF(tbl_Activites_Risques[ID Activite],A80))</f>
        <v>0</v>
      </c>
      <c r="CM80" s="61" t="str">
        <f aca="false">IF(A80="","",IF(BE80&gt;BD80,"OUI","NON"))</f>
        <v/>
      </c>
      <c r="CN80" s="89"/>
    </row>
    <row r="81" customFormat="false" ht="30" hidden="false" customHeight="true" outlineLevel="0" collapsed="false">
      <c r="A81" s="61" t="str">
        <f aca="false">IF(G81="","","ACT"&amp;TEXT(ROW()-55,"00000"))</f>
        <v/>
      </c>
      <c r="B81" s="89"/>
      <c r="C81" s="86"/>
      <c r="D81" s="90" t="n">
        <f aca="false">IFERROR(INDEX(tbl_Projets[Titre complet du projet],MATCH(C81,tbl_Projets[ID Projet],0)),"")</f>
        <v>0</v>
      </c>
      <c r="E81" s="61" t="n">
        <f aca="false">IFERROR(INDEX(tbl_Projets[Domaine d''intervention],MATCH(C81,tbl_Projets[ID Projet],0)),"")</f>
        <v>0</v>
      </c>
      <c r="F81" s="61" t="n">
        <f aca="false">IFERROR(INDEX(tbl_Projets[Nom du responsable],MATCH(C81,tbl_Projets[ID Projet],0)),"")</f>
        <v>0</v>
      </c>
      <c r="G81" s="89"/>
      <c r="H81" s="89"/>
      <c r="I81" s="89"/>
      <c r="J81" s="86"/>
      <c r="K81" s="86"/>
      <c r="L81" s="79"/>
      <c r="M81" s="91"/>
      <c r="N81" s="91"/>
      <c r="O81" s="92" t="str">
        <f aca="false">IF(OR(M81="",N81=""),"",(N81-M81)*24)</f>
        <v/>
      </c>
      <c r="P81" s="86"/>
      <c r="Q81" s="93" t="str">
        <f aca="false">IF(L81="","",INDEX(PARAMETRES!$B$53:$B$65,MONTH(L81)))</f>
        <v/>
      </c>
      <c r="R81" s="93" t="str">
        <f aca="false">IF(L81="","",INDEX(PARAMETRES!$C$53:$C$65,MONTH(L81)))</f>
        <v/>
      </c>
      <c r="S81" s="61" t="str">
        <f aca="false">IF(L81="","",YEAR(L81))</f>
        <v/>
      </c>
      <c r="T81" s="79"/>
      <c r="U81" s="91"/>
      <c r="V81" s="91"/>
      <c r="W81" s="92" t="str">
        <f aca="false">IF(OR(U81="",V81=""),"",(V81-U81)*24)</f>
        <v/>
      </c>
      <c r="X81" s="86"/>
      <c r="Y81" s="83"/>
      <c r="Z81" s="86"/>
      <c r="AA81" s="81" t="str">
        <f aca="false">IF(AND(L81&lt;&gt;"",T81&lt;&gt;""),T81-L81,"")</f>
        <v/>
      </c>
      <c r="AB81" s="61" t="str">
        <f aca="true">IF(L81="","",IF(AND(TODAY()&gt;L81,T81="",NOT(OR(Z81="Realisee",Z81="Annulee"))),"OUI","NON"))</f>
        <v/>
      </c>
      <c r="AC81" s="89"/>
      <c r="AD81" s="89"/>
      <c r="AE81" s="86"/>
      <c r="AF81" s="89"/>
      <c r="AG81" s="89"/>
      <c r="AH81" s="86"/>
      <c r="AI81" s="61" t="str">
        <f aca="false">IFERROR(INDEX(PARAMETRES!$B$536:$B$586,MATCH(AH81,PARAMETRES!$J$536:$J$586,0)),"")</f>
        <v/>
      </c>
      <c r="AJ81" s="61" t="str">
        <f aca="false">IFERROR(INDEX(PARAMETRES!$D$536:$D$586,MATCH(AH81,PARAMETRES!$J$536:$J$586,0)),"")</f>
        <v/>
      </c>
      <c r="AK81" s="61" t="str">
        <f aca="false">IFERROR(INDEX(PARAMETRES!$F$536:$F$586,MATCH(AH81,PARAMETRES!$J$536:$J$586,0)),"")</f>
        <v/>
      </c>
      <c r="AL81" s="61" t="str">
        <f aca="false">IFERROR(INDEX(PARAMETRES!$H$536:$H$586,MATCH(AH81,PARAMETRES!$J$536:$J$586,0)),"")</f>
        <v/>
      </c>
      <c r="AM81" s="89"/>
      <c r="AN81" s="89"/>
      <c r="AO81" s="80"/>
      <c r="AP81" s="80"/>
      <c r="AQ81" s="80"/>
      <c r="AR81" s="80"/>
      <c r="AS81" s="80"/>
      <c r="AT81" s="80"/>
      <c r="AU81" s="80"/>
      <c r="AV81" s="81" t="n">
        <f aca="false">IF(A81="",0,COUNTIFS(tbl_Beneficiaires_Activites[ID activite],A81))</f>
        <v>0</v>
      </c>
      <c r="AW81" s="80"/>
      <c r="AX81" s="80"/>
      <c r="AY81" s="80"/>
      <c r="AZ81" s="86"/>
      <c r="BA81" s="86"/>
      <c r="BB81" s="89"/>
      <c r="BC81" s="80"/>
      <c r="BD81" s="80"/>
      <c r="BE81" s="80"/>
      <c r="BF81" s="81" t="n">
        <f aca="false">IF(BD81="",0,BD81)-IF(BE81="",0,BE81)</f>
        <v>0</v>
      </c>
      <c r="BG81" s="82" t="n">
        <f aca="false">IF(OR(BD81="",BD81=0),0,BE81/BD81)</f>
        <v>0</v>
      </c>
      <c r="BH81" s="86"/>
      <c r="BI81" s="89"/>
      <c r="BJ81" s="80"/>
      <c r="BK81" s="80"/>
      <c r="BL81" s="86"/>
      <c r="BM81" s="89"/>
      <c r="BN81" s="89"/>
      <c r="BO81" s="89"/>
      <c r="BP81" s="89"/>
      <c r="BQ81" s="80"/>
      <c r="BR81" s="86"/>
      <c r="BS81" s="89"/>
      <c r="BT81" s="89"/>
      <c r="BU81" s="89"/>
      <c r="BV81" s="81" t="str">
        <f aca="false">IF(OR(AO81="",AV81=""),"",AV81-AO81)</f>
        <v/>
      </c>
      <c r="BW81" s="81" t="str">
        <f aca="false">IF(OR(BE81="",BD81=""),"",BE81-BD81)</f>
        <v/>
      </c>
      <c r="BX81" s="86"/>
      <c r="BY81" s="86"/>
      <c r="BZ81" s="86"/>
      <c r="CA81" s="86"/>
      <c r="CB81" s="89"/>
      <c r="CC81" s="89"/>
      <c r="CD81" s="83"/>
      <c r="CE81" s="86"/>
      <c r="CF81" s="79"/>
      <c r="CG81" s="89"/>
      <c r="CH81" s="86"/>
      <c r="CI81" s="89"/>
      <c r="CJ81" s="89"/>
      <c r="CK81" s="81" t="n">
        <f aca="false">IF(A81="",0,COUNTIF(tbl_Activites_Documents[ID Activite],A81))</f>
        <v>0</v>
      </c>
      <c r="CL81" s="81" t="n">
        <f aca="false">IF(A81="",0,COUNTIF(tbl_Activites_Risques[ID Activite],A81))</f>
        <v>0</v>
      </c>
      <c r="CM81" s="61" t="str">
        <f aca="false">IF(A81="","",IF(BE81&gt;BD81,"OUI","NON"))</f>
        <v/>
      </c>
      <c r="CN81" s="89"/>
    </row>
    <row r="82" customFormat="false" ht="30" hidden="false" customHeight="true" outlineLevel="0" collapsed="false">
      <c r="A82" s="61" t="str">
        <f aca="false">IF(G82="","","ACT"&amp;TEXT(ROW()-55,"00000"))</f>
        <v/>
      </c>
      <c r="B82" s="89"/>
      <c r="C82" s="86"/>
      <c r="D82" s="90" t="n">
        <f aca="false">IFERROR(INDEX(tbl_Projets[Titre complet du projet],MATCH(C82,tbl_Projets[ID Projet],0)),"")</f>
        <v>0</v>
      </c>
      <c r="E82" s="61" t="n">
        <f aca="false">IFERROR(INDEX(tbl_Projets[Domaine d''intervention],MATCH(C82,tbl_Projets[ID Projet],0)),"")</f>
        <v>0</v>
      </c>
      <c r="F82" s="61" t="n">
        <f aca="false">IFERROR(INDEX(tbl_Projets[Nom du responsable],MATCH(C82,tbl_Projets[ID Projet],0)),"")</f>
        <v>0</v>
      </c>
      <c r="G82" s="89"/>
      <c r="H82" s="89"/>
      <c r="I82" s="89"/>
      <c r="J82" s="86"/>
      <c r="K82" s="86"/>
      <c r="L82" s="79"/>
      <c r="M82" s="91"/>
      <c r="N82" s="91"/>
      <c r="O82" s="92" t="str">
        <f aca="false">IF(OR(M82="",N82=""),"",(N82-M82)*24)</f>
        <v/>
      </c>
      <c r="P82" s="86"/>
      <c r="Q82" s="93" t="str">
        <f aca="false">IF(L82="","",INDEX(PARAMETRES!$B$53:$B$65,MONTH(L82)))</f>
        <v/>
      </c>
      <c r="R82" s="93" t="str">
        <f aca="false">IF(L82="","",INDEX(PARAMETRES!$C$53:$C$65,MONTH(L82)))</f>
        <v/>
      </c>
      <c r="S82" s="61" t="str">
        <f aca="false">IF(L82="","",YEAR(L82))</f>
        <v/>
      </c>
      <c r="T82" s="79"/>
      <c r="U82" s="91"/>
      <c r="V82" s="91"/>
      <c r="W82" s="92" t="str">
        <f aca="false">IF(OR(U82="",V82=""),"",(V82-U82)*24)</f>
        <v/>
      </c>
      <c r="X82" s="86"/>
      <c r="Y82" s="83"/>
      <c r="Z82" s="86"/>
      <c r="AA82" s="81" t="str">
        <f aca="false">IF(AND(L82&lt;&gt;"",T82&lt;&gt;""),T82-L82,"")</f>
        <v/>
      </c>
      <c r="AB82" s="61" t="str">
        <f aca="true">IF(L82="","",IF(AND(TODAY()&gt;L82,T82="",NOT(OR(Z82="Realisee",Z82="Annulee"))),"OUI","NON"))</f>
        <v/>
      </c>
      <c r="AC82" s="89"/>
      <c r="AD82" s="89"/>
      <c r="AE82" s="86"/>
      <c r="AF82" s="89"/>
      <c r="AG82" s="89"/>
      <c r="AH82" s="86"/>
      <c r="AI82" s="61" t="str">
        <f aca="false">IFERROR(INDEX(PARAMETRES!$B$536:$B$586,MATCH(AH82,PARAMETRES!$J$536:$J$586,0)),"")</f>
        <v/>
      </c>
      <c r="AJ82" s="61" t="str">
        <f aca="false">IFERROR(INDEX(PARAMETRES!$D$536:$D$586,MATCH(AH82,PARAMETRES!$J$536:$J$586,0)),"")</f>
        <v/>
      </c>
      <c r="AK82" s="61" t="str">
        <f aca="false">IFERROR(INDEX(PARAMETRES!$F$536:$F$586,MATCH(AH82,PARAMETRES!$J$536:$J$586,0)),"")</f>
        <v/>
      </c>
      <c r="AL82" s="61" t="str">
        <f aca="false">IFERROR(INDEX(PARAMETRES!$H$536:$H$586,MATCH(AH82,PARAMETRES!$J$536:$J$586,0)),"")</f>
        <v/>
      </c>
      <c r="AM82" s="89"/>
      <c r="AN82" s="89"/>
      <c r="AO82" s="80"/>
      <c r="AP82" s="80"/>
      <c r="AQ82" s="80"/>
      <c r="AR82" s="80"/>
      <c r="AS82" s="80"/>
      <c r="AT82" s="80"/>
      <c r="AU82" s="80"/>
      <c r="AV82" s="81" t="n">
        <f aca="false">IF(A82="",0,COUNTIFS(tbl_Beneficiaires_Activites[ID activite],A82))</f>
        <v>0</v>
      </c>
      <c r="AW82" s="80"/>
      <c r="AX82" s="80"/>
      <c r="AY82" s="80"/>
      <c r="AZ82" s="86"/>
      <c r="BA82" s="86"/>
      <c r="BB82" s="89"/>
      <c r="BC82" s="80"/>
      <c r="BD82" s="80"/>
      <c r="BE82" s="80"/>
      <c r="BF82" s="81" t="n">
        <f aca="false">IF(BD82="",0,BD82)-IF(BE82="",0,BE82)</f>
        <v>0</v>
      </c>
      <c r="BG82" s="82" t="n">
        <f aca="false">IF(OR(BD82="",BD82=0),0,BE82/BD82)</f>
        <v>0</v>
      </c>
      <c r="BH82" s="86"/>
      <c r="BI82" s="89"/>
      <c r="BJ82" s="80"/>
      <c r="BK82" s="80"/>
      <c r="BL82" s="86"/>
      <c r="BM82" s="89"/>
      <c r="BN82" s="89"/>
      <c r="BO82" s="89"/>
      <c r="BP82" s="89"/>
      <c r="BQ82" s="80"/>
      <c r="BR82" s="86"/>
      <c r="BS82" s="89"/>
      <c r="BT82" s="89"/>
      <c r="BU82" s="89"/>
      <c r="BV82" s="81" t="str">
        <f aca="false">IF(OR(AO82="",AV82=""),"",AV82-AO82)</f>
        <v/>
      </c>
      <c r="BW82" s="81" t="str">
        <f aca="false">IF(OR(BE82="",BD82=""),"",BE82-BD82)</f>
        <v/>
      </c>
      <c r="BX82" s="86"/>
      <c r="BY82" s="86"/>
      <c r="BZ82" s="86"/>
      <c r="CA82" s="86"/>
      <c r="CB82" s="89"/>
      <c r="CC82" s="89"/>
      <c r="CD82" s="83"/>
      <c r="CE82" s="86"/>
      <c r="CF82" s="79"/>
      <c r="CG82" s="89"/>
      <c r="CH82" s="86"/>
      <c r="CI82" s="89"/>
      <c r="CJ82" s="89"/>
      <c r="CK82" s="81" t="n">
        <f aca="false">IF(A82="",0,COUNTIF(tbl_Activites_Documents[ID Activite],A82))</f>
        <v>0</v>
      </c>
      <c r="CL82" s="81" t="n">
        <f aca="false">IF(A82="",0,COUNTIF(tbl_Activites_Risques[ID Activite],A82))</f>
        <v>0</v>
      </c>
      <c r="CM82" s="61" t="str">
        <f aca="false">IF(A82="","",IF(BE82&gt;BD82,"OUI","NON"))</f>
        <v/>
      </c>
      <c r="CN82" s="89"/>
    </row>
    <row r="83" customFormat="false" ht="30" hidden="false" customHeight="true" outlineLevel="0" collapsed="false">
      <c r="A83" s="61" t="str">
        <f aca="false">IF(G83="","","ACT"&amp;TEXT(ROW()-55,"00000"))</f>
        <v/>
      </c>
      <c r="B83" s="89"/>
      <c r="C83" s="86"/>
      <c r="D83" s="90" t="n">
        <f aca="false">IFERROR(INDEX(tbl_Projets[Titre complet du projet],MATCH(C83,tbl_Projets[ID Projet],0)),"")</f>
        <v>0</v>
      </c>
      <c r="E83" s="61" t="n">
        <f aca="false">IFERROR(INDEX(tbl_Projets[Domaine d''intervention],MATCH(C83,tbl_Projets[ID Projet],0)),"")</f>
        <v>0</v>
      </c>
      <c r="F83" s="61" t="n">
        <f aca="false">IFERROR(INDEX(tbl_Projets[Nom du responsable],MATCH(C83,tbl_Projets[ID Projet],0)),"")</f>
        <v>0</v>
      </c>
      <c r="G83" s="89"/>
      <c r="H83" s="89"/>
      <c r="I83" s="89"/>
      <c r="J83" s="86"/>
      <c r="K83" s="86"/>
      <c r="L83" s="79"/>
      <c r="M83" s="91"/>
      <c r="N83" s="91"/>
      <c r="O83" s="92" t="str">
        <f aca="false">IF(OR(M83="",N83=""),"",(N83-M83)*24)</f>
        <v/>
      </c>
      <c r="P83" s="86"/>
      <c r="Q83" s="93" t="str">
        <f aca="false">IF(L83="","",INDEX(PARAMETRES!$B$53:$B$65,MONTH(L83)))</f>
        <v/>
      </c>
      <c r="R83" s="93" t="str">
        <f aca="false">IF(L83="","",INDEX(PARAMETRES!$C$53:$C$65,MONTH(L83)))</f>
        <v/>
      </c>
      <c r="S83" s="61" t="str">
        <f aca="false">IF(L83="","",YEAR(L83))</f>
        <v/>
      </c>
      <c r="T83" s="79"/>
      <c r="U83" s="91"/>
      <c r="V83" s="91"/>
      <c r="W83" s="92" t="str">
        <f aca="false">IF(OR(U83="",V83=""),"",(V83-U83)*24)</f>
        <v/>
      </c>
      <c r="X83" s="86"/>
      <c r="Y83" s="83"/>
      <c r="Z83" s="86"/>
      <c r="AA83" s="81" t="str">
        <f aca="false">IF(AND(L83&lt;&gt;"",T83&lt;&gt;""),T83-L83,"")</f>
        <v/>
      </c>
      <c r="AB83" s="61" t="str">
        <f aca="true">IF(L83="","",IF(AND(TODAY()&gt;L83,T83="",NOT(OR(Z83="Realisee",Z83="Annulee"))),"OUI","NON"))</f>
        <v/>
      </c>
      <c r="AC83" s="89"/>
      <c r="AD83" s="89"/>
      <c r="AE83" s="86"/>
      <c r="AF83" s="89"/>
      <c r="AG83" s="89"/>
      <c r="AH83" s="86"/>
      <c r="AI83" s="61" t="str">
        <f aca="false">IFERROR(INDEX(PARAMETRES!$B$536:$B$586,MATCH(AH83,PARAMETRES!$J$536:$J$586,0)),"")</f>
        <v/>
      </c>
      <c r="AJ83" s="61" t="str">
        <f aca="false">IFERROR(INDEX(PARAMETRES!$D$536:$D$586,MATCH(AH83,PARAMETRES!$J$536:$J$586,0)),"")</f>
        <v/>
      </c>
      <c r="AK83" s="61" t="str">
        <f aca="false">IFERROR(INDEX(PARAMETRES!$F$536:$F$586,MATCH(AH83,PARAMETRES!$J$536:$J$586,0)),"")</f>
        <v/>
      </c>
      <c r="AL83" s="61" t="str">
        <f aca="false">IFERROR(INDEX(PARAMETRES!$H$536:$H$586,MATCH(AH83,PARAMETRES!$J$536:$J$586,0)),"")</f>
        <v/>
      </c>
      <c r="AM83" s="89"/>
      <c r="AN83" s="89"/>
      <c r="AO83" s="80"/>
      <c r="AP83" s="80"/>
      <c r="AQ83" s="80"/>
      <c r="AR83" s="80"/>
      <c r="AS83" s="80"/>
      <c r="AT83" s="80"/>
      <c r="AU83" s="80"/>
      <c r="AV83" s="81" t="n">
        <f aca="false">IF(A83="",0,COUNTIFS(tbl_Beneficiaires_Activites[ID activite],A83))</f>
        <v>0</v>
      </c>
      <c r="AW83" s="80"/>
      <c r="AX83" s="80"/>
      <c r="AY83" s="80"/>
      <c r="AZ83" s="86"/>
      <c r="BA83" s="86"/>
      <c r="BB83" s="89"/>
      <c r="BC83" s="80"/>
      <c r="BD83" s="80"/>
      <c r="BE83" s="80"/>
      <c r="BF83" s="81" t="n">
        <f aca="false">IF(BD83="",0,BD83)-IF(BE83="",0,BE83)</f>
        <v>0</v>
      </c>
      <c r="BG83" s="82" t="n">
        <f aca="false">IF(OR(BD83="",BD83=0),0,BE83/BD83)</f>
        <v>0</v>
      </c>
      <c r="BH83" s="86"/>
      <c r="BI83" s="89"/>
      <c r="BJ83" s="80"/>
      <c r="BK83" s="80"/>
      <c r="BL83" s="86"/>
      <c r="BM83" s="89"/>
      <c r="BN83" s="89"/>
      <c r="BO83" s="89"/>
      <c r="BP83" s="89"/>
      <c r="BQ83" s="80"/>
      <c r="BR83" s="86"/>
      <c r="BS83" s="89"/>
      <c r="BT83" s="89"/>
      <c r="BU83" s="89"/>
      <c r="BV83" s="81" t="str">
        <f aca="false">IF(OR(AO83="",AV83=""),"",AV83-AO83)</f>
        <v/>
      </c>
      <c r="BW83" s="81" t="str">
        <f aca="false">IF(OR(BE83="",BD83=""),"",BE83-BD83)</f>
        <v/>
      </c>
      <c r="BX83" s="86"/>
      <c r="BY83" s="86"/>
      <c r="BZ83" s="86"/>
      <c r="CA83" s="86"/>
      <c r="CB83" s="89"/>
      <c r="CC83" s="89"/>
      <c r="CD83" s="83"/>
      <c r="CE83" s="86"/>
      <c r="CF83" s="79"/>
      <c r="CG83" s="89"/>
      <c r="CH83" s="86"/>
      <c r="CI83" s="89"/>
      <c r="CJ83" s="89"/>
      <c r="CK83" s="81" t="n">
        <f aca="false">IF(A83="",0,COUNTIF(tbl_Activites_Documents[ID Activite],A83))</f>
        <v>0</v>
      </c>
      <c r="CL83" s="81" t="n">
        <f aca="false">IF(A83="",0,COUNTIF(tbl_Activites_Risques[ID Activite],A83))</f>
        <v>0</v>
      </c>
      <c r="CM83" s="61" t="str">
        <f aca="false">IF(A83="","",IF(BE83&gt;BD83,"OUI","NON"))</f>
        <v/>
      </c>
      <c r="CN83" s="89"/>
    </row>
    <row r="84" customFormat="false" ht="30" hidden="false" customHeight="true" outlineLevel="0" collapsed="false">
      <c r="A84" s="61" t="str">
        <f aca="false">IF(G84="","","ACT"&amp;TEXT(ROW()-55,"00000"))</f>
        <v/>
      </c>
      <c r="B84" s="89"/>
      <c r="C84" s="86"/>
      <c r="D84" s="90" t="n">
        <f aca="false">IFERROR(INDEX(tbl_Projets[Titre complet du projet],MATCH(C84,tbl_Projets[ID Projet],0)),"")</f>
        <v>0</v>
      </c>
      <c r="E84" s="61" t="n">
        <f aca="false">IFERROR(INDEX(tbl_Projets[Domaine d''intervention],MATCH(C84,tbl_Projets[ID Projet],0)),"")</f>
        <v>0</v>
      </c>
      <c r="F84" s="61" t="n">
        <f aca="false">IFERROR(INDEX(tbl_Projets[Nom du responsable],MATCH(C84,tbl_Projets[ID Projet],0)),"")</f>
        <v>0</v>
      </c>
      <c r="G84" s="89"/>
      <c r="H84" s="89"/>
      <c r="I84" s="89"/>
      <c r="J84" s="86"/>
      <c r="K84" s="86"/>
      <c r="L84" s="79"/>
      <c r="M84" s="91"/>
      <c r="N84" s="91"/>
      <c r="O84" s="92" t="str">
        <f aca="false">IF(OR(M84="",N84=""),"",(N84-M84)*24)</f>
        <v/>
      </c>
      <c r="P84" s="86"/>
      <c r="Q84" s="93" t="str">
        <f aca="false">IF(L84="","",INDEX(PARAMETRES!$B$53:$B$65,MONTH(L84)))</f>
        <v/>
      </c>
      <c r="R84" s="93" t="str">
        <f aca="false">IF(L84="","",INDEX(PARAMETRES!$C$53:$C$65,MONTH(L84)))</f>
        <v/>
      </c>
      <c r="S84" s="61" t="str">
        <f aca="false">IF(L84="","",YEAR(L84))</f>
        <v/>
      </c>
      <c r="T84" s="79"/>
      <c r="U84" s="91"/>
      <c r="V84" s="91"/>
      <c r="W84" s="92" t="str">
        <f aca="false">IF(OR(U84="",V84=""),"",(V84-U84)*24)</f>
        <v/>
      </c>
      <c r="X84" s="86"/>
      <c r="Y84" s="83"/>
      <c r="Z84" s="86"/>
      <c r="AA84" s="81" t="str">
        <f aca="false">IF(AND(L84&lt;&gt;"",T84&lt;&gt;""),T84-L84,"")</f>
        <v/>
      </c>
      <c r="AB84" s="61" t="str">
        <f aca="true">IF(L84="","",IF(AND(TODAY()&gt;L84,T84="",NOT(OR(Z84="Realisee",Z84="Annulee"))),"OUI","NON"))</f>
        <v/>
      </c>
      <c r="AC84" s="89"/>
      <c r="AD84" s="89"/>
      <c r="AE84" s="86"/>
      <c r="AF84" s="89"/>
      <c r="AG84" s="89"/>
      <c r="AH84" s="86"/>
      <c r="AI84" s="61" t="str">
        <f aca="false">IFERROR(INDEX(PARAMETRES!$B$536:$B$586,MATCH(AH84,PARAMETRES!$J$536:$J$586,0)),"")</f>
        <v/>
      </c>
      <c r="AJ84" s="61" t="str">
        <f aca="false">IFERROR(INDEX(PARAMETRES!$D$536:$D$586,MATCH(AH84,PARAMETRES!$J$536:$J$586,0)),"")</f>
        <v/>
      </c>
      <c r="AK84" s="61" t="str">
        <f aca="false">IFERROR(INDEX(PARAMETRES!$F$536:$F$586,MATCH(AH84,PARAMETRES!$J$536:$J$586,0)),"")</f>
        <v/>
      </c>
      <c r="AL84" s="61" t="str">
        <f aca="false">IFERROR(INDEX(PARAMETRES!$H$536:$H$586,MATCH(AH84,PARAMETRES!$J$536:$J$586,0)),"")</f>
        <v/>
      </c>
      <c r="AM84" s="89"/>
      <c r="AN84" s="89"/>
      <c r="AO84" s="80"/>
      <c r="AP84" s="80"/>
      <c r="AQ84" s="80"/>
      <c r="AR84" s="80"/>
      <c r="AS84" s="80"/>
      <c r="AT84" s="80"/>
      <c r="AU84" s="80"/>
      <c r="AV84" s="81" t="n">
        <f aca="false">IF(A84="",0,COUNTIFS(tbl_Beneficiaires_Activites[ID activite],A84))</f>
        <v>0</v>
      </c>
      <c r="AW84" s="80"/>
      <c r="AX84" s="80"/>
      <c r="AY84" s="80"/>
      <c r="AZ84" s="86"/>
      <c r="BA84" s="86"/>
      <c r="BB84" s="89"/>
      <c r="BC84" s="80"/>
      <c r="BD84" s="80"/>
      <c r="BE84" s="80"/>
      <c r="BF84" s="81" t="n">
        <f aca="false">IF(BD84="",0,BD84)-IF(BE84="",0,BE84)</f>
        <v>0</v>
      </c>
      <c r="BG84" s="82" t="n">
        <f aca="false">IF(OR(BD84="",BD84=0),0,BE84/BD84)</f>
        <v>0</v>
      </c>
      <c r="BH84" s="86"/>
      <c r="BI84" s="89"/>
      <c r="BJ84" s="80"/>
      <c r="BK84" s="80"/>
      <c r="BL84" s="86"/>
      <c r="BM84" s="89"/>
      <c r="BN84" s="89"/>
      <c r="BO84" s="89"/>
      <c r="BP84" s="89"/>
      <c r="BQ84" s="80"/>
      <c r="BR84" s="86"/>
      <c r="BS84" s="89"/>
      <c r="BT84" s="89"/>
      <c r="BU84" s="89"/>
      <c r="BV84" s="81" t="str">
        <f aca="false">IF(OR(AO84="",AV84=""),"",AV84-AO84)</f>
        <v/>
      </c>
      <c r="BW84" s="81" t="str">
        <f aca="false">IF(OR(BE84="",BD84=""),"",BE84-BD84)</f>
        <v/>
      </c>
      <c r="BX84" s="86"/>
      <c r="BY84" s="86"/>
      <c r="BZ84" s="86"/>
      <c r="CA84" s="86"/>
      <c r="CB84" s="89"/>
      <c r="CC84" s="89"/>
      <c r="CD84" s="83"/>
      <c r="CE84" s="86"/>
      <c r="CF84" s="79"/>
      <c r="CG84" s="89"/>
      <c r="CH84" s="86"/>
      <c r="CI84" s="89"/>
      <c r="CJ84" s="89"/>
      <c r="CK84" s="81" t="n">
        <f aca="false">IF(A84="",0,COUNTIF(tbl_Activites_Documents[ID Activite],A84))</f>
        <v>0</v>
      </c>
      <c r="CL84" s="81" t="n">
        <f aca="false">IF(A84="",0,COUNTIF(tbl_Activites_Risques[ID Activite],A84))</f>
        <v>0</v>
      </c>
      <c r="CM84" s="61" t="str">
        <f aca="false">IF(A84="","",IF(BE84&gt;BD84,"OUI","NON"))</f>
        <v/>
      </c>
      <c r="CN84" s="89"/>
    </row>
    <row r="85" customFormat="false" ht="30" hidden="false" customHeight="true" outlineLevel="0" collapsed="false">
      <c r="A85" s="61" t="str">
        <f aca="false">IF(G85="","","ACT"&amp;TEXT(ROW()-55,"00000"))</f>
        <v/>
      </c>
      <c r="B85" s="89"/>
      <c r="C85" s="86"/>
      <c r="D85" s="90" t="n">
        <f aca="false">IFERROR(INDEX(tbl_Projets[Titre complet du projet],MATCH(C85,tbl_Projets[ID Projet],0)),"")</f>
        <v>0</v>
      </c>
      <c r="E85" s="61" t="n">
        <f aca="false">IFERROR(INDEX(tbl_Projets[Domaine d''intervention],MATCH(C85,tbl_Projets[ID Projet],0)),"")</f>
        <v>0</v>
      </c>
      <c r="F85" s="61" t="n">
        <f aca="false">IFERROR(INDEX(tbl_Projets[Nom du responsable],MATCH(C85,tbl_Projets[ID Projet],0)),"")</f>
        <v>0</v>
      </c>
      <c r="G85" s="89"/>
      <c r="H85" s="89"/>
      <c r="I85" s="89"/>
      <c r="J85" s="86"/>
      <c r="K85" s="86"/>
      <c r="L85" s="79"/>
      <c r="M85" s="91"/>
      <c r="N85" s="91"/>
      <c r="O85" s="92" t="str">
        <f aca="false">IF(OR(M85="",N85=""),"",(N85-M85)*24)</f>
        <v/>
      </c>
      <c r="P85" s="86"/>
      <c r="Q85" s="93" t="str">
        <f aca="false">IF(L85="","",INDEX(PARAMETRES!$B$53:$B$65,MONTH(L85)))</f>
        <v/>
      </c>
      <c r="R85" s="93" t="str">
        <f aca="false">IF(L85="","",INDEX(PARAMETRES!$C$53:$C$65,MONTH(L85)))</f>
        <v/>
      </c>
      <c r="S85" s="61" t="str">
        <f aca="false">IF(L85="","",YEAR(L85))</f>
        <v/>
      </c>
      <c r="T85" s="79"/>
      <c r="U85" s="91"/>
      <c r="V85" s="91"/>
      <c r="W85" s="92" t="str">
        <f aca="false">IF(OR(U85="",V85=""),"",(V85-U85)*24)</f>
        <v/>
      </c>
      <c r="X85" s="86"/>
      <c r="Y85" s="83"/>
      <c r="Z85" s="86"/>
      <c r="AA85" s="81" t="str">
        <f aca="false">IF(AND(L85&lt;&gt;"",T85&lt;&gt;""),T85-L85,"")</f>
        <v/>
      </c>
      <c r="AB85" s="61" t="str">
        <f aca="true">IF(L85="","",IF(AND(TODAY()&gt;L85,T85="",NOT(OR(Z85="Realisee",Z85="Annulee"))),"OUI","NON"))</f>
        <v/>
      </c>
      <c r="AC85" s="89"/>
      <c r="AD85" s="89"/>
      <c r="AE85" s="86"/>
      <c r="AF85" s="89"/>
      <c r="AG85" s="89"/>
      <c r="AH85" s="86"/>
      <c r="AI85" s="61" t="str">
        <f aca="false">IFERROR(INDEX(PARAMETRES!$B$536:$B$586,MATCH(AH85,PARAMETRES!$J$536:$J$586,0)),"")</f>
        <v/>
      </c>
      <c r="AJ85" s="61" t="str">
        <f aca="false">IFERROR(INDEX(PARAMETRES!$D$536:$D$586,MATCH(AH85,PARAMETRES!$J$536:$J$586,0)),"")</f>
        <v/>
      </c>
      <c r="AK85" s="61" t="str">
        <f aca="false">IFERROR(INDEX(PARAMETRES!$F$536:$F$586,MATCH(AH85,PARAMETRES!$J$536:$J$586,0)),"")</f>
        <v/>
      </c>
      <c r="AL85" s="61" t="str">
        <f aca="false">IFERROR(INDEX(PARAMETRES!$H$536:$H$586,MATCH(AH85,PARAMETRES!$J$536:$J$586,0)),"")</f>
        <v/>
      </c>
      <c r="AM85" s="89"/>
      <c r="AN85" s="89"/>
      <c r="AO85" s="80"/>
      <c r="AP85" s="80"/>
      <c r="AQ85" s="80"/>
      <c r="AR85" s="80"/>
      <c r="AS85" s="80"/>
      <c r="AT85" s="80"/>
      <c r="AU85" s="80"/>
      <c r="AV85" s="81" t="n">
        <f aca="false">IF(A85="",0,COUNTIFS(tbl_Beneficiaires_Activites[ID activite],A85))</f>
        <v>0</v>
      </c>
      <c r="AW85" s="80"/>
      <c r="AX85" s="80"/>
      <c r="AY85" s="80"/>
      <c r="AZ85" s="86"/>
      <c r="BA85" s="86"/>
      <c r="BB85" s="89"/>
      <c r="BC85" s="80"/>
      <c r="BD85" s="80"/>
      <c r="BE85" s="80"/>
      <c r="BF85" s="81" t="n">
        <f aca="false">IF(BD85="",0,BD85)-IF(BE85="",0,BE85)</f>
        <v>0</v>
      </c>
      <c r="BG85" s="82" t="n">
        <f aca="false">IF(OR(BD85="",BD85=0),0,BE85/BD85)</f>
        <v>0</v>
      </c>
      <c r="BH85" s="86"/>
      <c r="BI85" s="89"/>
      <c r="BJ85" s="80"/>
      <c r="BK85" s="80"/>
      <c r="BL85" s="86"/>
      <c r="BM85" s="89"/>
      <c r="BN85" s="89"/>
      <c r="BO85" s="89"/>
      <c r="BP85" s="89"/>
      <c r="BQ85" s="80"/>
      <c r="BR85" s="86"/>
      <c r="BS85" s="89"/>
      <c r="BT85" s="89"/>
      <c r="BU85" s="89"/>
      <c r="BV85" s="81" t="str">
        <f aca="false">IF(OR(AO85="",AV85=""),"",AV85-AO85)</f>
        <v/>
      </c>
      <c r="BW85" s="81" t="str">
        <f aca="false">IF(OR(BE85="",BD85=""),"",BE85-BD85)</f>
        <v/>
      </c>
      <c r="BX85" s="86"/>
      <c r="BY85" s="86"/>
      <c r="BZ85" s="86"/>
      <c r="CA85" s="86"/>
      <c r="CB85" s="89"/>
      <c r="CC85" s="89"/>
      <c r="CD85" s="83"/>
      <c r="CE85" s="86"/>
      <c r="CF85" s="79"/>
      <c r="CG85" s="89"/>
      <c r="CH85" s="86"/>
      <c r="CI85" s="89"/>
      <c r="CJ85" s="89"/>
      <c r="CK85" s="81" t="n">
        <f aca="false">IF(A85="",0,COUNTIF(tbl_Activites_Documents[ID Activite],A85))</f>
        <v>0</v>
      </c>
      <c r="CL85" s="81" t="n">
        <f aca="false">IF(A85="",0,COUNTIF(tbl_Activites_Risques[ID Activite],A85))</f>
        <v>0</v>
      </c>
      <c r="CM85" s="61" t="str">
        <f aca="false">IF(A85="","",IF(BE85&gt;BD85,"OUI","NON"))</f>
        <v/>
      </c>
      <c r="CN85" s="89"/>
    </row>
    <row r="86" customFormat="false" ht="30" hidden="false" customHeight="true" outlineLevel="0" collapsed="false">
      <c r="A86" s="61" t="str">
        <f aca="false">IF(G86="","","ACT"&amp;TEXT(ROW()-55,"00000"))</f>
        <v/>
      </c>
      <c r="B86" s="89"/>
      <c r="C86" s="86"/>
      <c r="D86" s="90" t="n">
        <f aca="false">IFERROR(INDEX(tbl_Projets[Titre complet du projet],MATCH(C86,tbl_Projets[ID Projet],0)),"")</f>
        <v>0</v>
      </c>
      <c r="E86" s="61" t="n">
        <f aca="false">IFERROR(INDEX(tbl_Projets[Domaine d''intervention],MATCH(C86,tbl_Projets[ID Projet],0)),"")</f>
        <v>0</v>
      </c>
      <c r="F86" s="61" t="n">
        <f aca="false">IFERROR(INDEX(tbl_Projets[Nom du responsable],MATCH(C86,tbl_Projets[ID Projet],0)),"")</f>
        <v>0</v>
      </c>
      <c r="G86" s="89"/>
      <c r="H86" s="89"/>
      <c r="I86" s="89"/>
      <c r="J86" s="86"/>
      <c r="K86" s="86"/>
      <c r="L86" s="79"/>
      <c r="M86" s="91"/>
      <c r="N86" s="91"/>
      <c r="O86" s="92" t="str">
        <f aca="false">IF(OR(M86="",N86=""),"",(N86-M86)*24)</f>
        <v/>
      </c>
      <c r="P86" s="86"/>
      <c r="Q86" s="93" t="str">
        <f aca="false">IF(L86="","",INDEX(PARAMETRES!$B$53:$B$65,MONTH(L86)))</f>
        <v/>
      </c>
      <c r="R86" s="93" t="str">
        <f aca="false">IF(L86="","",INDEX(PARAMETRES!$C$53:$C$65,MONTH(L86)))</f>
        <v/>
      </c>
      <c r="S86" s="61" t="str">
        <f aca="false">IF(L86="","",YEAR(L86))</f>
        <v/>
      </c>
      <c r="T86" s="79"/>
      <c r="U86" s="91"/>
      <c r="V86" s="91"/>
      <c r="W86" s="92" t="str">
        <f aca="false">IF(OR(U86="",V86=""),"",(V86-U86)*24)</f>
        <v/>
      </c>
      <c r="X86" s="86"/>
      <c r="Y86" s="83"/>
      <c r="Z86" s="86"/>
      <c r="AA86" s="81" t="str">
        <f aca="false">IF(AND(L86&lt;&gt;"",T86&lt;&gt;""),T86-L86,"")</f>
        <v/>
      </c>
      <c r="AB86" s="61" t="str">
        <f aca="true">IF(L86="","",IF(AND(TODAY()&gt;L86,T86="",NOT(OR(Z86="Realisee",Z86="Annulee"))),"OUI","NON"))</f>
        <v/>
      </c>
      <c r="AC86" s="89"/>
      <c r="AD86" s="89"/>
      <c r="AE86" s="86"/>
      <c r="AF86" s="89"/>
      <c r="AG86" s="89"/>
      <c r="AH86" s="86"/>
      <c r="AI86" s="61" t="str">
        <f aca="false">IFERROR(INDEX(PARAMETRES!$B$536:$B$586,MATCH(AH86,PARAMETRES!$J$536:$J$586,0)),"")</f>
        <v/>
      </c>
      <c r="AJ86" s="61" t="str">
        <f aca="false">IFERROR(INDEX(PARAMETRES!$D$536:$D$586,MATCH(AH86,PARAMETRES!$J$536:$J$586,0)),"")</f>
        <v/>
      </c>
      <c r="AK86" s="61" t="str">
        <f aca="false">IFERROR(INDEX(PARAMETRES!$F$536:$F$586,MATCH(AH86,PARAMETRES!$J$536:$J$586,0)),"")</f>
        <v/>
      </c>
      <c r="AL86" s="61" t="str">
        <f aca="false">IFERROR(INDEX(PARAMETRES!$H$536:$H$586,MATCH(AH86,PARAMETRES!$J$536:$J$586,0)),"")</f>
        <v/>
      </c>
      <c r="AM86" s="89"/>
      <c r="AN86" s="89"/>
      <c r="AO86" s="80"/>
      <c r="AP86" s="80"/>
      <c r="AQ86" s="80"/>
      <c r="AR86" s="80"/>
      <c r="AS86" s="80"/>
      <c r="AT86" s="80"/>
      <c r="AU86" s="80"/>
      <c r="AV86" s="81" t="n">
        <f aca="false">IF(A86="",0,COUNTIFS(tbl_Beneficiaires_Activites[ID activite],A86))</f>
        <v>0</v>
      </c>
      <c r="AW86" s="80"/>
      <c r="AX86" s="80"/>
      <c r="AY86" s="80"/>
      <c r="AZ86" s="86"/>
      <c r="BA86" s="86"/>
      <c r="BB86" s="89"/>
      <c r="BC86" s="80"/>
      <c r="BD86" s="80"/>
      <c r="BE86" s="80"/>
      <c r="BF86" s="81" t="n">
        <f aca="false">IF(BD86="",0,BD86)-IF(BE86="",0,BE86)</f>
        <v>0</v>
      </c>
      <c r="BG86" s="82" t="n">
        <f aca="false">IF(OR(BD86="",BD86=0),0,BE86/BD86)</f>
        <v>0</v>
      </c>
      <c r="BH86" s="86"/>
      <c r="BI86" s="89"/>
      <c r="BJ86" s="80"/>
      <c r="BK86" s="80"/>
      <c r="BL86" s="86"/>
      <c r="BM86" s="89"/>
      <c r="BN86" s="89"/>
      <c r="BO86" s="89"/>
      <c r="BP86" s="89"/>
      <c r="BQ86" s="80"/>
      <c r="BR86" s="86"/>
      <c r="BS86" s="89"/>
      <c r="BT86" s="89"/>
      <c r="BU86" s="89"/>
      <c r="BV86" s="81" t="str">
        <f aca="false">IF(OR(AO86="",AV86=""),"",AV86-AO86)</f>
        <v/>
      </c>
      <c r="BW86" s="81" t="str">
        <f aca="false">IF(OR(BE86="",BD86=""),"",BE86-BD86)</f>
        <v/>
      </c>
      <c r="BX86" s="86"/>
      <c r="BY86" s="86"/>
      <c r="BZ86" s="86"/>
      <c r="CA86" s="86"/>
      <c r="CB86" s="89"/>
      <c r="CC86" s="89"/>
      <c r="CD86" s="83"/>
      <c r="CE86" s="86"/>
      <c r="CF86" s="79"/>
      <c r="CG86" s="89"/>
      <c r="CH86" s="86"/>
      <c r="CI86" s="89"/>
      <c r="CJ86" s="89"/>
      <c r="CK86" s="81" t="n">
        <f aca="false">IF(A86="",0,COUNTIF(tbl_Activites_Documents[ID Activite],A86))</f>
        <v>0</v>
      </c>
      <c r="CL86" s="81" t="n">
        <f aca="false">IF(A86="",0,COUNTIF(tbl_Activites_Risques[ID Activite],A86))</f>
        <v>0</v>
      </c>
      <c r="CM86" s="61" t="str">
        <f aca="false">IF(A86="","",IF(BE86&gt;BD86,"OUI","NON"))</f>
        <v/>
      </c>
      <c r="CN86" s="89"/>
    </row>
    <row r="87" customFormat="false" ht="30" hidden="false" customHeight="true" outlineLevel="0" collapsed="false">
      <c r="A87" s="61" t="str">
        <f aca="false">IF(G87="","","ACT"&amp;TEXT(ROW()-55,"00000"))</f>
        <v/>
      </c>
      <c r="B87" s="89"/>
      <c r="C87" s="86"/>
      <c r="D87" s="90" t="n">
        <f aca="false">IFERROR(INDEX(tbl_Projets[Titre complet du projet],MATCH(C87,tbl_Projets[ID Projet],0)),"")</f>
        <v>0</v>
      </c>
      <c r="E87" s="61" t="n">
        <f aca="false">IFERROR(INDEX(tbl_Projets[Domaine d''intervention],MATCH(C87,tbl_Projets[ID Projet],0)),"")</f>
        <v>0</v>
      </c>
      <c r="F87" s="61" t="n">
        <f aca="false">IFERROR(INDEX(tbl_Projets[Nom du responsable],MATCH(C87,tbl_Projets[ID Projet],0)),"")</f>
        <v>0</v>
      </c>
      <c r="G87" s="89"/>
      <c r="H87" s="89"/>
      <c r="I87" s="89"/>
      <c r="J87" s="86"/>
      <c r="K87" s="86"/>
      <c r="L87" s="79"/>
      <c r="M87" s="91"/>
      <c r="N87" s="91"/>
      <c r="O87" s="92" t="str">
        <f aca="false">IF(OR(M87="",N87=""),"",(N87-M87)*24)</f>
        <v/>
      </c>
      <c r="P87" s="86"/>
      <c r="Q87" s="93" t="str">
        <f aca="false">IF(L87="","",INDEX(PARAMETRES!$B$53:$B$65,MONTH(L87)))</f>
        <v/>
      </c>
      <c r="R87" s="93" t="str">
        <f aca="false">IF(L87="","",INDEX(PARAMETRES!$C$53:$C$65,MONTH(L87)))</f>
        <v/>
      </c>
      <c r="S87" s="61" t="str">
        <f aca="false">IF(L87="","",YEAR(L87))</f>
        <v/>
      </c>
      <c r="T87" s="79"/>
      <c r="U87" s="91"/>
      <c r="V87" s="91"/>
      <c r="W87" s="92" t="str">
        <f aca="false">IF(OR(U87="",V87=""),"",(V87-U87)*24)</f>
        <v/>
      </c>
      <c r="X87" s="86"/>
      <c r="Y87" s="83"/>
      <c r="Z87" s="86"/>
      <c r="AA87" s="81" t="str">
        <f aca="false">IF(AND(L87&lt;&gt;"",T87&lt;&gt;""),T87-L87,"")</f>
        <v/>
      </c>
      <c r="AB87" s="61" t="str">
        <f aca="true">IF(L87="","",IF(AND(TODAY()&gt;L87,T87="",NOT(OR(Z87="Realisee",Z87="Annulee"))),"OUI","NON"))</f>
        <v/>
      </c>
      <c r="AC87" s="89"/>
      <c r="AD87" s="89"/>
      <c r="AE87" s="86"/>
      <c r="AF87" s="89"/>
      <c r="AG87" s="89"/>
      <c r="AH87" s="86"/>
      <c r="AI87" s="61" t="str">
        <f aca="false">IFERROR(INDEX(PARAMETRES!$B$536:$B$586,MATCH(AH87,PARAMETRES!$J$536:$J$586,0)),"")</f>
        <v/>
      </c>
      <c r="AJ87" s="61" t="str">
        <f aca="false">IFERROR(INDEX(PARAMETRES!$D$536:$D$586,MATCH(AH87,PARAMETRES!$J$536:$J$586,0)),"")</f>
        <v/>
      </c>
      <c r="AK87" s="61" t="str">
        <f aca="false">IFERROR(INDEX(PARAMETRES!$F$536:$F$586,MATCH(AH87,PARAMETRES!$J$536:$J$586,0)),"")</f>
        <v/>
      </c>
      <c r="AL87" s="61" t="str">
        <f aca="false">IFERROR(INDEX(PARAMETRES!$H$536:$H$586,MATCH(AH87,PARAMETRES!$J$536:$J$586,0)),"")</f>
        <v/>
      </c>
      <c r="AM87" s="89"/>
      <c r="AN87" s="89"/>
      <c r="AO87" s="80"/>
      <c r="AP87" s="80"/>
      <c r="AQ87" s="80"/>
      <c r="AR87" s="80"/>
      <c r="AS87" s="80"/>
      <c r="AT87" s="80"/>
      <c r="AU87" s="80"/>
      <c r="AV87" s="81" t="n">
        <f aca="false">IF(A87="",0,COUNTIFS(tbl_Beneficiaires_Activites[ID activite],A87))</f>
        <v>0</v>
      </c>
      <c r="AW87" s="80"/>
      <c r="AX87" s="80"/>
      <c r="AY87" s="80"/>
      <c r="AZ87" s="86"/>
      <c r="BA87" s="86"/>
      <c r="BB87" s="89"/>
      <c r="BC87" s="80"/>
      <c r="BD87" s="80"/>
      <c r="BE87" s="80"/>
      <c r="BF87" s="81" t="n">
        <f aca="false">IF(BD87="",0,BD87)-IF(BE87="",0,BE87)</f>
        <v>0</v>
      </c>
      <c r="BG87" s="82" t="n">
        <f aca="false">IF(OR(BD87="",BD87=0),0,BE87/BD87)</f>
        <v>0</v>
      </c>
      <c r="BH87" s="86"/>
      <c r="BI87" s="89"/>
      <c r="BJ87" s="80"/>
      <c r="BK87" s="80"/>
      <c r="BL87" s="86"/>
      <c r="BM87" s="89"/>
      <c r="BN87" s="89"/>
      <c r="BO87" s="89"/>
      <c r="BP87" s="89"/>
      <c r="BQ87" s="80"/>
      <c r="BR87" s="86"/>
      <c r="BS87" s="89"/>
      <c r="BT87" s="89"/>
      <c r="BU87" s="89"/>
      <c r="BV87" s="81" t="str">
        <f aca="false">IF(OR(AO87="",AV87=""),"",AV87-AO87)</f>
        <v/>
      </c>
      <c r="BW87" s="81" t="str">
        <f aca="false">IF(OR(BE87="",BD87=""),"",BE87-BD87)</f>
        <v/>
      </c>
      <c r="BX87" s="86"/>
      <c r="BY87" s="86"/>
      <c r="BZ87" s="86"/>
      <c r="CA87" s="86"/>
      <c r="CB87" s="89"/>
      <c r="CC87" s="89"/>
      <c r="CD87" s="83"/>
      <c r="CE87" s="86"/>
      <c r="CF87" s="79"/>
      <c r="CG87" s="89"/>
      <c r="CH87" s="86"/>
      <c r="CI87" s="89"/>
      <c r="CJ87" s="89"/>
      <c r="CK87" s="81" t="n">
        <f aca="false">IF(A87="",0,COUNTIF(tbl_Activites_Documents[ID Activite],A87))</f>
        <v>0</v>
      </c>
      <c r="CL87" s="81" t="n">
        <f aca="false">IF(A87="",0,COUNTIF(tbl_Activites_Risques[ID Activite],A87))</f>
        <v>0</v>
      </c>
      <c r="CM87" s="61" t="str">
        <f aca="false">IF(A87="","",IF(BE87&gt;BD87,"OUI","NON"))</f>
        <v/>
      </c>
      <c r="CN87" s="89"/>
    </row>
    <row r="88" customFormat="false" ht="30" hidden="false" customHeight="true" outlineLevel="0" collapsed="false">
      <c r="A88" s="61" t="str">
        <f aca="false">IF(G88="","","ACT"&amp;TEXT(ROW()-55,"00000"))</f>
        <v/>
      </c>
      <c r="B88" s="89"/>
      <c r="C88" s="86"/>
      <c r="D88" s="90" t="n">
        <f aca="false">IFERROR(INDEX(tbl_Projets[Titre complet du projet],MATCH(C88,tbl_Projets[ID Projet],0)),"")</f>
        <v>0</v>
      </c>
      <c r="E88" s="61" t="n">
        <f aca="false">IFERROR(INDEX(tbl_Projets[Domaine d''intervention],MATCH(C88,tbl_Projets[ID Projet],0)),"")</f>
        <v>0</v>
      </c>
      <c r="F88" s="61" t="n">
        <f aca="false">IFERROR(INDEX(tbl_Projets[Nom du responsable],MATCH(C88,tbl_Projets[ID Projet],0)),"")</f>
        <v>0</v>
      </c>
      <c r="G88" s="89"/>
      <c r="H88" s="89"/>
      <c r="I88" s="89"/>
      <c r="J88" s="86"/>
      <c r="K88" s="86"/>
      <c r="L88" s="79"/>
      <c r="M88" s="91"/>
      <c r="N88" s="91"/>
      <c r="O88" s="92" t="str">
        <f aca="false">IF(OR(M88="",N88=""),"",(N88-M88)*24)</f>
        <v/>
      </c>
      <c r="P88" s="86"/>
      <c r="Q88" s="93" t="str">
        <f aca="false">IF(L88="","",INDEX(PARAMETRES!$B$53:$B$65,MONTH(L88)))</f>
        <v/>
      </c>
      <c r="R88" s="93" t="str">
        <f aca="false">IF(L88="","",INDEX(PARAMETRES!$C$53:$C$65,MONTH(L88)))</f>
        <v/>
      </c>
      <c r="S88" s="61" t="str">
        <f aca="false">IF(L88="","",YEAR(L88))</f>
        <v/>
      </c>
      <c r="T88" s="79"/>
      <c r="U88" s="91"/>
      <c r="V88" s="91"/>
      <c r="W88" s="92" t="str">
        <f aca="false">IF(OR(U88="",V88=""),"",(V88-U88)*24)</f>
        <v/>
      </c>
      <c r="X88" s="86"/>
      <c r="Y88" s="83"/>
      <c r="Z88" s="86"/>
      <c r="AA88" s="81" t="str">
        <f aca="false">IF(AND(L88&lt;&gt;"",T88&lt;&gt;""),T88-L88,"")</f>
        <v/>
      </c>
      <c r="AB88" s="61" t="str">
        <f aca="true">IF(L88="","",IF(AND(TODAY()&gt;L88,T88="",NOT(OR(Z88="Realisee",Z88="Annulee"))),"OUI","NON"))</f>
        <v/>
      </c>
      <c r="AC88" s="89"/>
      <c r="AD88" s="89"/>
      <c r="AE88" s="86"/>
      <c r="AF88" s="89"/>
      <c r="AG88" s="89"/>
      <c r="AH88" s="86"/>
      <c r="AI88" s="61" t="str">
        <f aca="false">IFERROR(INDEX(PARAMETRES!$B$536:$B$586,MATCH(AH88,PARAMETRES!$J$536:$J$586,0)),"")</f>
        <v/>
      </c>
      <c r="AJ88" s="61" t="str">
        <f aca="false">IFERROR(INDEX(PARAMETRES!$D$536:$D$586,MATCH(AH88,PARAMETRES!$J$536:$J$586,0)),"")</f>
        <v/>
      </c>
      <c r="AK88" s="61" t="str">
        <f aca="false">IFERROR(INDEX(PARAMETRES!$F$536:$F$586,MATCH(AH88,PARAMETRES!$J$536:$J$586,0)),"")</f>
        <v/>
      </c>
      <c r="AL88" s="61" t="str">
        <f aca="false">IFERROR(INDEX(PARAMETRES!$H$536:$H$586,MATCH(AH88,PARAMETRES!$J$536:$J$586,0)),"")</f>
        <v/>
      </c>
      <c r="AM88" s="89"/>
      <c r="AN88" s="89"/>
      <c r="AO88" s="80"/>
      <c r="AP88" s="80"/>
      <c r="AQ88" s="80"/>
      <c r="AR88" s="80"/>
      <c r="AS88" s="80"/>
      <c r="AT88" s="80"/>
      <c r="AU88" s="80"/>
      <c r="AV88" s="81" t="n">
        <f aca="false">IF(A88="",0,COUNTIFS(tbl_Beneficiaires_Activites[ID activite],A88))</f>
        <v>0</v>
      </c>
      <c r="AW88" s="80"/>
      <c r="AX88" s="80"/>
      <c r="AY88" s="80"/>
      <c r="AZ88" s="86"/>
      <c r="BA88" s="86"/>
      <c r="BB88" s="89"/>
      <c r="BC88" s="80"/>
      <c r="BD88" s="80"/>
      <c r="BE88" s="80"/>
      <c r="BF88" s="81" t="n">
        <f aca="false">IF(BD88="",0,BD88)-IF(BE88="",0,BE88)</f>
        <v>0</v>
      </c>
      <c r="BG88" s="82" t="n">
        <f aca="false">IF(OR(BD88="",BD88=0),0,BE88/BD88)</f>
        <v>0</v>
      </c>
      <c r="BH88" s="86"/>
      <c r="BI88" s="89"/>
      <c r="BJ88" s="80"/>
      <c r="BK88" s="80"/>
      <c r="BL88" s="86"/>
      <c r="BM88" s="89"/>
      <c r="BN88" s="89"/>
      <c r="BO88" s="89"/>
      <c r="BP88" s="89"/>
      <c r="BQ88" s="80"/>
      <c r="BR88" s="86"/>
      <c r="BS88" s="89"/>
      <c r="BT88" s="89"/>
      <c r="BU88" s="89"/>
      <c r="BV88" s="81" t="str">
        <f aca="false">IF(OR(AO88="",AV88=""),"",AV88-AO88)</f>
        <v/>
      </c>
      <c r="BW88" s="81" t="str">
        <f aca="false">IF(OR(BE88="",BD88=""),"",BE88-BD88)</f>
        <v/>
      </c>
      <c r="BX88" s="86"/>
      <c r="BY88" s="86"/>
      <c r="BZ88" s="86"/>
      <c r="CA88" s="86"/>
      <c r="CB88" s="89"/>
      <c r="CC88" s="89"/>
      <c r="CD88" s="83"/>
      <c r="CE88" s="86"/>
      <c r="CF88" s="79"/>
      <c r="CG88" s="89"/>
      <c r="CH88" s="86"/>
      <c r="CI88" s="89"/>
      <c r="CJ88" s="89"/>
      <c r="CK88" s="81" t="n">
        <f aca="false">IF(A88="",0,COUNTIF(tbl_Activites_Documents[ID Activite],A88))</f>
        <v>0</v>
      </c>
      <c r="CL88" s="81" t="n">
        <f aca="false">IF(A88="",0,COUNTIF(tbl_Activites_Risques[ID Activite],A88))</f>
        <v>0</v>
      </c>
      <c r="CM88" s="61" t="str">
        <f aca="false">IF(A88="","",IF(BE88&gt;BD88,"OUI","NON"))</f>
        <v/>
      </c>
      <c r="CN88" s="89"/>
    </row>
    <row r="89" customFormat="false" ht="30" hidden="false" customHeight="true" outlineLevel="0" collapsed="false">
      <c r="A89" s="61" t="str">
        <f aca="false">IF(G89="","","ACT"&amp;TEXT(ROW()-55,"00000"))</f>
        <v/>
      </c>
      <c r="B89" s="89"/>
      <c r="C89" s="86"/>
      <c r="D89" s="90" t="n">
        <f aca="false">IFERROR(INDEX(tbl_Projets[Titre complet du projet],MATCH(C89,tbl_Projets[ID Projet],0)),"")</f>
        <v>0</v>
      </c>
      <c r="E89" s="61" t="n">
        <f aca="false">IFERROR(INDEX(tbl_Projets[Domaine d''intervention],MATCH(C89,tbl_Projets[ID Projet],0)),"")</f>
        <v>0</v>
      </c>
      <c r="F89" s="61" t="n">
        <f aca="false">IFERROR(INDEX(tbl_Projets[Nom du responsable],MATCH(C89,tbl_Projets[ID Projet],0)),"")</f>
        <v>0</v>
      </c>
      <c r="G89" s="89"/>
      <c r="H89" s="89"/>
      <c r="I89" s="89"/>
      <c r="J89" s="86"/>
      <c r="K89" s="86"/>
      <c r="L89" s="79"/>
      <c r="M89" s="91"/>
      <c r="N89" s="91"/>
      <c r="O89" s="92" t="str">
        <f aca="false">IF(OR(M89="",N89=""),"",(N89-M89)*24)</f>
        <v/>
      </c>
      <c r="P89" s="86"/>
      <c r="Q89" s="93" t="str">
        <f aca="false">IF(L89="","",INDEX(PARAMETRES!$B$53:$B$65,MONTH(L89)))</f>
        <v/>
      </c>
      <c r="R89" s="93" t="str">
        <f aca="false">IF(L89="","",INDEX(PARAMETRES!$C$53:$C$65,MONTH(L89)))</f>
        <v/>
      </c>
      <c r="S89" s="61" t="str">
        <f aca="false">IF(L89="","",YEAR(L89))</f>
        <v/>
      </c>
      <c r="T89" s="79"/>
      <c r="U89" s="91"/>
      <c r="V89" s="91"/>
      <c r="W89" s="92" t="str">
        <f aca="false">IF(OR(U89="",V89=""),"",(V89-U89)*24)</f>
        <v/>
      </c>
      <c r="X89" s="86"/>
      <c r="Y89" s="83"/>
      <c r="Z89" s="86"/>
      <c r="AA89" s="81" t="str">
        <f aca="false">IF(AND(L89&lt;&gt;"",T89&lt;&gt;""),T89-L89,"")</f>
        <v/>
      </c>
      <c r="AB89" s="61" t="str">
        <f aca="true">IF(L89="","",IF(AND(TODAY()&gt;L89,T89="",NOT(OR(Z89="Realisee",Z89="Annulee"))),"OUI","NON"))</f>
        <v/>
      </c>
      <c r="AC89" s="89"/>
      <c r="AD89" s="89"/>
      <c r="AE89" s="86"/>
      <c r="AF89" s="89"/>
      <c r="AG89" s="89"/>
      <c r="AH89" s="86"/>
      <c r="AI89" s="61" t="str">
        <f aca="false">IFERROR(INDEX(PARAMETRES!$B$536:$B$586,MATCH(AH89,PARAMETRES!$J$536:$J$586,0)),"")</f>
        <v/>
      </c>
      <c r="AJ89" s="61" t="str">
        <f aca="false">IFERROR(INDEX(PARAMETRES!$D$536:$D$586,MATCH(AH89,PARAMETRES!$J$536:$J$586,0)),"")</f>
        <v/>
      </c>
      <c r="AK89" s="61" t="str">
        <f aca="false">IFERROR(INDEX(PARAMETRES!$F$536:$F$586,MATCH(AH89,PARAMETRES!$J$536:$J$586,0)),"")</f>
        <v/>
      </c>
      <c r="AL89" s="61" t="str">
        <f aca="false">IFERROR(INDEX(PARAMETRES!$H$536:$H$586,MATCH(AH89,PARAMETRES!$J$536:$J$586,0)),"")</f>
        <v/>
      </c>
      <c r="AM89" s="89"/>
      <c r="AN89" s="89"/>
      <c r="AO89" s="80"/>
      <c r="AP89" s="80"/>
      <c r="AQ89" s="80"/>
      <c r="AR89" s="80"/>
      <c r="AS89" s="80"/>
      <c r="AT89" s="80"/>
      <c r="AU89" s="80"/>
      <c r="AV89" s="81" t="n">
        <f aca="false">IF(A89="",0,COUNTIFS(tbl_Beneficiaires_Activites[ID activite],A89))</f>
        <v>0</v>
      </c>
      <c r="AW89" s="80"/>
      <c r="AX89" s="80"/>
      <c r="AY89" s="80"/>
      <c r="AZ89" s="86"/>
      <c r="BA89" s="86"/>
      <c r="BB89" s="89"/>
      <c r="BC89" s="80"/>
      <c r="BD89" s="80"/>
      <c r="BE89" s="80"/>
      <c r="BF89" s="81" t="n">
        <f aca="false">IF(BD89="",0,BD89)-IF(BE89="",0,BE89)</f>
        <v>0</v>
      </c>
      <c r="BG89" s="82" t="n">
        <f aca="false">IF(OR(BD89="",BD89=0),0,BE89/BD89)</f>
        <v>0</v>
      </c>
      <c r="BH89" s="86"/>
      <c r="BI89" s="89"/>
      <c r="BJ89" s="80"/>
      <c r="BK89" s="80"/>
      <c r="BL89" s="86"/>
      <c r="BM89" s="89"/>
      <c r="BN89" s="89"/>
      <c r="BO89" s="89"/>
      <c r="BP89" s="89"/>
      <c r="BQ89" s="80"/>
      <c r="BR89" s="86"/>
      <c r="BS89" s="89"/>
      <c r="BT89" s="89"/>
      <c r="BU89" s="89"/>
      <c r="BV89" s="81" t="str">
        <f aca="false">IF(OR(AO89="",AV89=""),"",AV89-AO89)</f>
        <v/>
      </c>
      <c r="BW89" s="81" t="str">
        <f aca="false">IF(OR(BE89="",BD89=""),"",BE89-BD89)</f>
        <v/>
      </c>
      <c r="BX89" s="86"/>
      <c r="BY89" s="86"/>
      <c r="BZ89" s="86"/>
      <c r="CA89" s="86"/>
      <c r="CB89" s="89"/>
      <c r="CC89" s="89"/>
      <c r="CD89" s="83"/>
      <c r="CE89" s="86"/>
      <c r="CF89" s="79"/>
      <c r="CG89" s="89"/>
      <c r="CH89" s="86"/>
      <c r="CI89" s="89"/>
      <c r="CJ89" s="89"/>
      <c r="CK89" s="81" t="n">
        <f aca="false">IF(A89="",0,COUNTIF(tbl_Activites_Documents[ID Activite],A89))</f>
        <v>0</v>
      </c>
      <c r="CL89" s="81" t="n">
        <f aca="false">IF(A89="",0,COUNTIF(tbl_Activites_Risques[ID Activite],A89))</f>
        <v>0</v>
      </c>
      <c r="CM89" s="61" t="str">
        <f aca="false">IF(A89="","",IF(BE89&gt;BD89,"OUI","NON"))</f>
        <v/>
      </c>
      <c r="CN89" s="89"/>
    </row>
    <row r="90" customFormat="false" ht="30" hidden="false" customHeight="true" outlineLevel="0" collapsed="false">
      <c r="A90" s="61" t="str">
        <f aca="false">IF(G90="","","ACT"&amp;TEXT(ROW()-55,"00000"))</f>
        <v/>
      </c>
      <c r="B90" s="89"/>
      <c r="C90" s="86"/>
      <c r="D90" s="90" t="n">
        <f aca="false">IFERROR(INDEX(tbl_Projets[Titre complet du projet],MATCH(C90,tbl_Projets[ID Projet],0)),"")</f>
        <v>0</v>
      </c>
      <c r="E90" s="61" t="n">
        <f aca="false">IFERROR(INDEX(tbl_Projets[Domaine d''intervention],MATCH(C90,tbl_Projets[ID Projet],0)),"")</f>
        <v>0</v>
      </c>
      <c r="F90" s="61" t="n">
        <f aca="false">IFERROR(INDEX(tbl_Projets[Nom du responsable],MATCH(C90,tbl_Projets[ID Projet],0)),"")</f>
        <v>0</v>
      </c>
      <c r="G90" s="89"/>
      <c r="H90" s="89"/>
      <c r="I90" s="89"/>
      <c r="J90" s="86"/>
      <c r="K90" s="86"/>
      <c r="L90" s="79"/>
      <c r="M90" s="91"/>
      <c r="N90" s="91"/>
      <c r="O90" s="92" t="str">
        <f aca="false">IF(OR(M90="",N90=""),"",(N90-M90)*24)</f>
        <v/>
      </c>
      <c r="P90" s="86"/>
      <c r="Q90" s="93" t="str">
        <f aca="false">IF(L90="","",INDEX(PARAMETRES!$B$53:$B$65,MONTH(L90)))</f>
        <v/>
      </c>
      <c r="R90" s="93" t="str">
        <f aca="false">IF(L90="","",INDEX(PARAMETRES!$C$53:$C$65,MONTH(L90)))</f>
        <v/>
      </c>
      <c r="S90" s="61" t="str">
        <f aca="false">IF(L90="","",YEAR(L90))</f>
        <v/>
      </c>
      <c r="T90" s="79"/>
      <c r="U90" s="91"/>
      <c r="V90" s="91"/>
      <c r="W90" s="92" t="str">
        <f aca="false">IF(OR(U90="",V90=""),"",(V90-U90)*24)</f>
        <v/>
      </c>
      <c r="X90" s="86"/>
      <c r="Y90" s="83"/>
      <c r="Z90" s="86"/>
      <c r="AA90" s="81" t="str">
        <f aca="false">IF(AND(L90&lt;&gt;"",T90&lt;&gt;""),T90-L90,"")</f>
        <v/>
      </c>
      <c r="AB90" s="61" t="str">
        <f aca="true">IF(L90="","",IF(AND(TODAY()&gt;L90,T90="",NOT(OR(Z90="Realisee",Z90="Annulee"))),"OUI","NON"))</f>
        <v/>
      </c>
      <c r="AC90" s="89"/>
      <c r="AD90" s="89"/>
      <c r="AE90" s="86"/>
      <c r="AF90" s="89"/>
      <c r="AG90" s="89"/>
      <c r="AH90" s="86"/>
      <c r="AI90" s="61" t="str">
        <f aca="false">IFERROR(INDEX(PARAMETRES!$B$536:$B$586,MATCH(AH90,PARAMETRES!$J$536:$J$586,0)),"")</f>
        <v/>
      </c>
      <c r="AJ90" s="61" t="str">
        <f aca="false">IFERROR(INDEX(PARAMETRES!$D$536:$D$586,MATCH(AH90,PARAMETRES!$J$536:$J$586,0)),"")</f>
        <v/>
      </c>
      <c r="AK90" s="61" t="str">
        <f aca="false">IFERROR(INDEX(PARAMETRES!$F$536:$F$586,MATCH(AH90,PARAMETRES!$J$536:$J$586,0)),"")</f>
        <v/>
      </c>
      <c r="AL90" s="61" t="str">
        <f aca="false">IFERROR(INDEX(PARAMETRES!$H$536:$H$586,MATCH(AH90,PARAMETRES!$J$536:$J$586,0)),"")</f>
        <v/>
      </c>
      <c r="AM90" s="89"/>
      <c r="AN90" s="89"/>
      <c r="AO90" s="80"/>
      <c r="AP90" s="80"/>
      <c r="AQ90" s="80"/>
      <c r="AR90" s="80"/>
      <c r="AS90" s="80"/>
      <c r="AT90" s="80"/>
      <c r="AU90" s="80"/>
      <c r="AV90" s="81" t="n">
        <f aca="false">IF(A90="",0,COUNTIFS(tbl_Beneficiaires_Activites[ID activite],A90))</f>
        <v>0</v>
      </c>
      <c r="AW90" s="80"/>
      <c r="AX90" s="80"/>
      <c r="AY90" s="80"/>
      <c r="AZ90" s="86"/>
      <c r="BA90" s="86"/>
      <c r="BB90" s="89"/>
      <c r="BC90" s="80"/>
      <c r="BD90" s="80"/>
      <c r="BE90" s="80"/>
      <c r="BF90" s="81" t="n">
        <f aca="false">IF(BD90="",0,BD90)-IF(BE90="",0,BE90)</f>
        <v>0</v>
      </c>
      <c r="BG90" s="82" t="n">
        <f aca="false">IF(OR(BD90="",BD90=0),0,BE90/BD90)</f>
        <v>0</v>
      </c>
      <c r="BH90" s="86"/>
      <c r="BI90" s="89"/>
      <c r="BJ90" s="80"/>
      <c r="BK90" s="80"/>
      <c r="BL90" s="86"/>
      <c r="BM90" s="89"/>
      <c r="BN90" s="89"/>
      <c r="BO90" s="89"/>
      <c r="BP90" s="89"/>
      <c r="BQ90" s="80"/>
      <c r="BR90" s="86"/>
      <c r="BS90" s="89"/>
      <c r="BT90" s="89"/>
      <c r="BU90" s="89"/>
      <c r="BV90" s="81" t="str">
        <f aca="false">IF(OR(AO90="",AV90=""),"",AV90-AO90)</f>
        <v/>
      </c>
      <c r="BW90" s="81" t="str">
        <f aca="false">IF(OR(BE90="",BD90=""),"",BE90-BD90)</f>
        <v/>
      </c>
      <c r="BX90" s="86"/>
      <c r="BY90" s="86"/>
      <c r="BZ90" s="86"/>
      <c r="CA90" s="86"/>
      <c r="CB90" s="89"/>
      <c r="CC90" s="89"/>
      <c r="CD90" s="83"/>
      <c r="CE90" s="86"/>
      <c r="CF90" s="79"/>
      <c r="CG90" s="89"/>
      <c r="CH90" s="86"/>
      <c r="CI90" s="89"/>
      <c r="CJ90" s="89"/>
      <c r="CK90" s="81" t="n">
        <f aca="false">IF(A90="",0,COUNTIF(tbl_Activites_Documents[ID Activite],A90))</f>
        <v>0</v>
      </c>
      <c r="CL90" s="81" t="n">
        <f aca="false">IF(A90="",0,COUNTIF(tbl_Activites_Risques[ID Activite],A90))</f>
        <v>0</v>
      </c>
      <c r="CM90" s="61" t="str">
        <f aca="false">IF(A90="","",IF(BE90&gt;BD90,"OUI","NON"))</f>
        <v/>
      </c>
      <c r="CN90" s="89"/>
    </row>
    <row r="91" customFormat="false" ht="30" hidden="false" customHeight="true" outlineLevel="0" collapsed="false">
      <c r="A91" s="61" t="str">
        <f aca="false">IF(G91="","","ACT"&amp;TEXT(ROW()-55,"00000"))</f>
        <v/>
      </c>
      <c r="B91" s="89"/>
      <c r="C91" s="86"/>
      <c r="D91" s="90" t="n">
        <f aca="false">IFERROR(INDEX(tbl_Projets[Titre complet du projet],MATCH(C91,tbl_Projets[ID Projet],0)),"")</f>
        <v>0</v>
      </c>
      <c r="E91" s="61" t="n">
        <f aca="false">IFERROR(INDEX(tbl_Projets[Domaine d''intervention],MATCH(C91,tbl_Projets[ID Projet],0)),"")</f>
        <v>0</v>
      </c>
      <c r="F91" s="61" t="n">
        <f aca="false">IFERROR(INDEX(tbl_Projets[Nom du responsable],MATCH(C91,tbl_Projets[ID Projet],0)),"")</f>
        <v>0</v>
      </c>
      <c r="G91" s="89"/>
      <c r="H91" s="89"/>
      <c r="I91" s="89"/>
      <c r="J91" s="86"/>
      <c r="K91" s="86"/>
      <c r="L91" s="79"/>
      <c r="M91" s="91"/>
      <c r="N91" s="91"/>
      <c r="O91" s="92" t="str">
        <f aca="false">IF(OR(M91="",N91=""),"",(N91-M91)*24)</f>
        <v/>
      </c>
      <c r="P91" s="86"/>
      <c r="Q91" s="93" t="str">
        <f aca="false">IF(L91="","",INDEX(PARAMETRES!$B$53:$B$65,MONTH(L91)))</f>
        <v/>
      </c>
      <c r="R91" s="93" t="str">
        <f aca="false">IF(L91="","",INDEX(PARAMETRES!$C$53:$C$65,MONTH(L91)))</f>
        <v/>
      </c>
      <c r="S91" s="61" t="str">
        <f aca="false">IF(L91="","",YEAR(L91))</f>
        <v/>
      </c>
      <c r="T91" s="79"/>
      <c r="U91" s="91"/>
      <c r="V91" s="91"/>
      <c r="W91" s="92" t="str">
        <f aca="false">IF(OR(U91="",V91=""),"",(V91-U91)*24)</f>
        <v/>
      </c>
      <c r="X91" s="86"/>
      <c r="Y91" s="83"/>
      <c r="Z91" s="86"/>
      <c r="AA91" s="81" t="str">
        <f aca="false">IF(AND(L91&lt;&gt;"",T91&lt;&gt;""),T91-L91,"")</f>
        <v/>
      </c>
      <c r="AB91" s="61" t="str">
        <f aca="true">IF(L91="","",IF(AND(TODAY()&gt;L91,T91="",NOT(OR(Z91="Realisee",Z91="Annulee"))),"OUI","NON"))</f>
        <v/>
      </c>
      <c r="AC91" s="89"/>
      <c r="AD91" s="89"/>
      <c r="AE91" s="86"/>
      <c r="AF91" s="89"/>
      <c r="AG91" s="89"/>
      <c r="AH91" s="86"/>
      <c r="AI91" s="61" t="str">
        <f aca="false">IFERROR(INDEX(PARAMETRES!$B$536:$B$586,MATCH(AH91,PARAMETRES!$J$536:$J$586,0)),"")</f>
        <v/>
      </c>
      <c r="AJ91" s="61" t="str">
        <f aca="false">IFERROR(INDEX(PARAMETRES!$D$536:$D$586,MATCH(AH91,PARAMETRES!$J$536:$J$586,0)),"")</f>
        <v/>
      </c>
      <c r="AK91" s="61" t="str">
        <f aca="false">IFERROR(INDEX(PARAMETRES!$F$536:$F$586,MATCH(AH91,PARAMETRES!$J$536:$J$586,0)),"")</f>
        <v/>
      </c>
      <c r="AL91" s="61" t="str">
        <f aca="false">IFERROR(INDEX(PARAMETRES!$H$536:$H$586,MATCH(AH91,PARAMETRES!$J$536:$J$586,0)),"")</f>
        <v/>
      </c>
      <c r="AM91" s="89"/>
      <c r="AN91" s="89"/>
      <c r="AO91" s="80"/>
      <c r="AP91" s="80"/>
      <c r="AQ91" s="80"/>
      <c r="AR91" s="80"/>
      <c r="AS91" s="80"/>
      <c r="AT91" s="80"/>
      <c r="AU91" s="80"/>
      <c r="AV91" s="81" t="n">
        <f aca="false">IF(A91="",0,COUNTIFS(tbl_Beneficiaires_Activites[ID activite],A91))</f>
        <v>0</v>
      </c>
      <c r="AW91" s="80"/>
      <c r="AX91" s="80"/>
      <c r="AY91" s="80"/>
      <c r="AZ91" s="86"/>
      <c r="BA91" s="86"/>
      <c r="BB91" s="89"/>
      <c r="BC91" s="80"/>
      <c r="BD91" s="80"/>
      <c r="BE91" s="80"/>
      <c r="BF91" s="81" t="n">
        <f aca="false">IF(BD91="",0,BD91)-IF(BE91="",0,BE91)</f>
        <v>0</v>
      </c>
      <c r="BG91" s="82" t="n">
        <f aca="false">IF(OR(BD91="",BD91=0),0,BE91/BD91)</f>
        <v>0</v>
      </c>
      <c r="BH91" s="86"/>
      <c r="BI91" s="89"/>
      <c r="BJ91" s="80"/>
      <c r="BK91" s="80"/>
      <c r="BL91" s="86"/>
      <c r="BM91" s="89"/>
      <c r="BN91" s="89"/>
      <c r="BO91" s="89"/>
      <c r="BP91" s="89"/>
      <c r="BQ91" s="80"/>
      <c r="BR91" s="86"/>
      <c r="BS91" s="89"/>
      <c r="BT91" s="89"/>
      <c r="BU91" s="89"/>
      <c r="BV91" s="81" t="str">
        <f aca="false">IF(OR(AO91="",AV91=""),"",AV91-AO91)</f>
        <v/>
      </c>
      <c r="BW91" s="81" t="str">
        <f aca="false">IF(OR(BE91="",BD91=""),"",BE91-BD91)</f>
        <v/>
      </c>
      <c r="BX91" s="86"/>
      <c r="BY91" s="86"/>
      <c r="BZ91" s="86"/>
      <c r="CA91" s="86"/>
      <c r="CB91" s="89"/>
      <c r="CC91" s="89"/>
      <c r="CD91" s="83"/>
      <c r="CE91" s="86"/>
      <c r="CF91" s="79"/>
      <c r="CG91" s="89"/>
      <c r="CH91" s="86"/>
      <c r="CI91" s="89"/>
      <c r="CJ91" s="89"/>
      <c r="CK91" s="81" t="n">
        <f aca="false">IF(A91="",0,COUNTIF(tbl_Activites_Documents[ID Activite],A91))</f>
        <v>0</v>
      </c>
      <c r="CL91" s="81" t="n">
        <f aca="false">IF(A91="",0,COUNTIF(tbl_Activites_Risques[ID Activite],A91))</f>
        <v>0</v>
      </c>
      <c r="CM91" s="61" t="str">
        <f aca="false">IF(A91="","",IF(BE91&gt;BD91,"OUI","NON"))</f>
        <v/>
      </c>
      <c r="CN91" s="89"/>
    </row>
    <row r="92" customFormat="false" ht="30" hidden="false" customHeight="true" outlineLevel="0" collapsed="false">
      <c r="A92" s="61" t="str">
        <f aca="false">IF(G92="","","ACT"&amp;TEXT(ROW()-55,"00000"))</f>
        <v/>
      </c>
      <c r="B92" s="89"/>
      <c r="C92" s="86"/>
      <c r="D92" s="90" t="n">
        <f aca="false">IFERROR(INDEX(tbl_Projets[Titre complet du projet],MATCH(C92,tbl_Projets[ID Projet],0)),"")</f>
        <v>0</v>
      </c>
      <c r="E92" s="61" t="n">
        <f aca="false">IFERROR(INDEX(tbl_Projets[Domaine d''intervention],MATCH(C92,tbl_Projets[ID Projet],0)),"")</f>
        <v>0</v>
      </c>
      <c r="F92" s="61" t="n">
        <f aca="false">IFERROR(INDEX(tbl_Projets[Nom du responsable],MATCH(C92,tbl_Projets[ID Projet],0)),"")</f>
        <v>0</v>
      </c>
      <c r="G92" s="89"/>
      <c r="H92" s="89"/>
      <c r="I92" s="89"/>
      <c r="J92" s="86"/>
      <c r="K92" s="86"/>
      <c r="L92" s="79"/>
      <c r="M92" s="91"/>
      <c r="N92" s="91"/>
      <c r="O92" s="92" t="str">
        <f aca="false">IF(OR(M92="",N92=""),"",(N92-M92)*24)</f>
        <v/>
      </c>
      <c r="P92" s="86"/>
      <c r="Q92" s="93" t="str">
        <f aca="false">IF(L92="","",INDEX(PARAMETRES!$B$53:$B$65,MONTH(L92)))</f>
        <v/>
      </c>
      <c r="R92" s="93" t="str">
        <f aca="false">IF(L92="","",INDEX(PARAMETRES!$C$53:$C$65,MONTH(L92)))</f>
        <v/>
      </c>
      <c r="S92" s="61" t="str">
        <f aca="false">IF(L92="","",YEAR(L92))</f>
        <v/>
      </c>
      <c r="T92" s="79"/>
      <c r="U92" s="91"/>
      <c r="V92" s="91"/>
      <c r="W92" s="92" t="str">
        <f aca="false">IF(OR(U92="",V92=""),"",(V92-U92)*24)</f>
        <v/>
      </c>
      <c r="X92" s="86"/>
      <c r="Y92" s="83"/>
      <c r="Z92" s="86"/>
      <c r="AA92" s="81" t="str">
        <f aca="false">IF(AND(L92&lt;&gt;"",T92&lt;&gt;""),T92-L92,"")</f>
        <v/>
      </c>
      <c r="AB92" s="61" t="str">
        <f aca="true">IF(L92="","",IF(AND(TODAY()&gt;L92,T92="",NOT(OR(Z92="Realisee",Z92="Annulee"))),"OUI","NON"))</f>
        <v/>
      </c>
      <c r="AC92" s="89"/>
      <c r="AD92" s="89"/>
      <c r="AE92" s="86"/>
      <c r="AF92" s="89"/>
      <c r="AG92" s="89"/>
      <c r="AH92" s="86"/>
      <c r="AI92" s="61" t="str">
        <f aca="false">IFERROR(INDEX(PARAMETRES!$B$536:$B$586,MATCH(AH92,PARAMETRES!$J$536:$J$586,0)),"")</f>
        <v/>
      </c>
      <c r="AJ92" s="61" t="str">
        <f aca="false">IFERROR(INDEX(PARAMETRES!$D$536:$D$586,MATCH(AH92,PARAMETRES!$J$536:$J$586,0)),"")</f>
        <v/>
      </c>
      <c r="AK92" s="61" t="str">
        <f aca="false">IFERROR(INDEX(PARAMETRES!$F$536:$F$586,MATCH(AH92,PARAMETRES!$J$536:$J$586,0)),"")</f>
        <v/>
      </c>
      <c r="AL92" s="61" t="str">
        <f aca="false">IFERROR(INDEX(PARAMETRES!$H$536:$H$586,MATCH(AH92,PARAMETRES!$J$536:$J$586,0)),"")</f>
        <v/>
      </c>
      <c r="AM92" s="89"/>
      <c r="AN92" s="89"/>
      <c r="AO92" s="80"/>
      <c r="AP92" s="80"/>
      <c r="AQ92" s="80"/>
      <c r="AR92" s="80"/>
      <c r="AS92" s="80"/>
      <c r="AT92" s="80"/>
      <c r="AU92" s="80"/>
      <c r="AV92" s="81" t="n">
        <f aca="false">IF(A92="",0,COUNTIFS(tbl_Beneficiaires_Activites[ID activite],A92))</f>
        <v>0</v>
      </c>
      <c r="AW92" s="80"/>
      <c r="AX92" s="80"/>
      <c r="AY92" s="80"/>
      <c r="AZ92" s="86"/>
      <c r="BA92" s="86"/>
      <c r="BB92" s="89"/>
      <c r="BC92" s="80"/>
      <c r="BD92" s="80"/>
      <c r="BE92" s="80"/>
      <c r="BF92" s="81" t="n">
        <f aca="false">IF(BD92="",0,BD92)-IF(BE92="",0,BE92)</f>
        <v>0</v>
      </c>
      <c r="BG92" s="82" t="n">
        <f aca="false">IF(OR(BD92="",BD92=0),0,BE92/BD92)</f>
        <v>0</v>
      </c>
      <c r="BH92" s="86"/>
      <c r="BI92" s="89"/>
      <c r="BJ92" s="80"/>
      <c r="BK92" s="80"/>
      <c r="BL92" s="86"/>
      <c r="BM92" s="89"/>
      <c r="BN92" s="89"/>
      <c r="BO92" s="89"/>
      <c r="BP92" s="89"/>
      <c r="BQ92" s="80"/>
      <c r="BR92" s="86"/>
      <c r="BS92" s="89"/>
      <c r="BT92" s="89"/>
      <c r="BU92" s="89"/>
      <c r="BV92" s="81" t="str">
        <f aca="false">IF(OR(AO92="",AV92=""),"",AV92-AO92)</f>
        <v/>
      </c>
      <c r="BW92" s="81" t="str">
        <f aca="false">IF(OR(BE92="",BD92=""),"",BE92-BD92)</f>
        <v/>
      </c>
      <c r="BX92" s="86"/>
      <c r="BY92" s="86"/>
      <c r="BZ92" s="86"/>
      <c r="CA92" s="86"/>
      <c r="CB92" s="89"/>
      <c r="CC92" s="89"/>
      <c r="CD92" s="83"/>
      <c r="CE92" s="86"/>
      <c r="CF92" s="79"/>
      <c r="CG92" s="89"/>
      <c r="CH92" s="86"/>
      <c r="CI92" s="89"/>
      <c r="CJ92" s="89"/>
      <c r="CK92" s="81" t="n">
        <f aca="false">IF(A92="",0,COUNTIF(tbl_Activites_Documents[ID Activite],A92))</f>
        <v>0</v>
      </c>
      <c r="CL92" s="81" t="n">
        <f aca="false">IF(A92="",0,COUNTIF(tbl_Activites_Risques[ID Activite],A92))</f>
        <v>0</v>
      </c>
      <c r="CM92" s="61" t="str">
        <f aca="false">IF(A92="","",IF(BE92&gt;BD92,"OUI","NON"))</f>
        <v/>
      </c>
      <c r="CN92" s="89"/>
    </row>
    <row r="93" customFormat="false" ht="30" hidden="false" customHeight="true" outlineLevel="0" collapsed="false">
      <c r="A93" s="61" t="str">
        <f aca="false">IF(G93="","","ACT"&amp;TEXT(ROW()-55,"00000"))</f>
        <v/>
      </c>
      <c r="B93" s="89"/>
      <c r="C93" s="86"/>
      <c r="D93" s="90" t="n">
        <f aca="false">IFERROR(INDEX(tbl_Projets[Titre complet du projet],MATCH(C93,tbl_Projets[ID Projet],0)),"")</f>
        <v>0</v>
      </c>
      <c r="E93" s="61" t="n">
        <f aca="false">IFERROR(INDEX(tbl_Projets[Domaine d''intervention],MATCH(C93,tbl_Projets[ID Projet],0)),"")</f>
        <v>0</v>
      </c>
      <c r="F93" s="61" t="n">
        <f aca="false">IFERROR(INDEX(tbl_Projets[Nom du responsable],MATCH(C93,tbl_Projets[ID Projet],0)),"")</f>
        <v>0</v>
      </c>
      <c r="G93" s="89"/>
      <c r="H93" s="89"/>
      <c r="I93" s="89"/>
      <c r="J93" s="86"/>
      <c r="K93" s="86"/>
      <c r="L93" s="79"/>
      <c r="M93" s="91"/>
      <c r="N93" s="91"/>
      <c r="O93" s="92" t="str">
        <f aca="false">IF(OR(M93="",N93=""),"",(N93-M93)*24)</f>
        <v/>
      </c>
      <c r="P93" s="86"/>
      <c r="Q93" s="93" t="str">
        <f aca="false">IF(L93="","",INDEX(PARAMETRES!$B$53:$B$65,MONTH(L93)))</f>
        <v/>
      </c>
      <c r="R93" s="93" t="str">
        <f aca="false">IF(L93="","",INDEX(PARAMETRES!$C$53:$C$65,MONTH(L93)))</f>
        <v/>
      </c>
      <c r="S93" s="61" t="str">
        <f aca="false">IF(L93="","",YEAR(L93))</f>
        <v/>
      </c>
      <c r="T93" s="79"/>
      <c r="U93" s="91"/>
      <c r="V93" s="91"/>
      <c r="W93" s="92" t="str">
        <f aca="false">IF(OR(U93="",V93=""),"",(V93-U93)*24)</f>
        <v/>
      </c>
      <c r="X93" s="86"/>
      <c r="Y93" s="83"/>
      <c r="Z93" s="86"/>
      <c r="AA93" s="81" t="str">
        <f aca="false">IF(AND(L93&lt;&gt;"",T93&lt;&gt;""),T93-L93,"")</f>
        <v/>
      </c>
      <c r="AB93" s="61" t="str">
        <f aca="true">IF(L93="","",IF(AND(TODAY()&gt;L93,T93="",NOT(OR(Z93="Realisee",Z93="Annulee"))),"OUI","NON"))</f>
        <v/>
      </c>
      <c r="AC93" s="89"/>
      <c r="AD93" s="89"/>
      <c r="AE93" s="86"/>
      <c r="AF93" s="89"/>
      <c r="AG93" s="89"/>
      <c r="AH93" s="86"/>
      <c r="AI93" s="61" t="str">
        <f aca="false">IFERROR(INDEX(PARAMETRES!$B$536:$B$586,MATCH(AH93,PARAMETRES!$J$536:$J$586,0)),"")</f>
        <v/>
      </c>
      <c r="AJ93" s="61" t="str">
        <f aca="false">IFERROR(INDEX(PARAMETRES!$D$536:$D$586,MATCH(AH93,PARAMETRES!$J$536:$J$586,0)),"")</f>
        <v/>
      </c>
      <c r="AK93" s="61" t="str">
        <f aca="false">IFERROR(INDEX(PARAMETRES!$F$536:$F$586,MATCH(AH93,PARAMETRES!$J$536:$J$586,0)),"")</f>
        <v/>
      </c>
      <c r="AL93" s="61" t="str">
        <f aca="false">IFERROR(INDEX(PARAMETRES!$H$536:$H$586,MATCH(AH93,PARAMETRES!$J$536:$J$586,0)),"")</f>
        <v/>
      </c>
      <c r="AM93" s="89"/>
      <c r="AN93" s="89"/>
      <c r="AO93" s="80"/>
      <c r="AP93" s="80"/>
      <c r="AQ93" s="80"/>
      <c r="AR93" s="80"/>
      <c r="AS93" s="80"/>
      <c r="AT93" s="80"/>
      <c r="AU93" s="80"/>
      <c r="AV93" s="81" t="n">
        <f aca="false">IF(A93="",0,COUNTIFS(tbl_Beneficiaires_Activites[ID activite],A93))</f>
        <v>0</v>
      </c>
      <c r="AW93" s="80"/>
      <c r="AX93" s="80"/>
      <c r="AY93" s="80"/>
      <c r="AZ93" s="86"/>
      <c r="BA93" s="86"/>
      <c r="BB93" s="89"/>
      <c r="BC93" s="80"/>
      <c r="BD93" s="80"/>
      <c r="BE93" s="80"/>
      <c r="BF93" s="81" t="n">
        <f aca="false">IF(BD93="",0,BD93)-IF(BE93="",0,BE93)</f>
        <v>0</v>
      </c>
      <c r="BG93" s="82" t="n">
        <f aca="false">IF(OR(BD93="",BD93=0),0,BE93/BD93)</f>
        <v>0</v>
      </c>
      <c r="BH93" s="86"/>
      <c r="BI93" s="89"/>
      <c r="BJ93" s="80"/>
      <c r="BK93" s="80"/>
      <c r="BL93" s="86"/>
      <c r="BM93" s="89"/>
      <c r="BN93" s="89"/>
      <c r="BO93" s="89"/>
      <c r="BP93" s="89"/>
      <c r="BQ93" s="80"/>
      <c r="BR93" s="86"/>
      <c r="BS93" s="89"/>
      <c r="BT93" s="89"/>
      <c r="BU93" s="89"/>
      <c r="BV93" s="81" t="str">
        <f aca="false">IF(OR(AO93="",AV93=""),"",AV93-AO93)</f>
        <v/>
      </c>
      <c r="BW93" s="81" t="str">
        <f aca="false">IF(OR(BE93="",BD93=""),"",BE93-BD93)</f>
        <v/>
      </c>
      <c r="BX93" s="86"/>
      <c r="BY93" s="86"/>
      <c r="BZ93" s="86"/>
      <c r="CA93" s="86"/>
      <c r="CB93" s="89"/>
      <c r="CC93" s="89"/>
      <c r="CD93" s="83"/>
      <c r="CE93" s="86"/>
      <c r="CF93" s="79"/>
      <c r="CG93" s="89"/>
      <c r="CH93" s="86"/>
      <c r="CI93" s="89"/>
      <c r="CJ93" s="89"/>
      <c r="CK93" s="81" t="n">
        <f aca="false">IF(A93="",0,COUNTIF(tbl_Activites_Documents[ID Activite],A93))</f>
        <v>0</v>
      </c>
      <c r="CL93" s="81" t="n">
        <f aca="false">IF(A93="",0,COUNTIF(tbl_Activites_Risques[ID Activite],A93))</f>
        <v>0</v>
      </c>
      <c r="CM93" s="61" t="str">
        <f aca="false">IF(A93="","",IF(BE93&gt;BD93,"OUI","NON"))</f>
        <v/>
      </c>
      <c r="CN93" s="89"/>
    </row>
    <row r="94" customFormat="false" ht="30" hidden="false" customHeight="true" outlineLevel="0" collapsed="false">
      <c r="A94" s="61" t="str">
        <f aca="false">IF(G94="","","ACT"&amp;TEXT(ROW()-55,"00000"))</f>
        <v/>
      </c>
      <c r="B94" s="89"/>
      <c r="C94" s="86"/>
      <c r="D94" s="90" t="n">
        <f aca="false">IFERROR(INDEX(tbl_Projets[Titre complet du projet],MATCH(C94,tbl_Projets[ID Projet],0)),"")</f>
        <v>0</v>
      </c>
      <c r="E94" s="61" t="n">
        <f aca="false">IFERROR(INDEX(tbl_Projets[Domaine d''intervention],MATCH(C94,tbl_Projets[ID Projet],0)),"")</f>
        <v>0</v>
      </c>
      <c r="F94" s="61" t="n">
        <f aca="false">IFERROR(INDEX(tbl_Projets[Nom du responsable],MATCH(C94,tbl_Projets[ID Projet],0)),"")</f>
        <v>0</v>
      </c>
      <c r="G94" s="89"/>
      <c r="H94" s="89"/>
      <c r="I94" s="89"/>
      <c r="J94" s="86"/>
      <c r="K94" s="86"/>
      <c r="L94" s="79"/>
      <c r="M94" s="91"/>
      <c r="N94" s="91"/>
      <c r="O94" s="92" t="str">
        <f aca="false">IF(OR(M94="",N94=""),"",(N94-M94)*24)</f>
        <v/>
      </c>
      <c r="P94" s="86"/>
      <c r="Q94" s="93" t="str">
        <f aca="false">IF(L94="","",INDEX(PARAMETRES!$B$53:$B$65,MONTH(L94)))</f>
        <v/>
      </c>
      <c r="R94" s="93" t="str">
        <f aca="false">IF(L94="","",INDEX(PARAMETRES!$C$53:$C$65,MONTH(L94)))</f>
        <v/>
      </c>
      <c r="S94" s="61" t="str">
        <f aca="false">IF(L94="","",YEAR(L94))</f>
        <v/>
      </c>
      <c r="T94" s="79"/>
      <c r="U94" s="91"/>
      <c r="V94" s="91"/>
      <c r="W94" s="92" t="str">
        <f aca="false">IF(OR(U94="",V94=""),"",(V94-U94)*24)</f>
        <v/>
      </c>
      <c r="X94" s="86"/>
      <c r="Y94" s="83"/>
      <c r="Z94" s="86"/>
      <c r="AA94" s="81" t="str">
        <f aca="false">IF(AND(L94&lt;&gt;"",T94&lt;&gt;""),T94-L94,"")</f>
        <v/>
      </c>
      <c r="AB94" s="61" t="str">
        <f aca="true">IF(L94="","",IF(AND(TODAY()&gt;L94,T94="",NOT(OR(Z94="Realisee",Z94="Annulee"))),"OUI","NON"))</f>
        <v/>
      </c>
      <c r="AC94" s="89"/>
      <c r="AD94" s="89"/>
      <c r="AE94" s="86"/>
      <c r="AF94" s="89"/>
      <c r="AG94" s="89"/>
      <c r="AH94" s="86"/>
      <c r="AI94" s="61" t="str">
        <f aca="false">IFERROR(INDEX(PARAMETRES!$B$536:$B$586,MATCH(AH94,PARAMETRES!$J$536:$J$586,0)),"")</f>
        <v/>
      </c>
      <c r="AJ94" s="61" t="str">
        <f aca="false">IFERROR(INDEX(PARAMETRES!$D$536:$D$586,MATCH(AH94,PARAMETRES!$J$536:$J$586,0)),"")</f>
        <v/>
      </c>
      <c r="AK94" s="61" t="str">
        <f aca="false">IFERROR(INDEX(PARAMETRES!$F$536:$F$586,MATCH(AH94,PARAMETRES!$J$536:$J$586,0)),"")</f>
        <v/>
      </c>
      <c r="AL94" s="61" t="str">
        <f aca="false">IFERROR(INDEX(PARAMETRES!$H$536:$H$586,MATCH(AH94,PARAMETRES!$J$536:$J$586,0)),"")</f>
        <v/>
      </c>
      <c r="AM94" s="89"/>
      <c r="AN94" s="89"/>
      <c r="AO94" s="80"/>
      <c r="AP94" s="80"/>
      <c r="AQ94" s="80"/>
      <c r="AR94" s="80"/>
      <c r="AS94" s="80"/>
      <c r="AT94" s="80"/>
      <c r="AU94" s="80"/>
      <c r="AV94" s="81" t="n">
        <f aca="false">IF(A94="",0,COUNTIFS(tbl_Beneficiaires_Activites[ID activite],A94))</f>
        <v>0</v>
      </c>
      <c r="AW94" s="80"/>
      <c r="AX94" s="80"/>
      <c r="AY94" s="80"/>
      <c r="AZ94" s="86"/>
      <c r="BA94" s="86"/>
      <c r="BB94" s="89"/>
      <c r="BC94" s="80"/>
      <c r="BD94" s="80"/>
      <c r="BE94" s="80"/>
      <c r="BF94" s="81" t="n">
        <f aca="false">IF(BD94="",0,BD94)-IF(BE94="",0,BE94)</f>
        <v>0</v>
      </c>
      <c r="BG94" s="82" t="n">
        <f aca="false">IF(OR(BD94="",BD94=0),0,BE94/BD94)</f>
        <v>0</v>
      </c>
      <c r="BH94" s="86"/>
      <c r="BI94" s="89"/>
      <c r="BJ94" s="80"/>
      <c r="BK94" s="80"/>
      <c r="BL94" s="86"/>
      <c r="BM94" s="89"/>
      <c r="BN94" s="89"/>
      <c r="BO94" s="89"/>
      <c r="BP94" s="89"/>
      <c r="BQ94" s="80"/>
      <c r="BR94" s="86"/>
      <c r="BS94" s="89"/>
      <c r="BT94" s="89"/>
      <c r="BU94" s="89"/>
      <c r="BV94" s="81" t="str">
        <f aca="false">IF(OR(AO94="",AV94=""),"",AV94-AO94)</f>
        <v/>
      </c>
      <c r="BW94" s="81" t="str">
        <f aca="false">IF(OR(BE94="",BD94=""),"",BE94-BD94)</f>
        <v/>
      </c>
      <c r="BX94" s="86"/>
      <c r="BY94" s="86"/>
      <c r="BZ94" s="86"/>
      <c r="CA94" s="86"/>
      <c r="CB94" s="89"/>
      <c r="CC94" s="89"/>
      <c r="CD94" s="83"/>
      <c r="CE94" s="86"/>
      <c r="CF94" s="79"/>
      <c r="CG94" s="89"/>
      <c r="CH94" s="86"/>
      <c r="CI94" s="89"/>
      <c r="CJ94" s="89"/>
      <c r="CK94" s="81" t="n">
        <f aca="false">IF(A94="",0,COUNTIF(tbl_Activites_Documents[ID Activite],A94))</f>
        <v>0</v>
      </c>
      <c r="CL94" s="81" t="n">
        <f aca="false">IF(A94="",0,COUNTIF(tbl_Activites_Risques[ID Activite],A94))</f>
        <v>0</v>
      </c>
      <c r="CM94" s="61" t="str">
        <f aca="false">IF(A94="","",IF(BE94&gt;BD94,"OUI","NON"))</f>
        <v/>
      </c>
      <c r="CN94" s="89"/>
    </row>
    <row r="95" customFormat="false" ht="30" hidden="false" customHeight="true" outlineLevel="0" collapsed="false">
      <c r="A95" s="61" t="str">
        <f aca="false">IF(G95="","","ACT"&amp;TEXT(ROW()-55,"00000"))</f>
        <v/>
      </c>
      <c r="B95" s="89"/>
      <c r="C95" s="86"/>
      <c r="D95" s="90" t="n">
        <f aca="false">IFERROR(INDEX(tbl_Projets[Titre complet du projet],MATCH(C95,tbl_Projets[ID Projet],0)),"")</f>
        <v>0</v>
      </c>
      <c r="E95" s="61" t="n">
        <f aca="false">IFERROR(INDEX(tbl_Projets[Domaine d''intervention],MATCH(C95,tbl_Projets[ID Projet],0)),"")</f>
        <v>0</v>
      </c>
      <c r="F95" s="61" t="n">
        <f aca="false">IFERROR(INDEX(tbl_Projets[Nom du responsable],MATCH(C95,tbl_Projets[ID Projet],0)),"")</f>
        <v>0</v>
      </c>
      <c r="G95" s="89"/>
      <c r="H95" s="89"/>
      <c r="I95" s="89"/>
      <c r="J95" s="86"/>
      <c r="K95" s="86"/>
      <c r="L95" s="79"/>
      <c r="M95" s="91"/>
      <c r="N95" s="91"/>
      <c r="O95" s="92" t="str">
        <f aca="false">IF(OR(M95="",N95=""),"",(N95-M95)*24)</f>
        <v/>
      </c>
      <c r="P95" s="86"/>
      <c r="Q95" s="93" t="str">
        <f aca="false">IF(L95="","",INDEX(PARAMETRES!$B$53:$B$65,MONTH(L95)))</f>
        <v/>
      </c>
      <c r="R95" s="93" t="str">
        <f aca="false">IF(L95="","",INDEX(PARAMETRES!$C$53:$C$65,MONTH(L95)))</f>
        <v/>
      </c>
      <c r="S95" s="61" t="str">
        <f aca="false">IF(L95="","",YEAR(L95))</f>
        <v/>
      </c>
      <c r="T95" s="79"/>
      <c r="U95" s="91"/>
      <c r="V95" s="91"/>
      <c r="W95" s="92" t="str">
        <f aca="false">IF(OR(U95="",V95=""),"",(V95-U95)*24)</f>
        <v/>
      </c>
      <c r="X95" s="86"/>
      <c r="Y95" s="83"/>
      <c r="Z95" s="86"/>
      <c r="AA95" s="81" t="str">
        <f aca="false">IF(AND(L95&lt;&gt;"",T95&lt;&gt;""),T95-L95,"")</f>
        <v/>
      </c>
      <c r="AB95" s="61" t="str">
        <f aca="true">IF(L95="","",IF(AND(TODAY()&gt;L95,T95="",NOT(OR(Z95="Realisee",Z95="Annulee"))),"OUI","NON"))</f>
        <v/>
      </c>
      <c r="AC95" s="89"/>
      <c r="AD95" s="89"/>
      <c r="AE95" s="86"/>
      <c r="AF95" s="89"/>
      <c r="AG95" s="89"/>
      <c r="AH95" s="86"/>
      <c r="AI95" s="61" t="str">
        <f aca="false">IFERROR(INDEX(PARAMETRES!$B$536:$B$586,MATCH(AH95,PARAMETRES!$J$536:$J$586,0)),"")</f>
        <v/>
      </c>
      <c r="AJ95" s="61" t="str">
        <f aca="false">IFERROR(INDEX(PARAMETRES!$D$536:$D$586,MATCH(AH95,PARAMETRES!$J$536:$J$586,0)),"")</f>
        <v/>
      </c>
      <c r="AK95" s="61" t="str">
        <f aca="false">IFERROR(INDEX(PARAMETRES!$F$536:$F$586,MATCH(AH95,PARAMETRES!$J$536:$J$586,0)),"")</f>
        <v/>
      </c>
      <c r="AL95" s="61" t="str">
        <f aca="false">IFERROR(INDEX(PARAMETRES!$H$536:$H$586,MATCH(AH95,PARAMETRES!$J$536:$J$586,0)),"")</f>
        <v/>
      </c>
      <c r="AM95" s="89"/>
      <c r="AN95" s="89"/>
      <c r="AO95" s="80"/>
      <c r="AP95" s="80"/>
      <c r="AQ95" s="80"/>
      <c r="AR95" s="80"/>
      <c r="AS95" s="80"/>
      <c r="AT95" s="80"/>
      <c r="AU95" s="80"/>
      <c r="AV95" s="81" t="n">
        <f aca="false">IF(A95="",0,COUNTIFS(tbl_Beneficiaires_Activites[ID activite],A95))</f>
        <v>0</v>
      </c>
      <c r="AW95" s="80"/>
      <c r="AX95" s="80"/>
      <c r="AY95" s="80"/>
      <c r="AZ95" s="86"/>
      <c r="BA95" s="86"/>
      <c r="BB95" s="89"/>
      <c r="BC95" s="80"/>
      <c r="BD95" s="80"/>
      <c r="BE95" s="80"/>
      <c r="BF95" s="81" t="n">
        <f aca="false">IF(BD95="",0,BD95)-IF(BE95="",0,BE95)</f>
        <v>0</v>
      </c>
      <c r="BG95" s="82" t="n">
        <f aca="false">IF(OR(BD95="",BD95=0),0,BE95/BD95)</f>
        <v>0</v>
      </c>
      <c r="BH95" s="86"/>
      <c r="BI95" s="89"/>
      <c r="BJ95" s="80"/>
      <c r="BK95" s="80"/>
      <c r="BL95" s="86"/>
      <c r="BM95" s="89"/>
      <c r="BN95" s="89"/>
      <c r="BO95" s="89"/>
      <c r="BP95" s="89"/>
      <c r="BQ95" s="80"/>
      <c r="BR95" s="86"/>
      <c r="BS95" s="89"/>
      <c r="BT95" s="89"/>
      <c r="BU95" s="89"/>
      <c r="BV95" s="81" t="str">
        <f aca="false">IF(OR(AO95="",AV95=""),"",AV95-AO95)</f>
        <v/>
      </c>
      <c r="BW95" s="81" t="str">
        <f aca="false">IF(OR(BE95="",BD95=""),"",BE95-BD95)</f>
        <v/>
      </c>
      <c r="BX95" s="86"/>
      <c r="BY95" s="86"/>
      <c r="BZ95" s="86"/>
      <c r="CA95" s="86"/>
      <c r="CB95" s="89"/>
      <c r="CC95" s="89"/>
      <c r="CD95" s="83"/>
      <c r="CE95" s="86"/>
      <c r="CF95" s="79"/>
      <c r="CG95" s="89"/>
      <c r="CH95" s="86"/>
      <c r="CI95" s="89"/>
      <c r="CJ95" s="89"/>
      <c r="CK95" s="81" t="n">
        <f aca="false">IF(A95="",0,COUNTIF(tbl_Activites_Documents[ID Activite],A95))</f>
        <v>0</v>
      </c>
      <c r="CL95" s="81" t="n">
        <f aca="false">IF(A95="",0,COUNTIF(tbl_Activites_Risques[ID Activite],A95))</f>
        <v>0</v>
      </c>
      <c r="CM95" s="61" t="str">
        <f aca="false">IF(A95="","",IF(BE95&gt;BD95,"OUI","NON"))</f>
        <v/>
      </c>
      <c r="CN95" s="89"/>
    </row>
    <row r="96" customFormat="false" ht="30" hidden="false" customHeight="true" outlineLevel="0" collapsed="false">
      <c r="A96" s="61" t="str">
        <f aca="false">IF(G96="","","ACT"&amp;TEXT(ROW()-55,"00000"))</f>
        <v/>
      </c>
      <c r="B96" s="89"/>
      <c r="C96" s="86"/>
      <c r="D96" s="90" t="n">
        <f aca="false">IFERROR(INDEX(tbl_Projets[Titre complet du projet],MATCH(C96,tbl_Projets[ID Projet],0)),"")</f>
        <v>0</v>
      </c>
      <c r="E96" s="61" t="n">
        <f aca="false">IFERROR(INDEX(tbl_Projets[Domaine d''intervention],MATCH(C96,tbl_Projets[ID Projet],0)),"")</f>
        <v>0</v>
      </c>
      <c r="F96" s="61" t="n">
        <f aca="false">IFERROR(INDEX(tbl_Projets[Nom du responsable],MATCH(C96,tbl_Projets[ID Projet],0)),"")</f>
        <v>0</v>
      </c>
      <c r="G96" s="89"/>
      <c r="H96" s="89"/>
      <c r="I96" s="89"/>
      <c r="J96" s="86"/>
      <c r="K96" s="86"/>
      <c r="L96" s="79"/>
      <c r="M96" s="91"/>
      <c r="N96" s="91"/>
      <c r="O96" s="92" t="str">
        <f aca="false">IF(OR(M96="",N96=""),"",(N96-M96)*24)</f>
        <v/>
      </c>
      <c r="P96" s="86"/>
      <c r="Q96" s="93" t="str">
        <f aca="false">IF(L96="","",INDEX(PARAMETRES!$B$53:$B$65,MONTH(L96)))</f>
        <v/>
      </c>
      <c r="R96" s="93" t="str">
        <f aca="false">IF(L96="","",INDEX(PARAMETRES!$C$53:$C$65,MONTH(L96)))</f>
        <v/>
      </c>
      <c r="S96" s="61" t="str">
        <f aca="false">IF(L96="","",YEAR(L96))</f>
        <v/>
      </c>
      <c r="T96" s="79"/>
      <c r="U96" s="91"/>
      <c r="V96" s="91"/>
      <c r="W96" s="92" t="str">
        <f aca="false">IF(OR(U96="",V96=""),"",(V96-U96)*24)</f>
        <v/>
      </c>
      <c r="X96" s="86"/>
      <c r="Y96" s="83"/>
      <c r="Z96" s="86"/>
      <c r="AA96" s="81" t="str">
        <f aca="false">IF(AND(L96&lt;&gt;"",T96&lt;&gt;""),T96-L96,"")</f>
        <v/>
      </c>
      <c r="AB96" s="61" t="str">
        <f aca="true">IF(L96="","",IF(AND(TODAY()&gt;L96,T96="",NOT(OR(Z96="Realisee",Z96="Annulee"))),"OUI","NON"))</f>
        <v/>
      </c>
      <c r="AC96" s="89"/>
      <c r="AD96" s="89"/>
      <c r="AE96" s="86"/>
      <c r="AF96" s="89"/>
      <c r="AG96" s="89"/>
      <c r="AH96" s="86"/>
      <c r="AI96" s="61" t="str">
        <f aca="false">IFERROR(INDEX(PARAMETRES!$B$536:$B$586,MATCH(AH96,PARAMETRES!$J$536:$J$586,0)),"")</f>
        <v/>
      </c>
      <c r="AJ96" s="61" t="str">
        <f aca="false">IFERROR(INDEX(PARAMETRES!$D$536:$D$586,MATCH(AH96,PARAMETRES!$J$536:$J$586,0)),"")</f>
        <v/>
      </c>
      <c r="AK96" s="61" t="str">
        <f aca="false">IFERROR(INDEX(PARAMETRES!$F$536:$F$586,MATCH(AH96,PARAMETRES!$J$536:$J$586,0)),"")</f>
        <v/>
      </c>
      <c r="AL96" s="61" t="str">
        <f aca="false">IFERROR(INDEX(PARAMETRES!$H$536:$H$586,MATCH(AH96,PARAMETRES!$J$536:$J$586,0)),"")</f>
        <v/>
      </c>
      <c r="AM96" s="89"/>
      <c r="AN96" s="89"/>
      <c r="AO96" s="80"/>
      <c r="AP96" s="80"/>
      <c r="AQ96" s="80"/>
      <c r="AR96" s="80"/>
      <c r="AS96" s="80"/>
      <c r="AT96" s="80"/>
      <c r="AU96" s="80"/>
      <c r="AV96" s="81" t="n">
        <f aca="false">IF(A96="",0,COUNTIFS(tbl_Beneficiaires_Activites[ID activite],A96))</f>
        <v>0</v>
      </c>
      <c r="AW96" s="80"/>
      <c r="AX96" s="80"/>
      <c r="AY96" s="80"/>
      <c r="AZ96" s="86"/>
      <c r="BA96" s="86"/>
      <c r="BB96" s="89"/>
      <c r="BC96" s="80"/>
      <c r="BD96" s="80"/>
      <c r="BE96" s="80"/>
      <c r="BF96" s="81" t="n">
        <f aca="false">IF(BD96="",0,BD96)-IF(BE96="",0,BE96)</f>
        <v>0</v>
      </c>
      <c r="BG96" s="82" t="n">
        <f aca="false">IF(OR(BD96="",BD96=0),0,BE96/BD96)</f>
        <v>0</v>
      </c>
      <c r="BH96" s="86"/>
      <c r="BI96" s="89"/>
      <c r="BJ96" s="80"/>
      <c r="BK96" s="80"/>
      <c r="BL96" s="86"/>
      <c r="BM96" s="89"/>
      <c r="BN96" s="89"/>
      <c r="BO96" s="89"/>
      <c r="BP96" s="89"/>
      <c r="BQ96" s="80"/>
      <c r="BR96" s="86"/>
      <c r="BS96" s="89"/>
      <c r="BT96" s="89"/>
      <c r="BU96" s="89"/>
      <c r="BV96" s="81" t="str">
        <f aca="false">IF(OR(AO96="",AV96=""),"",AV96-AO96)</f>
        <v/>
      </c>
      <c r="BW96" s="81" t="str">
        <f aca="false">IF(OR(BE96="",BD96=""),"",BE96-BD96)</f>
        <v/>
      </c>
      <c r="BX96" s="86"/>
      <c r="BY96" s="86"/>
      <c r="BZ96" s="86"/>
      <c r="CA96" s="86"/>
      <c r="CB96" s="89"/>
      <c r="CC96" s="89"/>
      <c r="CD96" s="83"/>
      <c r="CE96" s="86"/>
      <c r="CF96" s="79"/>
      <c r="CG96" s="89"/>
      <c r="CH96" s="86"/>
      <c r="CI96" s="89"/>
      <c r="CJ96" s="89"/>
      <c r="CK96" s="81" t="n">
        <f aca="false">IF(A96="",0,COUNTIF(tbl_Activites_Documents[ID Activite],A96))</f>
        <v>0</v>
      </c>
      <c r="CL96" s="81" t="n">
        <f aca="false">IF(A96="",0,COUNTIF(tbl_Activites_Risques[ID Activite],A96))</f>
        <v>0</v>
      </c>
      <c r="CM96" s="61" t="str">
        <f aca="false">IF(A96="","",IF(BE96&gt;BD96,"OUI","NON"))</f>
        <v/>
      </c>
      <c r="CN96" s="89"/>
    </row>
    <row r="97" customFormat="false" ht="30" hidden="false" customHeight="true" outlineLevel="0" collapsed="false">
      <c r="A97" s="61" t="str">
        <f aca="false">IF(G97="","","ACT"&amp;TEXT(ROW()-55,"00000"))</f>
        <v/>
      </c>
      <c r="B97" s="89"/>
      <c r="C97" s="86"/>
      <c r="D97" s="90" t="n">
        <f aca="false">IFERROR(INDEX(tbl_Projets[Titre complet du projet],MATCH(C97,tbl_Projets[ID Projet],0)),"")</f>
        <v>0</v>
      </c>
      <c r="E97" s="61" t="n">
        <f aca="false">IFERROR(INDEX(tbl_Projets[Domaine d''intervention],MATCH(C97,tbl_Projets[ID Projet],0)),"")</f>
        <v>0</v>
      </c>
      <c r="F97" s="61" t="n">
        <f aca="false">IFERROR(INDEX(tbl_Projets[Nom du responsable],MATCH(C97,tbl_Projets[ID Projet],0)),"")</f>
        <v>0</v>
      </c>
      <c r="G97" s="89"/>
      <c r="H97" s="89"/>
      <c r="I97" s="89"/>
      <c r="J97" s="86"/>
      <c r="K97" s="86"/>
      <c r="L97" s="79"/>
      <c r="M97" s="91"/>
      <c r="N97" s="91"/>
      <c r="O97" s="92" t="str">
        <f aca="false">IF(OR(M97="",N97=""),"",(N97-M97)*24)</f>
        <v/>
      </c>
      <c r="P97" s="86"/>
      <c r="Q97" s="93" t="str">
        <f aca="false">IF(L97="","",INDEX(PARAMETRES!$B$53:$B$65,MONTH(L97)))</f>
        <v/>
      </c>
      <c r="R97" s="93" t="str">
        <f aca="false">IF(L97="","",INDEX(PARAMETRES!$C$53:$C$65,MONTH(L97)))</f>
        <v/>
      </c>
      <c r="S97" s="61" t="str">
        <f aca="false">IF(L97="","",YEAR(L97))</f>
        <v/>
      </c>
      <c r="T97" s="79"/>
      <c r="U97" s="91"/>
      <c r="V97" s="91"/>
      <c r="W97" s="92" t="str">
        <f aca="false">IF(OR(U97="",V97=""),"",(V97-U97)*24)</f>
        <v/>
      </c>
      <c r="X97" s="86"/>
      <c r="Y97" s="83"/>
      <c r="Z97" s="86"/>
      <c r="AA97" s="81" t="str">
        <f aca="false">IF(AND(L97&lt;&gt;"",T97&lt;&gt;""),T97-L97,"")</f>
        <v/>
      </c>
      <c r="AB97" s="61" t="str">
        <f aca="true">IF(L97="","",IF(AND(TODAY()&gt;L97,T97="",NOT(OR(Z97="Realisee",Z97="Annulee"))),"OUI","NON"))</f>
        <v/>
      </c>
      <c r="AC97" s="89"/>
      <c r="AD97" s="89"/>
      <c r="AE97" s="86"/>
      <c r="AF97" s="89"/>
      <c r="AG97" s="89"/>
      <c r="AH97" s="86"/>
      <c r="AI97" s="61" t="str">
        <f aca="false">IFERROR(INDEX(PARAMETRES!$B$536:$B$586,MATCH(AH97,PARAMETRES!$J$536:$J$586,0)),"")</f>
        <v/>
      </c>
      <c r="AJ97" s="61" t="str">
        <f aca="false">IFERROR(INDEX(PARAMETRES!$D$536:$D$586,MATCH(AH97,PARAMETRES!$J$536:$J$586,0)),"")</f>
        <v/>
      </c>
      <c r="AK97" s="61" t="str">
        <f aca="false">IFERROR(INDEX(PARAMETRES!$F$536:$F$586,MATCH(AH97,PARAMETRES!$J$536:$J$586,0)),"")</f>
        <v/>
      </c>
      <c r="AL97" s="61" t="str">
        <f aca="false">IFERROR(INDEX(PARAMETRES!$H$536:$H$586,MATCH(AH97,PARAMETRES!$J$536:$J$586,0)),"")</f>
        <v/>
      </c>
      <c r="AM97" s="89"/>
      <c r="AN97" s="89"/>
      <c r="AO97" s="80"/>
      <c r="AP97" s="80"/>
      <c r="AQ97" s="80"/>
      <c r="AR97" s="80"/>
      <c r="AS97" s="80"/>
      <c r="AT97" s="80"/>
      <c r="AU97" s="80"/>
      <c r="AV97" s="81" t="n">
        <f aca="false">IF(A97="",0,COUNTIFS(tbl_Beneficiaires_Activites[ID activite],A97))</f>
        <v>0</v>
      </c>
      <c r="AW97" s="80"/>
      <c r="AX97" s="80"/>
      <c r="AY97" s="80"/>
      <c r="AZ97" s="86"/>
      <c r="BA97" s="86"/>
      <c r="BB97" s="89"/>
      <c r="BC97" s="80"/>
      <c r="BD97" s="80"/>
      <c r="BE97" s="80"/>
      <c r="BF97" s="81" t="n">
        <f aca="false">IF(BD97="",0,BD97)-IF(BE97="",0,BE97)</f>
        <v>0</v>
      </c>
      <c r="BG97" s="82" t="n">
        <f aca="false">IF(OR(BD97="",BD97=0),0,BE97/BD97)</f>
        <v>0</v>
      </c>
      <c r="BH97" s="86"/>
      <c r="BI97" s="89"/>
      <c r="BJ97" s="80"/>
      <c r="BK97" s="80"/>
      <c r="BL97" s="86"/>
      <c r="BM97" s="89"/>
      <c r="BN97" s="89"/>
      <c r="BO97" s="89"/>
      <c r="BP97" s="89"/>
      <c r="BQ97" s="80"/>
      <c r="BR97" s="86"/>
      <c r="BS97" s="89"/>
      <c r="BT97" s="89"/>
      <c r="BU97" s="89"/>
      <c r="BV97" s="81" t="str">
        <f aca="false">IF(OR(AO97="",AV97=""),"",AV97-AO97)</f>
        <v/>
      </c>
      <c r="BW97" s="81" t="str">
        <f aca="false">IF(OR(BE97="",BD97=""),"",BE97-BD97)</f>
        <v/>
      </c>
      <c r="BX97" s="86"/>
      <c r="BY97" s="86"/>
      <c r="BZ97" s="86"/>
      <c r="CA97" s="86"/>
      <c r="CB97" s="89"/>
      <c r="CC97" s="89"/>
      <c r="CD97" s="83"/>
      <c r="CE97" s="86"/>
      <c r="CF97" s="79"/>
      <c r="CG97" s="89"/>
      <c r="CH97" s="86"/>
      <c r="CI97" s="89"/>
      <c r="CJ97" s="89"/>
      <c r="CK97" s="81" t="n">
        <f aca="false">IF(A97="",0,COUNTIF(tbl_Activites_Documents[ID Activite],A97))</f>
        <v>0</v>
      </c>
      <c r="CL97" s="81" t="n">
        <f aca="false">IF(A97="",0,COUNTIF(tbl_Activites_Risques[ID Activite],A97))</f>
        <v>0</v>
      </c>
      <c r="CM97" s="61" t="str">
        <f aca="false">IF(A97="","",IF(BE97&gt;BD97,"OUI","NON"))</f>
        <v/>
      </c>
      <c r="CN97" s="89"/>
    </row>
    <row r="98" customFormat="false" ht="30" hidden="false" customHeight="true" outlineLevel="0" collapsed="false">
      <c r="A98" s="61" t="str">
        <f aca="false">IF(G98="","","ACT"&amp;TEXT(ROW()-55,"00000"))</f>
        <v/>
      </c>
      <c r="B98" s="89"/>
      <c r="C98" s="86"/>
      <c r="D98" s="90" t="n">
        <f aca="false">IFERROR(INDEX(tbl_Projets[Titre complet du projet],MATCH(C98,tbl_Projets[ID Projet],0)),"")</f>
        <v>0</v>
      </c>
      <c r="E98" s="61" t="n">
        <f aca="false">IFERROR(INDEX(tbl_Projets[Domaine d''intervention],MATCH(C98,tbl_Projets[ID Projet],0)),"")</f>
        <v>0</v>
      </c>
      <c r="F98" s="61" t="n">
        <f aca="false">IFERROR(INDEX(tbl_Projets[Nom du responsable],MATCH(C98,tbl_Projets[ID Projet],0)),"")</f>
        <v>0</v>
      </c>
      <c r="G98" s="89"/>
      <c r="H98" s="89"/>
      <c r="I98" s="89"/>
      <c r="J98" s="86"/>
      <c r="K98" s="86"/>
      <c r="L98" s="79"/>
      <c r="M98" s="91"/>
      <c r="N98" s="91"/>
      <c r="O98" s="92" t="str">
        <f aca="false">IF(OR(M98="",N98=""),"",(N98-M98)*24)</f>
        <v/>
      </c>
      <c r="P98" s="86"/>
      <c r="Q98" s="93" t="str">
        <f aca="false">IF(L98="","",INDEX(PARAMETRES!$B$53:$B$65,MONTH(L98)))</f>
        <v/>
      </c>
      <c r="R98" s="93" t="str">
        <f aca="false">IF(L98="","",INDEX(PARAMETRES!$C$53:$C$65,MONTH(L98)))</f>
        <v/>
      </c>
      <c r="S98" s="61" t="str">
        <f aca="false">IF(L98="","",YEAR(L98))</f>
        <v/>
      </c>
      <c r="T98" s="79"/>
      <c r="U98" s="91"/>
      <c r="V98" s="91"/>
      <c r="W98" s="92" t="str">
        <f aca="false">IF(OR(U98="",V98=""),"",(V98-U98)*24)</f>
        <v/>
      </c>
      <c r="X98" s="86"/>
      <c r="Y98" s="83"/>
      <c r="Z98" s="86"/>
      <c r="AA98" s="81" t="str">
        <f aca="false">IF(AND(L98&lt;&gt;"",T98&lt;&gt;""),T98-L98,"")</f>
        <v/>
      </c>
      <c r="AB98" s="61" t="str">
        <f aca="true">IF(L98="","",IF(AND(TODAY()&gt;L98,T98="",NOT(OR(Z98="Realisee",Z98="Annulee"))),"OUI","NON"))</f>
        <v/>
      </c>
      <c r="AC98" s="89"/>
      <c r="AD98" s="89"/>
      <c r="AE98" s="86"/>
      <c r="AF98" s="89"/>
      <c r="AG98" s="89"/>
      <c r="AH98" s="86"/>
      <c r="AI98" s="61" t="str">
        <f aca="false">IFERROR(INDEX(PARAMETRES!$B$536:$B$586,MATCH(AH98,PARAMETRES!$J$536:$J$586,0)),"")</f>
        <v/>
      </c>
      <c r="AJ98" s="61" t="str">
        <f aca="false">IFERROR(INDEX(PARAMETRES!$D$536:$D$586,MATCH(AH98,PARAMETRES!$J$536:$J$586,0)),"")</f>
        <v/>
      </c>
      <c r="AK98" s="61" t="str">
        <f aca="false">IFERROR(INDEX(PARAMETRES!$F$536:$F$586,MATCH(AH98,PARAMETRES!$J$536:$J$586,0)),"")</f>
        <v/>
      </c>
      <c r="AL98" s="61" t="str">
        <f aca="false">IFERROR(INDEX(PARAMETRES!$H$536:$H$586,MATCH(AH98,PARAMETRES!$J$536:$J$586,0)),"")</f>
        <v/>
      </c>
      <c r="AM98" s="89"/>
      <c r="AN98" s="89"/>
      <c r="AO98" s="80"/>
      <c r="AP98" s="80"/>
      <c r="AQ98" s="80"/>
      <c r="AR98" s="80"/>
      <c r="AS98" s="80"/>
      <c r="AT98" s="80"/>
      <c r="AU98" s="80"/>
      <c r="AV98" s="81" t="n">
        <f aca="false">IF(A98="",0,COUNTIFS(tbl_Beneficiaires_Activites[ID activite],A98))</f>
        <v>0</v>
      </c>
      <c r="AW98" s="80"/>
      <c r="AX98" s="80"/>
      <c r="AY98" s="80"/>
      <c r="AZ98" s="86"/>
      <c r="BA98" s="86"/>
      <c r="BB98" s="89"/>
      <c r="BC98" s="80"/>
      <c r="BD98" s="80"/>
      <c r="BE98" s="80"/>
      <c r="BF98" s="81" t="n">
        <f aca="false">IF(BD98="",0,BD98)-IF(BE98="",0,BE98)</f>
        <v>0</v>
      </c>
      <c r="BG98" s="82" t="n">
        <f aca="false">IF(OR(BD98="",BD98=0),0,BE98/BD98)</f>
        <v>0</v>
      </c>
      <c r="BH98" s="86"/>
      <c r="BI98" s="89"/>
      <c r="BJ98" s="80"/>
      <c r="BK98" s="80"/>
      <c r="BL98" s="86"/>
      <c r="BM98" s="89"/>
      <c r="BN98" s="89"/>
      <c r="BO98" s="89"/>
      <c r="BP98" s="89"/>
      <c r="BQ98" s="80"/>
      <c r="BR98" s="86"/>
      <c r="BS98" s="89"/>
      <c r="BT98" s="89"/>
      <c r="BU98" s="89"/>
      <c r="BV98" s="81" t="str">
        <f aca="false">IF(OR(AO98="",AV98=""),"",AV98-AO98)</f>
        <v/>
      </c>
      <c r="BW98" s="81" t="str">
        <f aca="false">IF(OR(BE98="",BD98=""),"",BE98-BD98)</f>
        <v/>
      </c>
      <c r="BX98" s="86"/>
      <c r="BY98" s="86"/>
      <c r="BZ98" s="86"/>
      <c r="CA98" s="86"/>
      <c r="CB98" s="89"/>
      <c r="CC98" s="89"/>
      <c r="CD98" s="83"/>
      <c r="CE98" s="86"/>
      <c r="CF98" s="79"/>
      <c r="CG98" s="89"/>
      <c r="CH98" s="86"/>
      <c r="CI98" s="89"/>
      <c r="CJ98" s="89"/>
      <c r="CK98" s="81" t="n">
        <f aca="false">IF(A98="",0,COUNTIF(tbl_Activites_Documents[ID Activite],A98))</f>
        <v>0</v>
      </c>
      <c r="CL98" s="81" t="n">
        <f aca="false">IF(A98="",0,COUNTIF(tbl_Activites_Risques[ID Activite],A98))</f>
        <v>0</v>
      </c>
      <c r="CM98" s="61" t="str">
        <f aca="false">IF(A98="","",IF(BE98&gt;BD98,"OUI","NON"))</f>
        <v/>
      </c>
      <c r="CN98" s="89"/>
    </row>
    <row r="99" customFormat="false" ht="30" hidden="false" customHeight="true" outlineLevel="0" collapsed="false">
      <c r="A99" s="61" t="str">
        <f aca="false">IF(G99="","","ACT"&amp;TEXT(ROW()-55,"00000"))</f>
        <v/>
      </c>
      <c r="B99" s="89"/>
      <c r="C99" s="86"/>
      <c r="D99" s="90" t="n">
        <f aca="false">IFERROR(INDEX(tbl_Projets[Titre complet du projet],MATCH(C99,tbl_Projets[ID Projet],0)),"")</f>
        <v>0</v>
      </c>
      <c r="E99" s="61" t="n">
        <f aca="false">IFERROR(INDEX(tbl_Projets[Domaine d''intervention],MATCH(C99,tbl_Projets[ID Projet],0)),"")</f>
        <v>0</v>
      </c>
      <c r="F99" s="61" t="n">
        <f aca="false">IFERROR(INDEX(tbl_Projets[Nom du responsable],MATCH(C99,tbl_Projets[ID Projet],0)),"")</f>
        <v>0</v>
      </c>
      <c r="G99" s="89"/>
      <c r="H99" s="89"/>
      <c r="I99" s="89"/>
      <c r="J99" s="86"/>
      <c r="K99" s="86"/>
      <c r="L99" s="79"/>
      <c r="M99" s="91"/>
      <c r="N99" s="91"/>
      <c r="O99" s="92" t="str">
        <f aca="false">IF(OR(M99="",N99=""),"",(N99-M99)*24)</f>
        <v/>
      </c>
      <c r="P99" s="86"/>
      <c r="Q99" s="93" t="str">
        <f aca="false">IF(L99="","",INDEX(PARAMETRES!$B$53:$B$65,MONTH(L99)))</f>
        <v/>
      </c>
      <c r="R99" s="93" t="str">
        <f aca="false">IF(L99="","",INDEX(PARAMETRES!$C$53:$C$65,MONTH(L99)))</f>
        <v/>
      </c>
      <c r="S99" s="61" t="str">
        <f aca="false">IF(L99="","",YEAR(L99))</f>
        <v/>
      </c>
      <c r="T99" s="79"/>
      <c r="U99" s="91"/>
      <c r="V99" s="91"/>
      <c r="W99" s="92" t="str">
        <f aca="false">IF(OR(U99="",V99=""),"",(V99-U99)*24)</f>
        <v/>
      </c>
      <c r="X99" s="86"/>
      <c r="Y99" s="83"/>
      <c r="Z99" s="86"/>
      <c r="AA99" s="81" t="str">
        <f aca="false">IF(AND(L99&lt;&gt;"",T99&lt;&gt;""),T99-L99,"")</f>
        <v/>
      </c>
      <c r="AB99" s="61" t="str">
        <f aca="true">IF(L99="","",IF(AND(TODAY()&gt;L99,T99="",NOT(OR(Z99="Realisee",Z99="Annulee"))),"OUI","NON"))</f>
        <v/>
      </c>
      <c r="AC99" s="89"/>
      <c r="AD99" s="89"/>
      <c r="AE99" s="86"/>
      <c r="AF99" s="89"/>
      <c r="AG99" s="89"/>
      <c r="AH99" s="86"/>
      <c r="AI99" s="61" t="str">
        <f aca="false">IFERROR(INDEX(PARAMETRES!$B$536:$B$586,MATCH(AH99,PARAMETRES!$J$536:$J$586,0)),"")</f>
        <v/>
      </c>
      <c r="AJ99" s="61" t="str">
        <f aca="false">IFERROR(INDEX(PARAMETRES!$D$536:$D$586,MATCH(AH99,PARAMETRES!$J$536:$J$586,0)),"")</f>
        <v/>
      </c>
      <c r="AK99" s="61" t="str">
        <f aca="false">IFERROR(INDEX(PARAMETRES!$F$536:$F$586,MATCH(AH99,PARAMETRES!$J$536:$J$586,0)),"")</f>
        <v/>
      </c>
      <c r="AL99" s="61" t="str">
        <f aca="false">IFERROR(INDEX(PARAMETRES!$H$536:$H$586,MATCH(AH99,PARAMETRES!$J$536:$J$586,0)),"")</f>
        <v/>
      </c>
      <c r="AM99" s="89"/>
      <c r="AN99" s="89"/>
      <c r="AO99" s="80"/>
      <c r="AP99" s="80"/>
      <c r="AQ99" s="80"/>
      <c r="AR99" s="80"/>
      <c r="AS99" s="80"/>
      <c r="AT99" s="80"/>
      <c r="AU99" s="80"/>
      <c r="AV99" s="81" t="n">
        <f aca="false">IF(A99="",0,COUNTIFS(tbl_Beneficiaires_Activites[ID activite],A99))</f>
        <v>0</v>
      </c>
      <c r="AW99" s="80"/>
      <c r="AX99" s="80"/>
      <c r="AY99" s="80"/>
      <c r="AZ99" s="86"/>
      <c r="BA99" s="86"/>
      <c r="BB99" s="89"/>
      <c r="BC99" s="80"/>
      <c r="BD99" s="80"/>
      <c r="BE99" s="80"/>
      <c r="BF99" s="81" t="n">
        <f aca="false">IF(BD99="",0,BD99)-IF(BE99="",0,BE99)</f>
        <v>0</v>
      </c>
      <c r="BG99" s="82" t="n">
        <f aca="false">IF(OR(BD99="",BD99=0),0,BE99/BD99)</f>
        <v>0</v>
      </c>
      <c r="BH99" s="86"/>
      <c r="BI99" s="89"/>
      <c r="BJ99" s="80"/>
      <c r="BK99" s="80"/>
      <c r="BL99" s="86"/>
      <c r="BM99" s="89"/>
      <c r="BN99" s="89"/>
      <c r="BO99" s="89"/>
      <c r="BP99" s="89"/>
      <c r="BQ99" s="80"/>
      <c r="BR99" s="86"/>
      <c r="BS99" s="89"/>
      <c r="BT99" s="89"/>
      <c r="BU99" s="89"/>
      <c r="BV99" s="81" t="str">
        <f aca="false">IF(OR(AO99="",AV99=""),"",AV99-AO99)</f>
        <v/>
      </c>
      <c r="BW99" s="81" t="str">
        <f aca="false">IF(OR(BE99="",BD99=""),"",BE99-BD99)</f>
        <v/>
      </c>
      <c r="BX99" s="86"/>
      <c r="BY99" s="86"/>
      <c r="BZ99" s="86"/>
      <c r="CA99" s="86"/>
      <c r="CB99" s="89"/>
      <c r="CC99" s="89"/>
      <c r="CD99" s="83"/>
      <c r="CE99" s="86"/>
      <c r="CF99" s="79"/>
      <c r="CG99" s="89"/>
      <c r="CH99" s="86"/>
      <c r="CI99" s="89"/>
      <c r="CJ99" s="89"/>
      <c r="CK99" s="81" t="n">
        <f aca="false">IF(A99="",0,COUNTIF(tbl_Activites_Documents[ID Activite],A99))</f>
        <v>0</v>
      </c>
      <c r="CL99" s="81" t="n">
        <f aca="false">IF(A99="",0,COUNTIF(tbl_Activites_Risques[ID Activite],A99))</f>
        <v>0</v>
      </c>
      <c r="CM99" s="61" t="str">
        <f aca="false">IF(A99="","",IF(BE99&gt;BD99,"OUI","NON"))</f>
        <v/>
      </c>
      <c r="CN99" s="89"/>
    </row>
    <row r="100" customFormat="false" ht="30" hidden="false" customHeight="true" outlineLevel="0" collapsed="false">
      <c r="A100" s="61" t="str">
        <f aca="false">IF(G100="","","ACT"&amp;TEXT(ROW()-55,"00000"))</f>
        <v/>
      </c>
      <c r="B100" s="89"/>
      <c r="C100" s="86"/>
      <c r="D100" s="90" t="n">
        <f aca="false">IFERROR(INDEX(tbl_Projets[Titre complet du projet],MATCH(C100,tbl_Projets[ID Projet],0)),"")</f>
        <v>0</v>
      </c>
      <c r="E100" s="61" t="n">
        <f aca="false">IFERROR(INDEX(tbl_Projets[Domaine d''intervention],MATCH(C100,tbl_Projets[ID Projet],0)),"")</f>
        <v>0</v>
      </c>
      <c r="F100" s="61" t="n">
        <f aca="false">IFERROR(INDEX(tbl_Projets[Nom du responsable],MATCH(C100,tbl_Projets[ID Projet],0)),"")</f>
        <v>0</v>
      </c>
      <c r="G100" s="89"/>
      <c r="H100" s="89"/>
      <c r="I100" s="89"/>
      <c r="J100" s="86"/>
      <c r="K100" s="86"/>
      <c r="L100" s="79"/>
      <c r="M100" s="91"/>
      <c r="N100" s="91"/>
      <c r="O100" s="92" t="str">
        <f aca="false">IF(OR(M100="",N100=""),"",(N100-M100)*24)</f>
        <v/>
      </c>
      <c r="P100" s="86"/>
      <c r="Q100" s="93" t="str">
        <f aca="false">IF(L100="","",INDEX(PARAMETRES!$B$53:$B$65,MONTH(L100)))</f>
        <v/>
      </c>
      <c r="R100" s="93" t="str">
        <f aca="false">IF(L100="","",INDEX(PARAMETRES!$C$53:$C$65,MONTH(L100)))</f>
        <v/>
      </c>
      <c r="S100" s="61" t="str">
        <f aca="false">IF(L100="","",YEAR(L100))</f>
        <v/>
      </c>
      <c r="T100" s="79"/>
      <c r="U100" s="91"/>
      <c r="V100" s="91"/>
      <c r="W100" s="92" t="str">
        <f aca="false">IF(OR(U100="",V100=""),"",(V100-U100)*24)</f>
        <v/>
      </c>
      <c r="X100" s="86"/>
      <c r="Y100" s="83"/>
      <c r="Z100" s="86"/>
      <c r="AA100" s="81" t="str">
        <f aca="false">IF(AND(L100&lt;&gt;"",T100&lt;&gt;""),T100-L100,"")</f>
        <v/>
      </c>
      <c r="AB100" s="61" t="str">
        <f aca="true">IF(L100="","",IF(AND(TODAY()&gt;L100,T100="",NOT(OR(Z100="Realisee",Z100="Annulee"))),"OUI","NON"))</f>
        <v/>
      </c>
      <c r="AC100" s="89"/>
      <c r="AD100" s="89"/>
      <c r="AE100" s="86"/>
      <c r="AF100" s="89"/>
      <c r="AG100" s="89"/>
      <c r="AH100" s="86"/>
      <c r="AI100" s="61" t="str">
        <f aca="false">IFERROR(INDEX(PARAMETRES!$B$536:$B$586,MATCH(AH100,PARAMETRES!$J$536:$J$586,0)),"")</f>
        <v/>
      </c>
      <c r="AJ100" s="61" t="str">
        <f aca="false">IFERROR(INDEX(PARAMETRES!$D$536:$D$586,MATCH(AH100,PARAMETRES!$J$536:$J$586,0)),"")</f>
        <v/>
      </c>
      <c r="AK100" s="61" t="str">
        <f aca="false">IFERROR(INDEX(PARAMETRES!$F$536:$F$586,MATCH(AH100,PARAMETRES!$J$536:$J$586,0)),"")</f>
        <v/>
      </c>
      <c r="AL100" s="61" t="str">
        <f aca="false">IFERROR(INDEX(PARAMETRES!$H$536:$H$586,MATCH(AH100,PARAMETRES!$J$536:$J$586,0)),"")</f>
        <v/>
      </c>
      <c r="AM100" s="89"/>
      <c r="AN100" s="89"/>
      <c r="AO100" s="80"/>
      <c r="AP100" s="80"/>
      <c r="AQ100" s="80"/>
      <c r="AR100" s="80"/>
      <c r="AS100" s="80"/>
      <c r="AT100" s="80"/>
      <c r="AU100" s="80"/>
      <c r="AV100" s="81" t="n">
        <f aca="false">IF(A100="",0,COUNTIFS(tbl_Beneficiaires_Activites[ID activite],A100))</f>
        <v>0</v>
      </c>
      <c r="AW100" s="80"/>
      <c r="AX100" s="80"/>
      <c r="AY100" s="80"/>
      <c r="AZ100" s="86"/>
      <c r="BA100" s="86"/>
      <c r="BB100" s="89"/>
      <c r="BC100" s="80"/>
      <c r="BD100" s="80"/>
      <c r="BE100" s="80"/>
      <c r="BF100" s="81" t="n">
        <f aca="false">IF(BD100="",0,BD100)-IF(BE100="",0,BE100)</f>
        <v>0</v>
      </c>
      <c r="BG100" s="82" t="n">
        <f aca="false">IF(OR(BD100="",BD100=0),0,BE100/BD100)</f>
        <v>0</v>
      </c>
      <c r="BH100" s="86"/>
      <c r="BI100" s="89"/>
      <c r="BJ100" s="80"/>
      <c r="BK100" s="80"/>
      <c r="BL100" s="86"/>
      <c r="BM100" s="89"/>
      <c r="BN100" s="89"/>
      <c r="BO100" s="89"/>
      <c r="BP100" s="89"/>
      <c r="BQ100" s="80"/>
      <c r="BR100" s="86"/>
      <c r="BS100" s="89"/>
      <c r="BT100" s="89"/>
      <c r="BU100" s="89"/>
      <c r="BV100" s="81" t="str">
        <f aca="false">IF(OR(AO100="",AV100=""),"",AV100-AO100)</f>
        <v/>
      </c>
      <c r="BW100" s="81" t="str">
        <f aca="false">IF(OR(BE100="",BD100=""),"",BE100-BD100)</f>
        <v/>
      </c>
      <c r="BX100" s="86"/>
      <c r="BY100" s="86"/>
      <c r="BZ100" s="86"/>
      <c r="CA100" s="86"/>
      <c r="CB100" s="89"/>
      <c r="CC100" s="89"/>
      <c r="CD100" s="83"/>
      <c r="CE100" s="86"/>
      <c r="CF100" s="79"/>
      <c r="CG100" s="89"/>
      <c r="CH100" s="86"/>
      <c r="CI100" s="89"/>
      <c r="CJ100" s="89"/>
      <c r="CK100" s="81" t="n">
        <f aca="false">IF(A100="",0,COUNTIF(tbl_Activites_Documents[ID Activite],A100))</f>
        <v>0</v>
      </c>
      <c r="CL100" s="81" t="n">
        <f aca="false">IF(A100="",0,COUNTIF(tbl_Activites_Risques[ID Activite],A100))</f>
        <v>0</v>
      </c>
      <c r="CM100" s="61" t="str">
        <f aca="false">IF(A100="","",IF(BE100&gt;BD100,"OUI","NON"))</f>
        <v/>
      </c>
      <c r="CN100" s="89"/>
    </row>
    <row r="101" customFormat="false" ht="30" hidden="false" customHeight="true" outlineLevel="0" collapsed="false">
      <c r="A101" s="61" t="str">
        <f aca="false">IF(G101="","","ACT"&amp;TEXT(ROW()-55,"00000"))</f>
        <v/>
      </c>
      <c r="B101" s="89"/>
      <c r="C101" s="86"/>
      <c r="D101" s="90" t="n">
        <f aca="false">IFERROR(INDEX(tbl_Projets[Titre complet du projet],MATCH(C101,tbl_Projets[ID Projet],0)),"")</f>
        <v>0</v>
      </c>
      <c r="E101" s="61" t="n">
        <f aca="false">IFERROR(INDEX(tbl_Projets[Domaine d''intervention],MATCH(C101,tbl_Projets[ID Projet],0)),"")</f>
        <v>0</v>
      </c>
      <c r="F101" s="61" t="n">
        <f aca="false">IFERROR(INDEX(tbl_Projets[Nom du responsable],MATCH(C101,tbl_Projets[ID Projet],0)),"")</f>
        <v>0</v>
      </c>
      <c r="G101" s="89"/>
      <c r="H101" s="89"/>
      <c r="I101" s="89"/>
      <c r="J101" s="86"/>
      <c r="K101" s="86"/>
      <c r="L101" s="79"/>
      <c r="M101" s="91"/>
      <c r="N101" s="91"/>
      <c r="O101" s="92" t="str">
        <f aca="false">IF(OR(M101="",N101=""),"",(N101-M101)*24)</f>
        <v/>
      </c>
      <c r="P101" s="86"/>
      <c r="Q101" s="93" t="str">
        <f aca="false">IF(L101="","",INDEX(PARAMETRES!$B$53:$B$65,MONTH(L101)))</f>
        <v/>
      </c>
      <c r="R101" s="93" t="str">
        <f aca="false">IF(L101="","",INDEX(PARAMETRES!$C$53:$C$65,MONTH(L101)))</f>
        <v/>
      </c>
      <c r="S101" s="61" t="str">
        <f aca="false">IF(L101="","",YEAR(L101))</f>
        <v/>
      </c>
      <c r="T101" s="79"/>
      <c r="U101" s="91"/>
      <c r="V101" s="91"/>
      <c r="W101" s="92" t="str">
        <f aca="false">IF(OR(U101="",V101=""),"",(V101-U101)*24)</f>
        <v/>
      </c>
      <c r="X101" s="86"/>
      <c r="Y101" s="83"/>
      <c r="Z101" s="86"/>
      <c r="AA101" s="81" t="str">
        <f aca="false">IF(AND(L101&lt;&gt;"",T101&lt;&gt;""),T101-L101,"")</f>
        <v/>
      </c>
      <c r="AB101" s="61" t="str">
        <f aca="true">IF(L101="","",IF(AND(TODAY()&gt;L101,T101="",NOT(OR(Z101="Realisee",Z101="Annulee"))),"OUI","NON"))</f>
        <v/>
      </c>
      <c r="AC101" s="89"/>
      <c r="AD101" s="89"/>
      <c r="AE101" s="86"/>
      <c r="AF101" s="89"/>
      <c r="AG101" s="89"/>
      <c r="AH101" s="86"/>
      <c r="AI101" s="61" t="str">
        <f aca="false">IFERROR(INDEX(PARAMETRES!$B$536:$B$586,MATCH(AH101,PARAMETRES!$J$536:$J$586,0)),"")</f>
        <v/>
      </c>
      <c r="AJ101" s="61" t="str">
        <f aca="false">IFERROR(INDEX(PARAMETRES!$D$536:$D$586,MATCH(AH101,PARAMETRES!$J$536:$J$586,0)),"")</f>
        <v/>
      </c>
      <c r="AK101" s="61" t="str">
        <f aca="false">IFERROR(INDEX(PARAMETRES!$F$536:$F$586,MATCH(AH101,PARAMETRES!$J$536:$J$586,0)),"")</f>
        <v/>
      </c>
      <c r="AL101" s="61" t="str">
        <f aca="false">IFERROR(INDEX(PARAMETRES!$H$536:$H$586,MATCH(AH101,PARAMETRES!$J$536:$J$586,0)),"")</f>
        <v/>
      </c>
      <c r="AM101" s="89"/>
      <c r="AN101" s="89"/>
      <c r="AO101" s="80"/>
      <c r="AP101" s="80"/>
      <c r="AQ101" s="80"/>
      <c r="AR101" s="80"/>
      <c r="AS101" s="80"/>
      <c r="AT101" s="80"/>
      <c r="AU101" s="80"/>
      <c r="AV101" s="81" t="n">
        <f aca="false">IF(A101="",0,COUNTIFS(tbl_Beneficiaires_Activites[ID activite],A101))</f>
        <v>0</v>
      </c>
      <c r="AW101" s="80"/>
      <c r="AX101" s="80"/>
      <c r="AY101" s="80"/>
      <c r="AZ101" s="86"/>
      <c r="BA101" s="86"/>
      <c r="BB101" s="89"/>
      <c r="BC101" s="80"/>
      <c r="BD101" s="80"/>
      <c r="BE101" s="80"/>
      <c r="BF101" s="81" t="n">
        <f aca="false">IF(BD101="",0,BD101)-IF(BE101="",0,BE101)</f>
        <v>0</v>
      </c>
      <c r="BG101" s="82" t="n">
        <f aca="false">IF(OR(BD101="",BD101=0),0,BE101/BD101)</f>
        <v>0</v>
      </c>
      <c r="BH101" s="86"/>
      <c r="BI101" s="89"/>
      <c r="BJ101" s="80"/>
      <c r="BK101" s="80"/>
      <c r="BL101" s="86"/>
      <c r="BM101" s="89"/>
      <c r="BN101" s="89"/>
      <c r="BO101" s="89"/>
      <c r="BP101" s="89"/>
      <c r="BQ101" s="80"/>
      <c r="BR101" s="86"/>
      <c r="BS101" s="89"/>
      <c r="BT101" s="89"/>
      <c r="BU101" s="89"/>
      <c r="BV101" s="81" t="str">
        <f aca="false">IF(OR(AO101="",AV101=""),"",AV101-AO101)</f>
        <v/>
      </c>
      <c r="BW101" s="81" t="str">
        <f aca="false">IF(OR(BE101="",BD101=""),"",BE101-BD101)</f>
        <v/>
      </c>
      <c r="BX101" s="86"/>
      <c r="BY101" s="86"/>
      <c r="BZ101" s="86"/>
      <c r="CA101" s="86"/>
      <c r="CB101" s="89"/>
      <c r="CC101" s="89"/>
      <c r="CD101" s="83"/>
      <c r="CE101" s="86"/>
      <c r="CF101" s="79"/>
      <c r="CG101" s="89"/>
      <c r="CH101" s="86"/>
      <c r="CI101" s="89"/>
      <c r="CJ101" s="89"/>
      <c r="CK101" s="81" t="n">
        <f aca="false">IF(A101="",0,COUNTIF(tbl_Activites_Documents[ID Activite],A101))</f>
        <v>0</v>
      </c>
      <c r="CL101" s="81" t="n">
        <f aca="false">IF(A101="",0,COUNTIF(tbl_Activites_Risques[ID Activite],A101))</f>
        <v>0</v>
      </c>
      <c r="CM101" s="61" t="str">
        <f aca="false">IF(A101="","",IF(BE101&gt;BD101,"OUI","NON"))</f>
        <v/>
      </c>
      <c r="CN101" s="89"/>
    </row>
    <row r="102" customFormat="false" ht="30" hidden="false" customHeight="true" outlineLevel="0" collapsed="false">
      <c r="A102" s="61" t="str">
        <f aca="false">IF(G102="","","ACT"&amp;TEXT(ROW()-55,"00000"))</f>
        <v/>
      </c>
      <c r="B102" s="89"/>
      <c r="C102" s="86"/>
      <c r="D102" s="90" t="n">
        <f aca="false">IFERROR(INDEX(tbl_Projets[Titre complet du projet],MATCH(C102,tbl_Projets[ID Projet],0)),"")</f>
        <v>0</v>
      </c>
      <c r="E102" s="61" t="n">
        <f aca="false">IFERROR(INDEX(tbl_Projets[Domaine d''intervention],MATCH(C102,tbl_Projets[ID Projet],0)),"")</f>
        <v>0</v>
      </c>
      <c r="F102" s="61" t="n">
        <f aca="false">IFERROR(INDEX(tbl_Projets[Nom du responsable],MATCH(C102,tbl_Projets[ID Projet],0)),"")</f>
        <v>0</v>
      </c>
      <c r="G102" s="89"/>
      <c r="H102" s="89"/>
      <c r="I102" s="89"/>
      <c r="J102" s="86"/>
      <c r="K102" s="86"/>
      <c r="L102" s="79"/>
      <c r="M102" s="91"/>
      <c r="N102" s="91"/>
      <c r="O102" s="92" t="str">
        <f aca="false">IF(OR(M102="",N102=""),"",(N102-M102)*24)</f>
        <v/>
      </c>
      <c r="P102" s="86"/>
      <c r="Q102" s="93" t="str">
        <f aca="false">IF(L102="","",INDEX(PARAMETRES!$B$53:$B$65,MONTH(L102)))</f>
        <v/>
      </c>
      <c r="R102" s="93" t="str">
        <f aca="false">IF(L102="","",INDEX(PARAMETRES!$C$53:$C$65,MONTH(L102)))</f>
        <v/>
      </c>
      <c r="S102" s="61" t="str">
        <f aca="false">IF(L102="","",YEAR(L102))</f>
        <v/>
      </c>
      <c r="T102" s="79"/>
      <c r="U102" s="91"/>
      <c r="V102" s="91"/>
      <c r="W102" s="92" t="str">
        <f aca="false">IF(OR(U102="",V102=""),"",(V102-U102)*24)</f>
        <v/>
      </c>
      <c r="X102" s="86"/>
      <c r="Y102" s="83"/>
      <c r="Z102" s="86"/>
      <c r="AA102" s="81" t="str">
        <f aca="false">IF(AND(L102&lt;&gt;"",T102&lt;&gt;""),T102-L102,"")</f>
        <v/>
      </c>
      <c r="AB102" s="61" t="str">
        <f aca="true">IF(L102="","",IF(AND(TODAY()&gt;L102,T102="",NOT(OR(Z102="Realisee",Z102="Annulee"))),"OUI","NON"))</f>
        <v/>
      </c>
      <c r="AC102" s="89"/>
      <c r="AD102" s="89"/>
      <c r="AE102" s="86"/>
      <c r="AF102" s="89"/>
      <c r="AG102" s="89"/>
      <c r="AH102" s="86"/>
      <c r="AI102" s="61" t="str">
        <f aca="false">IFERROR(INDEX(PARAMETRES!$B$536:$B$586,MATCH(AH102,PARAMETRES!$J$536:$J$586,0)),"")</f>
        <v/>
      </c>
      <c r="AJ102" s="61" t="str">
        <f aca="false">IFERROR(INDEX(PARAMETRES!$D$536:$D$586,MATCH(AH102,PARAMETRES!$J$536:$J$586,0)),"")</f>
        <v/>
      </c>
      <c r="AK102" s="61" t="str">
        <f aca="false">IFERROR(INDEX(PARAMETRES!$F$536:$F$586,MATCH(AH102,PARAMETRES!$J$536:$J$586,0)),"")</f>
        <v/>
      </c>
      <c r="AL102" s="61" t="str">
        <f aca="false">IFERROR(INDEX(PARAMETRES!$H$536:$H$586,MATCH(AH102,PARAMETRES!$J$536:$J$586,0)),"")</f>
        <v/>
      </c>
      <c r="AM102" s="89"/>
      <c r="AN102" s="89"/>
      <c r="AO102" s="80"/>
      <c r="AP102" s="80"/>
      <c r="AQ102" s="80"/>
      <c r="AR102" s="80"/>
      <c r="AS102" s="80"/>
      <c r="AT102" s="80"/>
      <c r="AU102" s="80"/>
      <c r="AV102" s="81" t="n">
        <f aca="false">IF(A102="",0,COUNTIFS(tbl_Beneficiaires_Activites[ID activite],A102))</f>
        <v>0</v>
      </c>
      <c r="AW102" s="80"/>
      <c r="AX102" s="80"/>
      <c r="AY102" s="80"/>
      <c r="AZ102" s="86"/>
      <c r="BA102" s="86"/>
      <c r="BB102" s="89"/>
      <c r="BC102" s="80"/>
      <c r="BD102" s="80"/>
      <c r="BE102" s="80"/>
      <c r="BF102" s="81" t="n">
        <f aca="false">IF(BD102="",0,BD102)-IF(BE102="",0,BE102)</f>
        <v>0</v>
      </c>
      <c r="BG102" s="82" t="n">
        <f aca="false">IF(OR(BD102="",BD102=0),0,BE102/BD102)</f>
        <v>0</v>
      </c>
      <c r="BH102" s="86"/>
      <c r="BI102" s="89"/>
      <c r="BJ102" s="80"/>
      <c r="BK102" s="80"/>
      <c r="BL102" s="86"/>
      <c r="BM102" s="89"/>
      <c r="BN102" s="89"/>
      <c r="BO102" s="89"/>
      <c r="BP102" s="89"/>
      <c r="BQ102" s="80"/>
      <c r="BR102" s="86"/>
      <c r="BS102" s="89"/>
      <c r="BT102" s="89"/>
      <c r="BU102" s="89"/>
      <c r="BV102" s="81" t="str">
        <f aca="false">IF(OR(AO102="",AV102=""),"",AV102-AO102)</f>
        <v/>
      </c>
      <c r="BW102" s="81" t="str">
        <f aca="false">IF(OR(BE102="",BD102=""),"",BE102-BD102)</f>
        <v/>
      </c>
      <c r="BX102" s="86"/>
      <c r="BY102" s="86"/>
      <c r="BZ102" s="86"/>
      <c r="CA102" s="86"/>
      <c r="CB102" s="89"/>
      <c r="CC102" s="89"/>
      <c r="CD102" s="83"/>
      <c r="CE102" s="86"/>
      <c r="CF102" s="79"/>
      <c r="CG102" s="89"/>
      <c r="CH102" s="86"/>
      <c r="CI102" s="89"/>
      <c r="CJ102" s="89"/>
      <c r="CK102" s="81" t="n">
        <f aca="false">IF(A102="",0,COUNTIF(tbl_Activites_Documents[ID Activite],A102))</f>
        <v>0</v>
      </c>
      <c r="CL102" s="81" t="n">
        <f aca="false">IF(A102="",0,COUNTIF(tbl_Activites_Risques[ID Activite],A102))</f>
        <v>0</v>
      </c>
      <c r="CM102" s="61" t="str">
        <f aca="false">IF(A102="","",IF(BE102&gt;BD102,"OUI","NON"))</f>
        <v/>
      </c>
      <c r="CN102" s="89"/>
    </row>
    <row r="103" customFormat="false" ht="30" hidden="false" customHeight="true" outlineLevel="0" collapsed="false">
      <c r="A103" s="61" t="str">
        <f aca="false">IF(G103="","","ACT"&amp;TEXT(ROW()-55,"00000"))</f>
        <v/>
      </c>
      <c r="B103" s="89"/>
      <c r="C103" s="86"/>
      <c r="D103" s="90" t="n">
        <f aca="false">IFERROR(INDEX(tbl_Projets[Titre complet du projet],MATCH(C103,tbl_Projets[ID Projet],0)),"")</f>
        <v>0</v>
      </c>
      <c r="E103" s="61" t="n">
        <f aca="false">IFERROR(INDEX(tbl_Projets[Domaine d''intervention],MATCH(C103,tbl_Projets[ID Projet],0)),"")</f>
        <v>0</v>
      </c>
      <c r="F103" s="61" t="n">
        <f aca="false">IFERROR(INDEX(tbl_Projets[Nom du responsable],MATCH(C103,tbl_Projets[ID Projet],0)),"")</f>
        <v>0</v>
      </c>
      <c r="G103" s="89"/>
      <c r="H103" s="89"/>
      <c r="I103" s="89"/>
      <c r="J103" s="86"/>
      <c r="K103" s="86"/>
      <c r="L103" s="79"/>
      <c r="M103" s="91"/>
      <c r="N103" s="91"/>
      <c r="O103" s="92" t="str">
        <f aca="false">IF(OR(M103="",N103=""),"",(N103-M103)*24)</f>
        <v/>
      </c>
      <c r="P103" s="86"/>
      <c r="Q103" s="93" t="str">
        <f aca="false">IF(L103="","",INDEX(PARAMETRES!$B$53:$B$65,MONTH(L103)))</f>
        <v/>
      </c>
      <c r="R103" s="93" t="str">
        <f aca="false">IF(L103="","",INDEX(PARAMETRES!$C$53:$C$65,MONTH(L103)))</f>
        <v/>
      </c>
      <c r="S103" s="61" t="str">
        <f aca="false">IF(L103="","",YEAR(L103))</f>
        <v/>
      </c>
      <c r="T103" s="79"/>
      <c r="U103" s="91"/>
      <c r="V103" s="91"/>
      <c r="W103" s="92" t="str">
        <f aca="false">IF(OR(U103="",V103=""),"",(V103-U103)*24)</f>
        <v/>
      </c>
      <c r="X103" s="86"/>
      <c r="Y103" s="83"/>
      <c r="Z103" s="86"/>
      <c r="AA103" s="81" t="str">
        <f aca="false">IF(AND(L103&lt;&gt;"",T103&lt;&gt;""),T103-L103,"")</f>
        <v/>
      </c>
      <c r="AB103" s="61" t="str">
        <f aca="true">IF(L103="","",IF(AND(TODAY()&gt;L103,T103="",NOT(OR(Z103="Realisee",Z103="Annulee"))),"OUI","NON"))</f>
        <v/>
      </c>
      <c r="AC103" s="89"/>
      <c r="AD103" s="89"/>
      <c r="AE103" s="86"/>
      <c r="AF103" s="89"/>
      <c r="AG103" s="89"/>
      <c r="AH103" s="86"/>
      <c r="AI103" s="61" t="str">
        <f aca="false">IFERROR(INDEX(PARAMETRES!$B$536:$B$586,MATCH(AH103,PARAMETRES!$J$536:$J$586,0)),"")</f>
        <v/>
      </c>
      <c r="AJ103" s="61" t="str">
        <f aca="false">IFERROR(INDEX(PARAMETRES!$D$536:$D$586,MATCH(AH103,PARAMETRES!$J$536:$J$586,0)),"")</f>
        <v/>
      </c>
      <c r="AK103" s="61" t="str">
        <f aca="false">IFERROR(INDEX(PARAMETRES!$F$536:$F$586,MATCH(AH103,PARAMETRES!$J$536:$J$586,0)),"")</f>
        <v/>
      </c>
      <c r="AL103" s="61" t="str">
        <f aca="false">IFERROR(INDEX(PARAMETRES!$H$536:$H$586,MATCH(AH103,PARAMETRES!$J$536:$J$586,0)),"")</f>
        <v/>
      </c>
      <c r="AM103" s="89"/>
      <c r="AN103" s="89"/>
      <c r="AO103" s="80"/>
      <c r="AP103" s="80"/>
      <c r="AQ103" s="80"/>
      <c r="AR103" s="80"/>
      <c r="AS103" s="80"/>
      <c r="AT103" s="80"/>
      <c r="AU103" s="80"/>
      <c r="AV103" s="81" t="n">
        <f aca="false">IF(A103="",0,COUNTIFS(tbl_Beneficiaires_Activites[ID activite],A103))</f>
        <v>0</v>
      </c>
      <c r="AW103" s="80"/>
      <c r="AX103" s="80"/>
      <c r="AY103" s="80"/>
      <c r="AZ103" s="86"/>
      <c r="BA103" s="86"/>
      <c r="BB103" s="89"/>
      <c r="BC103" s="80"/>
      <c r="BD103" s="80"/>
      <c r="BE103" s="80"/>
      <c r="BF103" s="81" t="n">
        <f aca="false">IF(BD103="",0,BD103)-IF(BE103="",0,BE103)</f>
        <v>0</v>
      </c>
      <c r="BG103" s="82" t="n">
        <f aca="false">IF(OR(BD103="",BD103=0),0,BE103/BD103)</f>
        <v>0</v>
      </c>
      <c r="BH103" s="86"/>
      <c r="BI103" s="89"/>
      <c r="BJ103" s="80"/>
      <c r="BK103" s="80"/>
      <c r="BL103" s="86"/>
      <c r="BM103" s="89"/>
      <c r="BN103" s="89"/>
      <c r="BO103" s="89"/>
      <c r="BP103" s="89"/>
      <c r="BQ103" s="80"/>
      <c r="BR103" s="86"/>
      <c r="BS103" s="89"/>
      <c r="BT103" s="89"/>
      <c r="BU103" s="89"/>
      <c r="BV103" s="81" t="str">
        <f aca="false">IF(OR(AO103="",AV103=""),"",AV103-AO103)</f>
        <v/>
      </c>
      <c r="BW103" s="81" t="str">
        <f aca="false">IF(OR(BE103="",BD103=""),"",BE103-BD103)</f>
        <v/>
      </c>
      <c r="BX103" s="86"/>
      <c r="BY103" s="86"/>
      <c r="BZ103" s="86"/>
      <c r="CA103" s="86"/>
      <c r="CB103" s="89"/>
      <c r="CC103" s="89"/>
      <c r="CD103" s="83"/>
      <c r="CE103" s="86"/>
      <c r="CF103" s="79"/>
      <c r="CG103" s="89"/>
      <c r="CH103" s="86"/>
      <c r="CI103" s="89"/>
      <c r="CJ103" s="89"/>
      <c r="CK103" s="81" t="n">
        <f aca="false">IF(A103="",0,COUNTIF(tbl_Activites_Documents[ID Activite],A103))</f>
        <v>0</v>
      </c>
      <c r="CL103" s="81" t="n">
        <f aca="false">IF(A103="",0,COUNTIF(tbl_Activites_Risques[ID Activite],A103))</f>
        <v>0</v>
      </c>
      <c r="CM103" s="61" t="str">
        <f aca="false">IF(A103="","",IF(BE103&gt;BD103,"OUI","NON"))</f>
        <v/>
      </c>
      <c r="CN103" s="89"/>
    </row>
    <row r="104" customFormat="false" ht="30" hidden="false" customHeight="true" outlineLevel="0" collapsed="false">
      <c r="A104" s="61" t="str">
        <f aca="false">IF(G104="","","ACT"&amp;TEXT(ROW()-55,"00000"))</f>
        <v/>
      </c>
      <c r="B104" s="89"/>
      <c r="C104" s="86"/>
      <c r="D104" s="90" t="n">
        <f aca="false">IFERROR(INDEX(tbl_Projets[Titre complet du projet],MATCH(C104,tbl_Projets[ID Projet],0)),"")</f>
        <v>0</v>
      </c>
      <c r="E104" s="61" t="n">
        <f aca="false">IFERROR(INDEX(tbl_Projets[Domaine d''intervention],MATCH(C104,tbl_Projets[ID Projet],0)),"")</f>
        <v>0</v>
      </c>
      <c r="F104" s="61" t="n">
        <f aca="false">IFERROR(INDEX(tbl_Projets[Nom du responsable],MATCH(C104,tbl_Projets[ID Projet],0)),"")</f>
        <v>0</v>
      </c>
      <c r="G104" s="89"/>
      <c r="H104" s="89"/>
      <c r="I104" s="89"/>
      <c r="J104" s="86"/>
      <c r="K104" s="86"/>
      <c r="L104" s="79"/>
      <c r="M104" s="91"/>
      <c r="N104" s="91"/>
      <c r="O104" s="92" t="str">
        <f aca="false">IF(OR(M104="",N104=""),"",(N104-M104)*24)</f>
        <v/>
      </c>
      <c r="P104" s="86"/>
      <c r="Q104" s="93" t="str">
        <f aca="false">IF(L104="","",INDEX(PARAMETRES!$B$53:$B$65,MONTH(L104)))</f>
        <v/>
      </c>
      <c r="R104" s="93" t="str">
        <f aca="false">IF(L104="","",INDEX(PARAMETRES!$C$53:$C$65,MONTH(L104)))</f>
        <v/>
      </c>
      <c r="S104" s="61" t="str">
        <f aca="false">IF(L104="","",YEAR(L104))</f>
        <v/>
      </c>
      <c r="T104" s="79"/>
      <c r="U104" s="91"/>
      <c r="V104" s="91"/>
      <c r="W104" s="92" t="str">
        <f aca="false">IF(OR(U104="",V104=""),"",(V104-U104)*24)</f>
        <v/>
      </c>
      <c r="X104" s="86"/>
      <c r="Y104" s="83"/>
      <c r="Z104" s="86"/>
      <c r="AA104" s="81" t="str">
        <f aca="false">IF(AND(L104&lt;&gt;"",T104&lt;&gt;""),T104-L104,"")</f>
        <v/>
      </c>
      <c r="AB104" s="61" t="str">
        <f aca="true">IF(L104="","",IF(AND(TODAY()&gt;L104,T104="",NOT(OR(Z104="Realisee",Z104="Annulee"))),"OUI","NON"))</f>
        <v/>
      </c>
      <c r="AC104" s="89"/>
      <c r="AD104" s="89"/>
      <c r="AE104" s="86"/>
      <c r="AF104" s="89"/>
      <c r="AG104" s="89"/>
      <c r="AH104" s="86"/>
      <c r="AI104" s="61" t="str">
        <f aca="false">IFERROR(INDEX(PARAMETRES!$B$536:$B$586,MATCH(AH104,PARAMETRES!$J$536:$J$586,0)),"")</f>
        <v/>
      </c>
      <c r="AJ104" s="61" t="str">
        <f aca="false">IFERROR(INDEX(PARAMETRES!$D$536:$D$586,MATCH(AH104,PARAMETRES!$J$536:$J$586,0)),"")</f>
        <v/>
      </c>
      <c r="AK104" s="61" t="str">
        <f aca="false">IFERROR(INDEX(PARAMETRES!$F$536:$F$586,MATCH(AH104,PARAMETRES!$J$536:$J$586,0)),"")</f>
        <v/>
      </c>
      <c r="AL104" s="61" t="str">
        <f aca="false">IFERROR(INDEX(PARAMETRES!$H$536:$H$586,MATCH(AH104,PARAMETRES!$J$536:$J$586,0)),"")</f>
        <v/>
      </c>
      <c r="AM104" s="89"/>
      <c r="AN104" s="89"/>
      <c r="AO104" s="80"/>
      <c r="AP104" s="80"/>
      <c r="AQ104" s="80"/>
      <c r="AR104" s="80"/>
      <c r="AS104" s="80"/>
      <c r="AT104" s="80"/>
      <c r="AU104" s="80"/>
      <c r="AV104" s="81" t="n">
        <f aca="false">IF(A104="",0,COUNTIFS(tbl_Beneficiaires_Activites[ID activite],A104))</f>
        <v>0</v>
      </c>
      <c r="AW104" s="80"/>
      <c r="AX104" s="80"/>
      <c r="AY104" s="80"/>
      <c r="AZ104" s="86"/>
      <c r="BA104" s="86"/>
      <c r="BB104" s="89"/>
      <c r="BC104" s="80"/>
      <c r="BD104" s="80"/>
      <c r="BE104" s="80"/>
      <c r="BF104" s="81" t="n">
        <f aca="false">IF(BD104="",0,BD104)-IF(BE104="",0,BE104)</f>
        <v>0</v>
      </c>
      <c r="BG104" s="82" t="n">
        <f aca="false">IF(OR(BD104="",BD104=0),0,BE104/BD104)</f>
        <v>0</v>
      </c>
      <c r="BH104" s="86"/>
      <c r="BI104" s="89"/>
      <c r="BJ104" s="80"/>
      <c r="BK104" s="80"/>
      <c r="BL104" s="86"/>
      <c r="BM104" s="89"/>
      <c r="BN104" s="89"/>
      <c r="BO104" s="89"/>
      <c r="BP104" s="89"/>
      <c r="BQ104" s="80"/>
      <c r="BR104" s="86"/>
      <c r="BS104" s="89"/>
      <c r="BT104" s="89"/>
      <c r="BU104" s="89"/>
      <c r="BV104" s="81" t="str">
        <f aca="false">IF(OR(AO104="",AV104=""),"",AV104-AO104)</f>
        <v/>
      </c>
      <c r="BW104" s="81" t="str">
        <f aca="false">IF(OR(BE104="",BD104=""),"",BE104-BD104)</f>
        <v/>
      </c>
      <c r="BX104" s="86"/>
      <c r="BY104" s="86"/>
      <c r="BZ104" s="86"/>
      <c r="CA104" s="86"/>
      <c r="CB104" s="89"/>
      <c r="CC104" s="89"/>
      <c r="CD104" s="83"/>
      <c r="CE104" s="86"/>
      <c r="CF104" s="79"/>
      <c r="CG104" s="89"/>
      <c r="CH104" s="86"/>
      <c r="CI104" s="89"/>
      <c r="CJ104" s="89"/>
      <c r="CK104" s="81" t="n">
        <f aca="false">IF(A104="",0,COUNTIF(tbl_Activites_Documents[ID Activite],A104))</f>
        <v>0</v>
      </c>
      <c r="CL104" s="81" t="n">
        <f aca="false">IF(A104="",0,COUNTIF(tbl_Activites_Risques[ID Activite],A104))</f>
        <v>0</v>
      </c>
      <c r="CM104" s="61" t="str">
        <f aca="false">IF(A104="","",IF(BE104&gt;BD104,"OUI","NON"))</f>
        <v/>
      </c>
      <c r="CN104" s="89"/>
    </row>
    <row r="105" customFormat="false" ht="30" hidden="false" customHeight="true" outlineLevel="0" collapsed="false">
      <c r="A105" s="61" t="str">
        <f aca="false">IF(G105="","","ACT"&amp;TEXT(ROW()-55,"00000"))</f>
        <v/>
      </c>
      <c r="B105" s="89"/>
      <c r="C105" s="86"/>
      <c r="D105" s="90" t="n">
        <f aca="false">IFERROR(INDEX(tbl_Projets[Titre complet du projet],MATCH(C105,tbl_Projets[ID Projet],0)),"")</f>
        <v>0</v>
      </c>
      <c r="E105" s="61" t="n">
        <f aca="false">IFERROR(INDEX(tbl_Projets[Domaine d''intervention],MATCH(C105,tbl_Projets[ID Projet],0)),"")</f>
        <v>0</v>
      </c>
      <c r="F105" s="61" t="n">
        <f aca="false">IFERROR(INDEX(tbl_Projets[Nom du responsable],MATCH(C105,tbl_Projets[ID Projet],0)),"")</f>
        <v>0</v>
      </c>
      <c r="G105" s="89"/>
      <c r="H105" s="89"/>
      <c r="I105" s="89"/>
      <c r="J105" s="86"/>
      <c r="K105" s="86"/>
      <c r="L105" s="79"/>
      <c r="M105" s="91"/>
      <c r="N105" s="91"/>
      <c r="O105" s="92" t="str">
        <f aca="false">IF(OR(M105="",N105=""),"",(N105-M105)*24)</f>
        <v/>
      </c>
      <c r="P105" s="86"/>
      <c r="Q105" s="93" t="str">
        <f aca="false">IF(L105="","",INDEX(PARAMETRES!$B$53:$B$65,MONTH(L105)))</f>
        <v/>
      </c>
      <c r="R105" s="93" t="str">
        <f aca="false">IF(L105="","",INDEX(PARAMETRES!$C$53:$C$65,MONTH(L105)))</f>
        <v/>
      </c>
      <c r="S105" s="61" t="str">
        <f aca="false">IF(L105="","",YEAR(L105))</f>
        <v/>
      </c>
      <c r="T105" s="79"/>
      <c r="U105" s="91"/>
      <c r="V105" s="91"/>
      <c r="W105" s="92" t="str">
        <f aca="false">IF(OR(U105="",V105=""),"",(V105-U105)*24)</f>
        <v/>
      </c>
      <c r="X105" s="86"/>
      <c r="Y105" s="83"/>
      <c r="Z105" s="86"/>
      <c r="AA105" s="81" t="str">
        <f aca="false">IF(AND(L105&lt;&gt;"",T105&lt;&gt;""),T105-L105,"")</f>
        <v/>
      </c>
      <c r="AB105" s="61" t="str">
        <f aca="true">IF(L105="","",IF(AND(TODAY()&gt;L105,T105="",NOT(OR(Z105="Realisee",Z105="Annulee"))),"OUI","NON"))</f>
        <v/>
      </c>
      <c r="AC105" s="89"/>
      <c r="AD105" s="89"/>
      <c r="AE105" s="86"/>
      <c r="AF105" s="89"/>
      <c r="AG105" s="89"/>
      <c r="AH105" s="86"/>
      <c r="AI105" s="61" t="str">
        <f aca="false">IFERROR(INDEX(PARAMETRES!$B$536:$B$586,MATCH(AH105,PARAMETRES!$J$536:$J$586,0)),"")</f>
        <v/>
      </c>
      <c r="AJ105" s="61" t="str">
        <f aca="false">IFERROR(INDEX(PARAMETRES!$D$536:$D$586,MATCH(AH105,PARAMETRES!$J$536:$J$586,0)),"")</f>
        <v/>
      </c>
      <c r="AK105" s="61" t="str">
        <f aca="false">IFERROR(INDEX(PARAMETRES!$F$536:$F$586,MATCH(AH105,PARAMETRES!$J$536:$J$586,0)),"")</f>
        <v/>
      </c>
      <c r="AL105" s="61" t="str">
        <f aca="false">IFERROR(INDEX(PARAMETRES!$H$536:$H$586,MATCH(AH105,PARAMETRES!$J$536:$J$586,0)),"")</f>
        <v/>
      </c>
      <c r="AM105" s="89"/>
      <c r="AN105" s="89"/>
      <c r="AO105" s="80"/>
      <c r="AP105" s="80"/>
      <c r="AQ105" s="80"/>
      <c r="AR105" s="80"/>
      <c r="AS105" s="80"/>
      <c r="AT105" s="80"/>
      <c r="AU105" s="80"/>
      <c r="AV105" s="81" t="n">
        <f aca="false">IF(A105="",0,COUNTIFS(tbl_Beneficiaires_Activites[ID activite],A105))</f>
        <v>0</v>
      </c>
      <c r="AW105" s="80"/>
      <c r="AX105" s="80"/>
      <c r="AY105" s="80"/>
      <c r="AZ105" s="86"/>
      <c r="BA105" s="86"/>
      <c r="BB105" s="89"/>
      <c r="BC105" s="80"/>
      <c r="BD105" s="80"/>
      <c r="BE105" s="80"/>
      <c r="BF105" s="81" t="n">
        <f aca="false">IF(BD105="",0,BD105)-IF(BE105="",0,BE105)</f>
        <v>0</v>
      </c>
      <c r="BG105" s="82" t="n">
        <f aca="false">IF(OR(BD105="",BD105=0),0,BE105/BD105)</f>
        <v>0</v>
      </c>
      <c r="BH105" s="86"/>
      <c r="BI105" s="89"/>
      <c r="BJ105" s="80"/>
      <c r="BK105" s="80"/>
      <c r="BL105" s="86"/>
      <c r="BM105" s="89"/>
      <c r="BN105" s="89"/>
      <c r="BO105" s="89"/>
      <c r="BP105" s="89"/>
      <c r="BQ105" s="80"/>
      <c r="BR105" s="86"/>
      <c r="BS105" s="89"/>
      <c r="BT105" s="89"/>
      <c r="BU105" s="89"/>
      <c r="BV105" s="81" t="str">
        <f aca="false">IF(OR(AO105="",AV105=""),"",AV105-AO105)</f>
        <v/>
      </c>
      <c r="BW105" s="81" t="str">
        <f aca="false">IF(OR(BE105="",BD105=""),"",BE105-BD105)</f>
        <v/>
      </c>
      <c r="BX105" s="86"/>
      <c r="BY105" s="86"/>
      <c r="BZ105" s="86"/>
      <c r="CA105" s="86"/>
      <c r="CB105" s="89"/>
      <c r="CC105" s="89"/>
      <c r="CD105" s="83"/>
      <c r="CE105" s="86"/>
      <c r="CF105" s="79"/>
      <c r="CG105" s="89"/>
      <c r="CH105" s="86"/>
      <c r="CI105" s="89"/>
      <c r="CJ105" s="89"/>
      <c r="CK105" s="81" t="n">
        <f aca="false">IF(A105="",0,COUNTIF(tbl_Activites_Documents[ID Activite],A105))</f>
        <v>0</v>
      </c>
      <c r="CL105" s="81" t="n">
        <f aca="false">IF(A105="",0,COUNTIF(tbl_Activites_Risques[ID Activite],A105))</f>
        <v>0</v>
      </c>
      <c r="CM105" s="61" t="str">
        <f aca="false">IF(A105="","",IF(BE105&gt;BD105,"OUI","NON"))</f>
        <v/>
      </c>
      <c r="CN105" s="89"/>
    </row>
    <row r="108" customFormat="false" ht="15.75" hidden="false" customHeight="true" outlineLevel="0" collapsed="false">
      <c r="A108" s="55" t="s">
        <v>1762</v>
      </c>
      <c r="B108" s="55"/>
      <c r="C108" s="55"/>
      <c r="D108" s="55"/>
      <c r="E108" s="55"/>
      <c r="F108" s="55"/>
    </row>
    <row r="109" customFormat="false" ht="25.5" hidden="false" customHeight="true" outlineLevel="0" collapsed="false">
      <c r="A109" s="59" t="s">
        <v>1696</v>
      </c>
      <c r="B109" s="59" t="s">
        <v>1644</v>
      </c>
      <c r="C109" s="59" t="s">
        <v>1467</v>
      </c>
      <c r="D109" s="59" t="s">
        <v>1298</v>
      </c>
      <c r="E109" s="59" t="s">
        <v>1763</v>
      </c>
      <c r="F109" s="59" t="s">
        <v>1547</v>
      </c>
    </row>
    <row r="110" customFormat="false" ht="15" hidden="false" customHeight="true" outlineLevel="0" collapsed="false">
      <c r="A110" s="86"/>
      <c r="B110" s="86"/>
      <c r="C110" s="89"/>
      <c r="D110" s="89"/>
      <c r="E110" s="86"/>
      <c r="F110" s="86"/>
    </row>
    <row r="111" customFormat="false" ht="15" hidden="false" customHeight="true" outlineLevel="0" collapsed="false">
      <c r="A111" s="86"/>
      <c r="B111" s="86"/>
      <c r="C111" s="89"/>
      <c r="D111" s="89"/>
      <c r="E111" s="86"/>
      <c r="F111" s="86"/>
    </row>
    <row r="112" customFormat="false" ht="15" hidden="false" customHeight="true" outlineLevel="0" collapsed="false">
      <c r="A112" s="86"/>
      <c r="B112" s="86"/>
      <c r="C112" s="89"/>
      <c r="D112" s="89"/>
      <c r="E112" s="86"/>
      <c r="F112" s="86"/>
    </row>
    <row r="113" customFormat="false" ht="15" hidden="false" customHeight="true" outlineLevel="0" collapsed="false">
      <c r="A113" s="86"/>
      <c r="B113" s="86"/>
      <c r="C113" s="89"/>
      <c r="D113" s="89"/>
      <c r="E113" s="86"/>
      <c r="F113" s="86"/>
    </row>
    <row r="114" customFormat="false" ht="15" hidden="false" customHeight="true" outlineLevel="0" collapsed="false">
      <c r="A114" s="86"/>
      <c r="B114" s="86"/>
      <c r="C114" s="89"/>
      <c r="D114" s="89"/>
      <c r="E114" s="86"/>
      <c r="F114" s="86"/>
    </row>
    <row r="115" customFormat="false" ht="15" hidden="false" customHeight="true" outlineLevel="0" collapsed="false">
      <c r="A115" s="86"/>
      <c r="B115" s="86"/>
      <c r="C115" s="89"/>
      <c r="D115" s="89"/>
      <c r="E115" s="86"/>
      <c r="F115" s="86"/>
    </row>
    <row r="116" customFormat="false" ht="15" hidden="false" customHeight="true" outlineLevel="0" collapsed="false">
      <c r="A116" s="86"/>
      <c r="B116" s="86"/>
      <c r="C116" s="89"/>
      <c r="D116" s="89"/>
      <c r="E116" s="86"/>
      <c r="F116" s="86"/>
    </row>
    <row r="117" customFormat="false" ht="15" hidden="false" customHeight="true" outlineLevel="0" collapsed="false">
      <c r="A117" s="86"/>
      <c r="B117" s="86"/>
      <c r="C117" s="89"/>
      <c r="D117" s="89"/>
      <c r="E117" s="86"/>
      <c r="F117" s="86"/>
    </row>
    <row r="118" customFormat="false" ht="15" hidden="false" customHeight="true" outlineLevel="0" collapsed="false">
      <c r="A118" s="86"/>
      <c r="B118" s="86"/>
      <c r="C118" s="89"/>
      <c r="D118" s="89"/>
      <c r="E118" s="86"/>
      <c r="F118" s="86"/>
    </row>
    <row r="119" customFormat="false" ht="15" hidden="false" customHeight="true" outlineLevel="0" collapsed="false">
      <c r="A119" s="86"/>
      <c r="B119" s="86"/>
      <c r="C119" s="89"/>
      <c r="D119" s="89"/>
      <c r="E119" s="86"/>
      <c r="F119" s="86"/>
    </row>
    <row r="120" customFormat="false" ht="15" hidden="false" customHeight="true" outlineLevel="0" collapsed="false">
      <c r="A120" s="86"/>
      <c r="B120" s="86"/>
      <c r="C120" s="89"/>
      <c r="D120" s="89"/>
      <c r="E120" s="86"/>
      <c r="F120" s="86"/>
    </row>
    <row r="121" customFormat="false" ht="15" hidden="false" customHeight="true" outlineLevel="0" collapsed="false">
      <c r="A121" s="86"/>
      <c r="B121" s="86"/>
      <c r="C121" s="89"/>
      <c r="D121" s="89"/>
      <c r="E121" s="86"/>
      <c r="F121" s="86"/>
    </row>
    <row r="122" customFormat="false" ht="15" hidden="false" customHeight="true" outlineLevel="0" collapsed="false">
      <c r="A122" s="86"/>
      <c r="B122" s="86"/>
      <c r="C122" s="89"/>
      <c r="D122" s="89"/>
      <c r="E122" s="86"/>
      <c r="F122" s="86"/>
    </row>
    <row r="123" customFormat="false" ht="15" hidden="false" customHeight="true" outlineLevel="0" collapsed="false">
      <c r="A123" s="86"/>
      <c r="B123" s="86"/>
      <c r="C123" s="89"/>
      <c r="D123" s="89"/>
      <c r="E123" s="86"/>
      <c r="F123" s="86"/>
    </row>
    <row r="124" customFormat="false" ht="15" hidden="false" customHeight="true" outlineLevel="0" collapsed="false">
      <c r="A124" s="86"/>
      <c r="B124" s="86"/>
      <c r="C124" s="89"/>
      <c r="D124" s="89"/>
      <c r="E124" s="86"/>
      <c r="F124" s="86"/>
    </row>
    <row r="125" customFormat="false" ht="15" hidden="false" customHeight="true" outlineLevel="0" collapsed="false">
      <c r="A125" s="86"/>
      <c r="B125" s="86"/>
      <c r="C125" s="89"/>
      <c r="D125" s="89"/>
      <c r="E125" s="86"/>
      <c r="F125" s="86"/>
    </row>
    <row r="126" customFormat="false" ht="15" hidden="false" customHeight="true" outlineLevel="0" collapsed="false">
      <c r="A126" s="86"/>
      <c r="B126" s="86"/>
      <c r="C126" s="89"/>
      <c r="D126" s="89"/>
      <c r="E126" s="86"/>
      <c r="F126" s="86"/>
    </row>
    <row r="127" customFormat="false" ht="15" hidden="false" customHeight="true" outlineLevel="0" collapsed="false">
      <c r="A127" s="86"/>
      <c r="B127" s="86"/>
      <c r="C127" s="89"/>
      <c r="D127" s="89"/>
      <c r="E127" s="86"/>
      <c r="F127" s="86"/>
    </row>
    <row r="128" customFormat="false" ht="15" hidden="false" customHeight="true" outlineLevel="0" collapsed="false">
      <c r="A128" s="86"/>
      <c r="B128" s="86"/>
      <c r="C128" s="89"/>
      <c r="D128" s="89"/>
      <c r="E128" s="86"/>
      <c r="F128" s="86"/>
    </row>
    <row r="129" customFormat="false" ht="15" hidden="false" customHeight="true" outlineLevel="0" collapsed="false">
      <c r="A129" s="86"/>
      <c r="B129" s="86"/>
      <c r="C129" s="89"/>
      <c r="D129" s="89"/>
      <c r="E129" s="86"/>
      <c r="F129" s="86"/>
    </row>
    <row r="130" customFormat="false" ht="15" hidden="false" customHeight="true" outlineLevel="0" collapsed="false">
      <c r="A130" s="86"/>
      <c r="B130" s="86"/>
      <c r="C130" s="89"/>
      <c r="D130" s="89"/>
      <c r="E130" s="86"/>
      <c r="F130" s="86"/>
    </row>
    <row r="131" customFormat="false" ht="15" hidden="false" customHeight="true" outlineLevel="0" collapsed="false">
      <c r="A131" s="86"/>
      <c r="B131" s="86"/>
      <c r="C131" s="89"/>
      <c r="D131" s="89"/>
      <c r="E131" s="86"/>
      <c r="F131" s="86"/>
    </row>
    <row r="132" customFormat="false" ht="15" hidden="false" customHeight="true" outlineLevel="0" collapsed="false">
      <c r="A132" s="86"/>
      <c r="B132" s="86"/>
      <c r="C132" s="89"/>
      <c r="D132" s="89"/>
      <c r="E132" s="86"/>
      <c r="F132" s="86"/>
    </row>
    <row r="133" customFormat="false" ht="15" hidden="false" customHeight="true" outlineLevel="0" collapsed="false">
      <c r="A133" s="86"/>
      <c r="B133" s="86"/>
      <c r="C133" s="89"/>
      <c r="D133" s="89"/>
      <c r="E133" s="86"/>
      <c r="F133" s="86"/>
    </row>
    <row r="134" customFormat="false" ht="15" hidden="false" customHeight="true" outlineLevel="0" collapsed="false">
      <c r="A134" s="86"/>
      <c r="B134" s="86"/>
      <c r="C134" s="89"/>
      <c r="D134" s="89"/>
      <c r="E134" s="86"/>
      <c r="F134" s="86"/>
    </row>
    <row r="135" customFormat="false" ht="15" hidden="false" customHeight="true" outlineLevel="0" collapsed="false">
      <c r="A135" s="86"/>
      <c r="B135" s="86"/>
      <c r="C135" s="89"/>
      <c r="D135" s="89"/>
      <c r="E135" s="86"/>
      <c r="F135" s="86"/>
    </row>
    <row r="136" customFormat="false" ht="15" hidden="false" customHeight="true" outlineLevel="0" collapsed="false">
      <c r="A136" s="86"/>
      <c r="B136" s="86"/>
      <c r="C136" s="89"/>
      <c r="D136" s="89"/>
      <c r="E136" s="86"/>
      <c r="F136" s="86"/>
    </row>
    <row r="137" customFormat="false" ht="15" hidden="false" customHeight="true" outlineLevel="0" collapsed="false">
      <c r="A137" s="86"/>
      <c r="B137" s="86"/>
      <c r="C137" s="89"/>
      <c r="D137" s="89"/>
      <c r="E137" s="86"/>
      <c r="F137" s="86"/>
    </row>
    <row r="138" customFormat="false" ht="15" hidden="false" customHeight="true" outlineLevel="0" collapsed="false">
      <c r="A138" s="86"/>
      <c r="B138" s="86"/>
      <c r="C138" s="89"/>
      <c r="D138" s="89"/>
      <c r="E138" s="86"/>
      <c r="F138" s="86"/>
    </row>
    <row r="139" customFormat="false" ht="15" hidden="false" customHeight="true" outlineLevel="0" collapsed="false">
      <c r="A139" s="86"/>
      <c r="B139" s="86"/>
      <c r="C139" s="89"/>
      <c r="D139" s="89"/>
      <c r="E139" s="86"/>
      <c r="F139" s="86"/>
    </row>
    <row r="142" customFormat="false" ht="15.75" hidden="false" customHeight="true" outlineLevel="0" collapsed="false">
      <c r="A142" s="55" t="s">
        <v>1764</v>
      </c>
      <c r="B142" s="55"/>
      <c r="C142" s="55"/>
      <c r="D142" s="55"/>
      <c r="E142" s="55"/>
      <c r="F142" s="55"/>
      <c r="G142" s="55"/>
    </row>
    <row r="143" customFormat="false" ht="15" hidden="false" customHeight="true" outlineLevel="0" collapsed="false">
      <c r="A143" s="59" t="s">
        <v>1696</v>
      </c>
      <c r="B143" s="59" t="s">
        <v>1678</v>
      </c>
      <c r="C143" s="59" t="s">
        <v>1638</v>
      </c>
      <c r="D143" s="59" t="s">
        <v>775</v>
      </c>
      <c r="E143" s="59" t="s">
        <v>1640</v>
      </c>
      <c r="F143" s="59" t="s">
        <v>1641</v>
      </c>
      <c r="G143" s="59" t="s">
        <v>1679</v>
      </c>
    </row>
    <row r="144" customFormat="false" ht="15" hidden="false" customHeight="true" outlineLevel="0" collapsed="false">
      <c r="A144" s="86"/>
      <c r="B144" s="86"/>
      <c r="C144" s="89"/>
      <c r="D144" s="89"/>
      <c r="E144" s="86"/>
      <c r="F144" s="86"/>
      <c r="G144" s="82" t="str">
        <f aca="false">IF(OR(E144="",E144=0,F144=""),"",F144/E144)</f>
        <v/>
      </c>
    </row>
    <row r="145" customFormat="false" ht="15" hidden="false" customHeight="true" outlineLevel="0" collapsed="false">
      <c r="A145" s="86"/>
      <c r="B145" s="86"/>
      <c r="C145" s="89"/>
      <c r="D145" s="89"/>
      <c r="E145" s="86"/>
      <c r="F145" s="86"/>
      <c r="G145" s="82" t="str">
        <f aca="false">IF(OR(E145="",E145=0,F145=""),"",F145/E145)</f>
        <v/>
      </c>
    </row>
    <row r="146" customFormat="false" ht="15" hidden="false" customHeight="true" outlineLevel="0" collapsed="false">
      <c r="A146" s="86"/>
      <c r="B146" s="86"/>
      <c r="C146" s="89"/>
      <c r="D146" s="89"/>
      <c r="E146" s="86"/>
      <c r="F146" s="86"/>
      <c r="G146" s="82" t="str">
        <f aca="false">IF(OR(E146="",E146=0,F146=""),"",F146/E146)</f>
        <v/>
      </c>
    </row>
    <row r="147" customFormat="false" ht="15" hidden="false" customHeight="true" outlineLevel="0" collapsed="false">
      <c r="A147" s="86"/>
      <c r="B147" s="86"/>
      <c r="C147" s="89"/>
      <c r="D147" s="89"/>
      <c r="E147" s="86"/>
      <c r="F147" s="86"/>
      <c r="G147" s="82" t="str">
        <f aca="false">IF(OR(E147="",E147=0,F147=""),"",F147/E147)</f>
        <v/>
      </c>
    </row>
    <row r="148" customFormat="false" ht="15" hidden="false" customHeight="true" outlineLevel="0" collapsed="false">
      <c r="A148" s="86"/>
      <c r="B148" s="86"/>
      <c r="C148" s="89"/>
      <c r="D148" s="89"/>
      <c r="E148" s="86"/>
      <c r="F148" s="86"/>
      <c r="G148" s="82" t="str">
        <f aca="false">IF(OR(E148="",E148=0,F148=""),"",F148/E148)</f>
        <v/>
      </c>
    </row>
    <row r="149" customFormat="false" ht="15" hidden="false" customHeight="true" outlineLevel="0" collapsed="false">
      <c r="A149" s="86"/>
      <c r="B149" s="86"/>
      <c r="C149" s="89"/>
      <c r="D149" s="89"/>
      <c r="E149" s="86"/>
      <c r="F149" s="86"/>
      <c r="G149" s="82" t="str">
        <f aca="false">IF(OR(E149="",E149=0,F149=""),"",F149/E149)</f>
        <v/>
      </c>
    </row>
    <row r="150" customFormat="false" ht="15" hidden="false" customHeight="true" outlineLevel="0" collapsed="false">
      <c r="A150" s="86"/>
      <c r="B150" s="86"/>
      <c r="C150" s="89"/>
      <c r="D150" s="89"/>
      <c r="E150" s="86"/>
      <c r="F150" s="86"/>
      <c r="G150" s="82" t="str">
        <f aca="false">IF(OR(E150="",E150=0,F150=""),"",F150/E150)</f>
        <v/>
      </c>
    </row>
    <row r="151" customFormat="false" ht="15" hidden="false" customHeight="true" outlineLevel="0" collapsed="false">
      <c r="A151" s="86"/>
      <c r="B151" s="86"/>
      <c r="C151" s="89"/>
      <c r="D151" s="89"/>
      <c r="E151" s="86"/>
      <c r="F151" s="86"/>
      <c r="G151" s="82" t="str">
        <f aca="false">IF(OR(E151="",E151=0,F151=""),"",F151/E151)</f>
        <v/>
      </c>
    </row>
    <row r="152" customFormat="false" ht="15" hidden="false" customHeight="true" outlineLevel="0" collapsed="false">
      <c r="A152" s="86"/>
      <c r="B152" s="86"/>
      <c r="C152" s="89"/>
      <c r="D152" s="89"/>
      <c r="E152" s="86"/>
      <c r="F152" s="86"/>
      <c r="G152" s="82" t="str">
        <f aca="false">IF(OR(E152="",E152=0,F152=""),"",F152/E152)</f>
        <v/>
      </c>
    </row>
    <row r="153" customFormat="false" ht="15" hidden="false" customHeight="true" outlineLevel="0" collapsed="false">
      <c r="A153" s="86"/>
      <c r="B153" s="86"/>
      <c r="C153" s="89"/>
      <c r="D153" s="89"/>
      <c r="E153" s="86"/>
      <c r="F153" s="86"/>
      <c r="G153" s="82" t="str">
        <f aca="false">IF(OR(E153="",E153=0,F153=""),"",F153/E153)</f>
        <v/>
      </c>
    </row>
    <row r="154" customFormat="false" ht="15" hidden="false" customHeight="true" outlineLevel="0" collapsed="false">
      <c r="A154" s="86"/>
      <c r="B154" s="86"/>
      <c r="C154" s="89"/>
      <c r="D154" s="89"/>
      <c r="E154" s="86"/>
      <c r="F154" s="86"/>
      <c r="G154" s="82" t="str">
        <f aca="false">IF(OR(E154="",E154=0,F154=""),"",F154/E154)</f>
        <v/>
      </c>
    </row>
    <row r="155" customFormat="false" ht="15" hidden="false" customHeight="true" outlineLevel="0" collapsed="false">
      <c r="A155" s="86"/>
      <c r="B155" s="86"/>
      <c r="C155" s="89"/>
      <c r="D155" s="89"/>
      <c r="E155" s="86"/>
      <c r="F155" s="86"/>
      <c r="G155" s="82" t="str">
        <f aca="false">IF(OR(E155="",E155=0,F155=""),"",F155/E155)</f>
        <v/>
      </c>
    </row>
    <row r="156" customFormat="false" ht="15" hidden="false" customHeight="true" outlineLevel="0" collapsed="false">
      <c r="A156" s="86"/>
      <c r="B156" s="86"/>
      <c r="C156" s="89"/>
      <c r="D156" s="89"/>
      <c r="E156" s="86"/>
      <c r="F156" s="86"/>
      <c r="G156" s="82" t="str">
        <f aca="false">IF(OR(E156="",E156=0,F156=""),"",F156/E156)</f>
        <v/>
      </c>
    </row>
    <row r="157" customFormat="false" ht="15" hidden="false" customHeight="true" outlineLevel="0" collapsed="false">
      <c r="A157" s="86"/>
      <c r="B157" s="86"/>
      <c r="C157" s="89"/>
      <c r="D157" s="89"/>
      <c r="E157" s="86"/>
      <c r="F157" s="86"/>
      <c r="G157" s="82" t="str">
        <f aca="false">IF(OR(E157="",E157=0,F157=""),"",F157/E157)</f>
        <v/>
      </c>
    </row>
    <row r="158" customFormat="false" ht="15" hidden="false" customHeight="true" outlineLevel="0" collapsed="false">
      <c r="A158" s="86"/>
      <c r="B158" s="86"/>
      <c r="C158" s="89"/>
      <c r="D158" s="89"/>
      <c r="E158" s="86"/>
      <c r="F158" s="86"/>
      <c r="G158" s="82" t="str">
        <f aca="false">IF(OR(E158="",E158=0,F158=""),"",F158/E158)</f>
        <v/>
      </c>
    </row>
    <row r="159" customFormat="false" ht="15" hidden="false" customHeight="true" outlineLevel="0" collapsed="false">
      <c r="A159" s="86"/>
      <c r="B159" s="86"/>
      <c r="C159" s="89"/>
      <c r="D159" s="89"/>
      <c r="E159" s="86"/>
      <c r="F159" s="86"/>
      <c r="G159" s="82" t="str">
        <f aca="false">IF(OR(E159="",E159=0,F159=""),"",F159/E159)</f>
        <v/>
      </c>
    </row>
    <row r="160" customFormat="false" ht="15" hidden="false" customHeight="true" outlineLevel="0" collapsed="false">
      <c r="A160" s="86"/>
      <c r="B160" s="86"/>
      <c r="C160" s="89"/>
      <c r="D160" s="89"/>
      <c r="E160" s="86"/>
      <c r="F160" s="86"/>
      <c r="G160" s="82" t="str">
        <f aca="false">IF(OR(E160="",E160=0,F160=""),"",F160/E160)</f>
        <v/>
      </c>
    </row>
    <row r="161" customFormat="false" ht="15" hidden="false" customHeight="true" outlineLevel="0" collapsed="false">
      <c r="A161" s="86"/>
      <c r="B161" s="86"/>
      <c r="C161" s="89"/>
      <c r="D161" s="89"/>
      <c r="E161" s="86"/>
      <c r="F161" s="86"/>
      <c r="G161" s="82" t="str">
        <f aca="false">IF(OR(E161="",E161=0,F161=""),"",F161/E161)</f>
        <v/>
      </c>
    </row>
    <row r="162" customFormat="false" ht="15" hidden="false" customHeight="true" outlineLevel="0" collapsed="false">
      <c r="A162" s="86"/>
      <c r="B162" s="86"/>
      <c r="C162" s="89"/>
      <c r="D162" s="89"/>
      <c r="E162" s="86"/>
      <c r="F162" s="86"/>
      <c r="G162" s="82" t="str">
        <f aca="false">IF(OR(E162="",E162=0,F162=""),"",F162/E162)</f>
        <v/>
      </c>
    </row>
    <row r="163" customFormat="false" ht="15" hidden="false" customHeight="true" outlineLevel="0" collapsed="false">
      <c r="A163" s="86"/>
      <c r="B163" s="86"/>
      <c r="C163" s="89"/>
      <c r="D163" s="89"/>
      <c r="E163" s="86"/>
      <c r="F163" s="86"/>
      <c r="G163" s="82" t="str">
        <f aca="false">IF(OR(E163="",E163=0,F163=""),"",F163/E163)</f>
        <v/>
      </c>
    </row>
    <row r="164" customFormat="false" ht="15" hidden="false" customHeight="true" outlineLevel="0" collapsed="false">
      <c r="A164" s="86"/>
      <c r="B164" s="86"/>
      <c r="C164" s="89"/>
      <c r="D164" s="89"/>
      <c r="E164" s="86"/>
      <c r="F164" s="86"/>
      <c r="G164" s="82" t="str">
        <f aca="false">IF(OR(E164="",E164=0,F164=""),"",F164/E164)</f>
        <v/>
      </c>
    </row>
    <row r="165" customFormat="false" ht="15" hidden="false" customHeight="true" outlineLevel="0" collapsed="false">
      <c r="A165" s="86"/>
      <c r="B165" s="86"/>
      <c r="C165" s="89"/>
      <c r="D165" s="89"/>
      <c r="E165" s="86"/>
      <c r="F165" s="86"/>
      <c r="G165" s="82" t="str">
        <f aca="false">IF(OR(E165="",E165=0,F165=""),"",F165/E165)</f>
        <v/>
      </c>
    </row>
    <row r="166" customFormat="false" ht="15" hidden="false" customHeight="true" outlineLevel="0" collapsed="false">
      <c r="A166" s="86"/>
      <c r="B166" s="86"/>
      <c r="C166" s="89"/>
      <c r="D166" s="89"/>
      <c r="E166" s="86"/>
      <c r="F166" s="86"/>
      <c r="G166" s="82" t="str">
        <f aca="false">IF(OR(E166="",E166=0,F166=""),"",F166/E166)</f>
        <v/>
      </c>
    </row>
    <row r="167" customFormat="false" ht="15" hidden="false" customHeight="true" outlineLevel="0" collapsed="false">
      <c r="A167" s="86"/>
      <c r="B167" s="86"/>
      <c r="C167" s="89"/>
      <c r="D167" s="89"/>
      <c r="E167" s="86"/>
      <c r="F167" s="86"/>
      <c r="G167" s="82" t="str">
        <f aca="false">IF(OR(E167="",E167=0,F167=""),"",F167/E167)</f>
        <v/>
      </c>
    </row>
    <row r="168" customFormat="false" ht="15" hidden="false" customHeight="true" outlineLevel="0" collapsed="false">
      <c r="A168" s="86"/>
      <c r="B168" s="86"/>
      <c r="C168" s="89"/>
      <c r="D168" s="89"/>
      <c r="E168" s="86"/>
      <c r="F168" s="86"/>
      <c r="G168" s="82" t="str">
        <f aca="false">IF(OR(E168="",E168=0,F168=""),"",F168/E168)</f>
        <v/>
      </c>
    </row>
    <row r="169" customFormat="false" ht="15" hidden="false" customHeight="true" outlineLevel="0" collapsed="false">
      <c r="A169" s="86"/>
      <c r="B169" s="86"/>
      <c r="C169" s="89"/>
      <c r="D169" s="89"/>
      <c r="E169" s="86"/>
      <c r="F169" s="86"/>
      <c r="G169" s="82" t="str">
        <f aca="false">IF(OR(E169="",E169=0,F169=""),"",F169/E169)</f>
        <v/>
      </c>
    </row>
    <row r="170" customFormat="false" ht="15" hidden="false" customHeight="true" outlineLevel="0" collapsed="false">
      <c r="A170" s="86"/>
      <c r="B170" s="86"/>
      <c r="C170" s="89"/>
      <c r="D170" s="89"/>
      <c r="E170" s="86"/>
      <c r="F170" s="86"/>
      <c r="G170" s="82" t="str">
        <f aca="false">IF(OR(E170="",E170=0,F170=""),"",F170/E170)</f>
        <v/>
      </c>
    </row>
    <row r="171" customFormat="false" ht="15" hidden="false" customHeight="true" outlineLevel="0" collapsed="false">
      <c r="A171" s="86"/>
      <c r="B171" s="86"/>
      <c r="C171" s="89"/>
      <c r="D171" s="89"/>
      <c r="E171" s="86"/>
      <c r="F171" s="86"/>
      <c r="G171" s="82" t="str">
        <f aca="false">IF(OR(E171="",E171=0,F171=""),"",F171/E171)</f>
        <v/>
      </c>
    </row>
    <row r="172" customFormat="false" ht="15" hidden="false" customHeight="true" outlineLevel="0" collapsed="false">
      <c r="A172" s="86"/>
      <c r="B172" s="86"/>
      <c r="C172" s="89"/>
      <c r="D172" s="89"/>
      <c r="E172" s="86"/>
      <c r="F172" s="86"/>
      <c r="G172" s="82" t="str">
        <f aca="false">IF(OR(E172="",E172=0,F172=""),"",F172/E172)</f>
        <v/>
      </c>
    </row>
    <row r="173" customFormat="false" ht="15" hidden="false" customHeight="true" outlineLevel="0" collapsed="false">
      <c r="A173" s="86"/>
      <c r="B173" s="86"/>
      <c r="C173" s="89"/>
      <c r="D173" s="89"/>
      <c r="E173" s="86"/>
      <c r="F173" s="86"/>
      <c r="G173" s="82" t="str">
        <f aca="false">IF(OR(E173="",E173=0,F173=""),"",F173/E173)</f>
        <v/>
      </c>
    </row>
    <row r="176" customFormat="false" ht="15.75" hidden="false" customHeight="true" outlineLevel="0" collapsed="false">
      <c r="A176" s="55" t="s">
        <v>1765</v>
      </c>
      <c r="B176" s="55"/>
      <c r="C176" s="55"/>
      <c r="D176" s="55"/>
      <c r="E176" s="55"/>
      <c r="F176" s="55"/>
      <c r="G176" s="55"/>
      <c r="H176" s="55"/>
      <c r="I176" s="55"/>
    </row>
    <row r="177" customFormat="false" ht="15" hidden="false" customHeight="true" outlineLevel="0" collapsed="false">
      <c r="A177" s="59" t="s">
        <v>1696</v>
      </c>
      <c r="B177" s="59" t="s">
        <v>1671</v>
      </c>
      <c r="C177" s="59" t="s">
        <v>1766</v>
      </c>
      <c r="D177" s="59" t="s">
        <v>1357</v>
      </c>
      <c r="E177" s="59" t="s">
        <v>1767</v>
      </c>
      <c r="F177" s="59" t="s">
        <v>1675</v>
      </c>
      <c r="G177" s="59" t="s">
        <v>1768</v>
      </c>
      <c r="H177" s="59" t="s">
        <v>1335</v>
      </c>
      <c r="I177" s="59" t="s">
        <v>54</v>
      </c>
    </row>
    <row r="178" customFormat="false" ht="15" hidden="false" customHeight="true" outlineLevel="0" collapsed="false">
      <c r="A178" s="86"/>
      <c r="B178" s="61" t="str">
        <f aca="false">IF(A178="","","RSA"&amp;TEXT(ROW()-177,"0000"))</f>
        <v/>
      </c>
      <c r="C178" s="89"/>
      <c r="D178" s="95"/>
      <c r="E178" s="86"/>
      <c r="F178" s="86"/>
      <c r="G178" s="86"/>
      <c r="H178" s="86"/>
      <c r="I178" s="86"/>
    </row>
    <row r="179" customFormat="false" ht="15" hidden="false" customHeight="true" outlineLevel="0" collapsed="false">
      <c r="A179" s="86"/>
      <c r="B179" s="61" t="str">
        <f aca="false">IF(A179="","","RSA"&amp;TEXT(ROW()-177,"0000"))</f>
        <v/>
      </c>
      <c r="C179" s="89"/>
      <c r="D179" s="95"/>
      <c r="E179" s="86"/>
      <c r="F179" s="86"/>
      <c r="G179" s="86"/>
      <c r="H179" s="86"/>
      <c r="I179" s="86"/>
    </row>
    <row r="180" customFormat="false" ht="15" hidden="false" customHeight="true" outlineLevel="0" collapsed="false">
      <c r="A180" s="86"/>
      <c r="B180" s="61" t="str">
        <f aca="false">IF(A180="","","RSA"&amp;TEXT(ROW()-177,"0000"))</f>
        <v/>
      </c>
      <c r="C180" s="89"/>
      <c r="D180" s="95"/>
      <c r="E180" s="86"/>
      <c r="F180" s="86"/>
      <c r="G180" s="86"/>
      <c r="H180" s="86"/>
      <c r="I180" s="86"/>
    </row>
    <row r="181" customFormat="false" ht="15" hidden="false" customHeight="true" outlineLevel="0" collapsed="false">
      <c r="A181" s="86"/>
      <c r="B181" s="61" t="str">
        <f aca="false">IF(A181="","","RSA"&amp;TEXT(ROW()-177,"0000"))</f>
        <v/>
      </c>
      <c r="C181" s="89"/>
      <c r="D181" s="95"/>
      <c r="E181" s="86"/>
      <c r="F181" s="86"/>
      <c r="G181" s="86"/>
      <c r="H181" s="86"/>
      <c r="I181" s="86"/>
    </row>
    <row r="182" customFormat="false" ht="15" hidden="false" customHeight="true" outlineLevel="0" collapsed="false">
      <c r="A182" s="86"/>
      <c r="B182" s="61" t="str">
        <f aca="false">IF(A182="","","RSA"&amp;TEXT(ROW()-177,"0000"))</f>
        <v/>
      </c>
      <c r="C182" s="89"/>
      <c r="D182" s="95"/>
      <c r="E182" s="86"/>
      <c r="F182" s="86"/>
      <c r="G182" s="86"/>
      <c r="H182" s="86"/>
      <c r="I182" s="86"/>
    </row>
    <row r="183" customFormat="false" ht="15" hidden="false" customHeight="true" outlineLevel="0" collapsed="false">
      <c r="A183" s="86"/>
      <c r="B183" s="61" t="str">
        <f aca="false">IF(A183="","","RSA"&amp;TEXT(ROW()-177,"0000"))</f>
        <v/>
      </c>
      <c r="C183" s="89"/>
      <c r="D183" s="95"/>
      <c r="E183" s="86"/>
      <c r="F183" s="86"/>
      <c r="G183" s="86"/>
      <c r="H183" s="86"/>
      <c r="I183" s="86"/>
    </row>
    <row r="184" customFormat="false" ht="15" hidden="false" customHeight="true" outlineLevel="0" collapsed="false">
      <c r="A184" s="86"/>
      <c r="B184" s="61" t="str">
        <f aca="false">IF(A184="","","RSA"&amp;TEXT(ROW()-177,"0000"))</f>
        <v/>
      </c>
      <c r="C184" s="89"/>
      <c r="D184" s="95"/>
      <c r="E184" s="86"/>
      <c r="F184" s="86"/>
      <c r="G184" s="86"/>
      <c r="H184" s="86"/>
      <c r="I184" s="86"/>
    </row>
    <row r="185" customFormat="false" ht="15" hidden="false" customHeight="true" outlineLevel="0" collapsed="false">
      <c r="A185" s="86"/>
      <c r="B185" s="61" t="str">
        <f aca="false">IF(A185="","","RSA"&amp;TEXT(ROW()-177,"0000"))</f>
        <v/>
      </c>
      <c r="C185" s="89"/>
      <c r="D185" s="95"/>
      <c r="E185" s="86"/>
      <c r="F185" s="86"/>
      <c r="G185" s="86"/>
      <c r="H185" s="86"/>
      <c r="I185" s="86"/>
    </row>
    <row r="186" customFormat="false" ht="15" hidden="false" customHeight="true" outlineLevel="0" collapsed="false">
      <c r="A186" s="86"/>
      <c r="B186" s="61" t="str">
        <f aca="false">IF(A186="","","RSA"&amp;TEXT(ROW()-177,"0000"))</f>
        <v/>
      </c>
      <c r="C186" s="89"/>
      <c r="D186" s="95"/>
      <c r="E186" s="86"/>
      <c r="F186" s="86"/>
      <c r="G186" s="86"/>
      <c r="H186" s="86"/>
      <c r="I186" s="86"/>
    </row>
    <row r="187" customFormat="false" ht="15" hidden="false" customHeight="true" outlineLevel="0" collapsed="false">
      <c r="A187" s="86"/>
      <c r="B187" s="61" t="str">
        <f aca="false">IF(A187="","","RSA"&amp;TEXT(ROW()-177,"0000"))</f>
        <v/>
      </c>
      <c r="C187" s="89"/>
      <c r="D187" s="95"/>
      <c r="E187" s="86"/>
      <c r="F187" s="86"/>
      <c r="G187" s="86"/>
      <c r="H187" s="86"/>
      <c r="I187" s="86"/>
    </row>
    <row r="188" customFormat="false" ht="15" hidden="false" customHeight="true" outlineLevel="0" collapsed="false">
      <c r="A188" s="86"/>
      <c r="B188" s="61" t="str">
        <f aca="false">IF(A188="","","RSA"&amp;TEXT(ROW()-177,"0000"))</f>
        <v/>
      </c>
      <c r="C188" s="89"/>
      <c r="D188" s="95"/>
      <c r="E188" s="86"/>
      <c r="F188" s="86"/>
      <c r="G188" s="86"/>
      <c r="H188" s="86"/>
      <c r="I188" s="86"/>
    </row>
    <row r="189" customFormat="false" ht="15" hidden="false" customHeight="true" outlineLevel="0" collapsed="false">
      <c r="A189" s="86"/>
      <c r="B189" s="61" t="str">
        <f aca="false">IF(A189="","","RSA"&amp;TEXT(ROW()-177,"0000"))</f>
        <v/>
      </c>
      <c r="C189" s="89"/>
      <c r="D189" s="95"/>
      <c r="E189" s="86"/>
      <c r="F189" s="86"/>
      <c r="G189" s="86"/>
      <c r="H189" s="86"/>
      <c r="I189" s="86"/>
    </row>
    <row r="190" customFormat="false" ht="15" hidden="false" customHeight="true" outlineLevel="0" collapsed="false">
      <c r="A190" s="86"/>
      <c r="B190" s="61" t="str">
        <f aca="false">IF(A190="","","RSA"&amp;TEXT(ROW()-177,"0000"))</f>
        <v/>
      </c>
      <c r="C190" s="89"/>
      <c r="D190" s="95"/>
      <c r="E190" s="86"/>
      <c r="F190" s="86"/>
      <c r="G190" s="86"/>
      <c r="H190" s="86"/>
      <c r="I190" s="86"/>
    </row>
    <row r="191" customFormat="false" ht="15" hidden="false" customHeight="true" outlineLevel="0" collapsed="false">
      <c r="A191" s="86"/>
      <c r="B191" s="61" t="str">
        <f aca="false">IF(A191="","","RSA"&amp;TEXT(ROW()-177,"0000"))</f>
        <v/>
      </c>
      <c r="C191" s="89"/>
      <c r="D191" s="95"/>
      <c r="E191" s="86"/>
      <c r="F191" s="86"/>
      <c r="G191" s="86"/>
      <c r="H191" s="86"/>
      <c r="I191" s="86"/>
    </row>
    <row r="192" customFormat="false" ht="15" hidden="false" customHeight="true" outlineLevel="0" collapsed="false">
      <c r="A192" s="86"/>
      <c r="B192" s="61" t="str">
        <f aca="false">IF(A192="","","RSA"&amp;TEXT(ROW()-177,"0000"))</f>
        <v/>
      </c>
      <c r="C192" s="89"/>
      <c r="D192" s="95"/>
      <c r="E192" s="86"/>
      <c r="F192" s="86"/>
      <c r="G192" s="86"/>
      <c r="H192" s="86"/>
      <c r="I192" s="86"/>
    </row>
    <row r="193" customFormat="false" ht="15" hidden="false" customHeight="true" outlineLevel="0" collapsed="false">
      <c r="A193" s="86"/>
      <c r="B193" s="61" t="str">
        <f aca="false">IF(A193="","","RSA"&amp;TEXT(ROW()-177,"0000"))</f>
        <v/>
      </c>
      <c r="C193" s="89"/>
      <c r="D193" s="95"/>
      <c r="E193" s="86"/>
      <c r="F193" s="86"/>
      <c r="G193" s="86"/>
      <c r="H193" s="86"/>
      <c r="I193" s="86"/>
    </row>
    <row r="194" customFormat="false" ht="15" hidden="false" customHeight="true" outlineLevel="0" collapsed="false">
      <c r="A194" s="86"/>
      <c r="B194" s="61" t="str">
        <f aca="false">IF(A194="","","RSA"&amp;TEXT(ROW()-177,"0000"))</f>
        <v/>
      </c>
      <c r="C194" s="89"/>
      <c r="D194" s="95"/>
      <c r="E194" s="86"/>
      <c r="F194" s="86"/>
      <c r="G194" s="86"/>
      <c r="H194" s="86"/>
      <c r="I194" s="86"/>
    </row>
    <row r="195" customFormat="false" ht="15" hidden="false" customHeight="true" outlineLevel="0" collapsed="false">
      <c r="A195" s="86"/>
      <c r="B195" s="61" t="str">
        <f aca="false">IF(A195="","","RSA"&amp;TEXT(ROW()-177,"0000"))</f>
        <v/>
      </c>
      <c r="C195" s="89"/>
      <c r="D195" s="95"/>
      <c r="E195" s="86"/>
      <c r="F195" s="86"/>
      <c r="G195" s="86"/>
      <c r="H195" s="86"/>
      <c r="I195" s="86"/>
    </row>
    <row r="196" customFormat="false" ht="15" hidden="false" customHeight="true" outlineLevel="0" collapsed="false">
      <c r="A196" s="86"/>
      <c r="B196" s="61" t="str">
        <f aca="false">IF(A196="","","RSA"&amp;TEXT(ROW()-177,"0000"))</f>
        <v/>
      </c>
      <c r="C196" s="89"/>
      <c r="D196" s="95"/>
      <c r="E196" s="86"/>
      <c r="F196" s="86"/>
      <c r="G196" s="86"/>
      <c r="H196" s="86"/>
      <c r="I196" s="86"/>
    </row>
    <row r="197" customFormat="false" ht="15" hidden="false" customHeight="true" outlineLevel="0" collapsed="false">
      <c r="A197" s="86"/>
      <c r="B197" s="61" t="str">
        <f aca="false">IF(A197="","","RSA"&amp;TEXT(ROW()-177,"0000"))</f>
        <v/>
      </c>
      <c r="C197" s="89"/>
      <c r="D197" s="95"/>
      <c r="E197" s="86"/>
      <c r="F197" s="86"/>
      <c r="G197" s="86"/>
      <c r="H197" s="86"/>
      <c r="I197" s="86"/>
    </row>
    <row r="198" customFormat="false" ht="15" hidden="false" customHeight="true" outlineLevel="0" collapsed="false">
      <c r="A198" s="86"/>
      <c r="B198" s="61" t="str">
        <f aca="false">IF(A198="","","RSA"&amp;TEXT(ROW()-177,"0000"))</f>
        <v/>
      </c>
      <c r="C198" s="89"/>
      <c r="D198" s="95"/>
      <c r="E198" s="86"/>
      <c r="F198" s="86"/>
      <c r="G198" s="86"/>
      <c r="H198" s="86"/>
      <c r="I198" s="86"/>
    </row>
    <row r="199" customFormat="false" ht="15" hidden="false" customHeight="true" outlineLevel="0" collapsed="false">
      <c r="A199" s="86"/>
      <c r="B199" s="61" t="str">
        <f aca="false">IF(A199="","","RSA"&amp;TEXT(ROW()-177,"0000"))</f>
        <v/>
      </c>
      <c r="C199" s="89"/>
      <c r="D199" s="95"/>
      <c r="E199" s="86"/>
      <c r="F199" s="86"/>
      <c r="G199" s="86"/>
      <c r="H199" s="86"/>
      <c r="I199" s="86"/>
    </row>
    <row r="200" customFormat="false" ht="15" hidden="false" customHeight="true" outlineLevel="0" collapsed="false">
      <c r="A200" s="86"/>
      <c r="B200" s="61" t="str">
        <f aca="false">IF(A200="","","RSA"&amp;TEXT(ROW()-177,"0000"))</f>
        <v/>
      </c>
      <c r="C200" s="89"/>
      <c r="D200" s="95"/>
      <c r="E200" s="86"/>
      <c r="F200" s="86"/>
      <c r="G200" s="86"/>
      <c r="H200" s="86"/>
      <c r="I200" s="86"/>
    </row>
    <row r="201" customFormat="false" ht="15" hidden="false" customHeight="true" outlineLevel="0" collapsed="false">
      <c r="A201" s="86"/>
      <c r="B201" s="61" t="str">
        <f aca="false">IF(A201="","","RSA"&amp;TEXT(ROW()-177,"0000"))</f>
        <v/>
      </c>
      <c r="C201" s="89"/>
      <c r="D201" s="95"/>
      <c r="E201" s="86"/>
      <c r="F201" s="86"/>
      <c r="G201" s="86"/>
      <c r="H201" s="86"/>
      <c r="I201" s="86"/>
    </row>
    <row r="202" customFormat="false" ht="15" hidden="false" customHeight="true" outlineLevel="0" collapsed="false">
      <c r="A202" s="86"/>
      <c r="B202" s="61" t="str">
        <f aca="false">IF(A202="","","RSA"&amp;TEXT(ROW()-177,"0000"))</f>
        <v/>
      </c>
      <c r="C202" s="89"/>
      <c r="D202" s="95"/>
      <c r="E202" s="86"/>
      <c r="F202" s="86"/>
      <c r="G202" s="86"/>
      <c r="H202" s="86"/>
      <c r="I202" s="86"/>
    </row>
    <row r="203" customFormat="false" ht="15" hidden="false" customHeight="true" outlineLevel="0" collapsed="false">
      <c r="A203" s="86"/>
      <c r="B203" s="61" t="str">
        <f aca="false">IF(A203="","","RSA"&amp;TEXT(ROW()-177,"0000"))</f>
        <v/>
      </c>
      <c r="C203" s="89"/>
      <c r="D203" s="95"/>
      <c r="E203" s="86"/>
      <c r="F203" s="86"/>
      <c r="G203" s="86"/>
      <c r="H203" s="86"/>
      <c r="I203" s="86"/>
    </row>
    <row r="204" customFormat="false" ht="15" hidden="false" customHeight="true" outlineLevel="0" collapsed="false">
      <c r="A204" s="86"/>
      <c r="B204" s="61" t="str">
        <f aca="false">IF(A204="","","RSA"&amp;TEXT(ROW()-177,"0000"))</f>
        <v/>
      </c>
      <c r="C204" s="89"/>
      <c r="D204" s="95"/>
      <c r="E204" s="86"/>
      <c r="F204" s="86"/>
      <c r="G204" s="86"/>
      <c r="H204" s="86"/>
      <c r="I204" s="86"/>
    </row>
    <row r="205" customFormat="false" ht="15" hidden="false" customHeight="true" outlineLevel="0" collapsed="false">
      <c r="A205" s="86"/>
      <c r="B205" s="61" t="str">
        <f aca="false">IF(A205="","","RSA"&amp;TEXT(ROW()-177,"0000"))</f>
        <v/>
      </c>
      <c r="C205" s="89"/>
      <c r="D205" s="95"/>
      <c r="E205" s="86"/>
      <c r="F205" s="86"/>
      <c r="G205" s="86"/>
      <c r="H205" s="86"/>
      <c r="I205" s="86"/>
    </row>
    <row r="206" customFormat="false" ht="15" hidden="false" customHeight="true" outlineLevel="0" collapsed="false">
      <c r="A206" s="86"/>
      <c r="B206" s="61" t="str">
        <f aca="false">IF(A206="","","RSA"&amp;TEXT(ROW()-177,"0000"))</f>
        <v/>
      </c>
      <c r="C206" s="89"/>
      <c r="D206" s="95"/>
      <c r="E206" s="86"/>
      <c r="F206" s="86"/>
      <c r="G206" s="86"/>
      <c r="H206" s="86"/>
      <c r="I206" s="86"/>
    </row>
    <row r="207" customFormat="false" ht="15" hidden="false" customHeight="true" outlineLevel="0" collapsed="false">
      <c r="A207" s="86"/>
      <c r="B207" s="61" t="str">
        <f aca="false">IF(A207="","","RSA"&amp;TEXT(ROW()-177,"0000"))</f>
        <v/>
      </c>
      <c r="C207" s="89"/>
      <c r="D207" s="95"/>
      <c r="E207" s="86"/>
      <c r="F207" s="86"/>
      <c r="G207" s="86"/>
      <c r="H207" s="86"/>
      <c r="I207" s="86"/>
    </row>
    <row r="210" customFormat="false" ht="15.75" hidden="false" customHeight="true" outlineLevel="0" collapsed="false">
      <c r="A210" s="55" t="s">
        <v>1769</v>
      </c>
      <c r="B210" s="55"/>
      <c r="C210" s="55"/>
      <c r="D210" s="55"/>
      <c r="E210" s="55"/>
      <c r="F210" s="55"/>
    </row>
    <row r="211" customFormat="false" ht="15" hidden="false" customHeight="true" outlineLevel="0" collapsed="false">
      <c r="A211" s="59" t="s">
        <v>1696</v>
      </c>
      <c r="B211" s="59" t="s">
        <v>1525</v>
      </c>
      <c r="C211" s="59" t="s">
        <v>1356</v>
      </c>
      <c r="D211" s="59" t="s">
        <v>1357</v>
      </c>
      <c r="E211" s="59" t="s">
        <v>54</v>
      </c>
      <c r="F211" s="59" t="s">
        <v>1681</v>
      </c>
    </row>
    <row r="212" customFormat="false" ht="15" hidden="false" customHeight="true" outlineLevel="0" collapsed="false">
      <c r="A212" s="86"/>
      <c r="B212" s="86"/>
      <c r="C212" s="89"/>
      <c r="D212" s="95"/>
      <c r="E212" s="86"/>
      <c r="F212" s="86"/>
    </row>
    <row r="213" customFormat="false" ht="15" hidden="false" customHeight="true" outlineLevel="0" collapsed="false">
      <c r="A213" s="86"/>
      <c r="B213" s="86"/>
      <c r="C213" s="89"/>
      <c r="D213" s="95"/>
      <c r="E213" s="86"/>
      <c r="F213" s="86"/>
    </row>
    <row r="214" customFormat="false" ht="15" hidden="false" customHeight="true" outlineLevel="0" collapsed="false">
      <c r="A214" s="86"/>
      <c r="B214" s="86"/>
      <c r="C214" s="89"/>
      <c r="D214" s="95"/>
      <c r="E214" s="86"/>
      <c r="F214" s="86"/>
    </row>
    <row r="215" customFormat="false" ht="15" hidden="false" customHeight="true" outlineLevel="0" collapsed="false">
      <c r="A215" s="86"/>
      <c r="B215" s="86"/>
      <c r="C215" s="89"/>
      <c r="D215" s="95"/>
      <c r="E215" s="86"/>
      <c r="F215" s="86"/>
    </row>
    <row r="216" customFormat="false" ht="15" hidden="false" customHeight="true" outlineLevel="0" collapsed="false">
      <c r="A216" s="86"/>
      <c r="B216" s="86"/>
      <c r="C216" s="89"/>
      <c r="D216" s="95"/>
      <c r="E216" s="86"/>
      <c r="F216" s="86"/>
    </row>
    <row r="217" customFormat="false" ht="15" hidden="false" customHeight="true" outlineLevel="0" collapsed="false">
      <c r="A217" s="86"/>
      <c r="B217" s="86"/>
      <c r="C217" s="89"/>
      <c r="D217" s="95"/>
      <c r="E217" s="86"/>
      <c r="F217" s="86"/>
    </row>
    <row r="218" customFormat="false" ht="15" hidden="false" customHeight="true" outlineLevel="0" collapsed="false">
      <c r="A218" s="86"/>
      <c r="B218" s="86"/>
      <c r="C218" s="89"/>
      <c r="D218" s="95"/>
      <c r="E218" s="86"/>
      <c r="F218" s="86"/>
    </row>
    <row r="219" customFormat="false" ht="15" hidden="false" customHeight="true" outlineLevel="0" collapsed="false">
      <c r="A219" s="86"/>
      <c r="B219" s="86"/>
      <c r="C219" s="89"/>
      <c r="D219" s="95"/>
      <c r="E219" s="86"/>
      <c r="F219" s="86"/>
    </row>
    <row r="220" customFormat="false" ht="15" hidden="false" customHeight="true" outlineLevel="0" collapsed="false">
      <c r="A220" s="86"/>
      <c r="B220" s="86"/>
      <c r="C220" s="89"/>
      <c r="D220" s="95"/>
      <c r="E220" s="86"/>
      <c r="F220" s="86"/>
    </row>
    <row r="221" customFormat="false" ht="15" hidden="false" customHeight="true" outlineLevel="0" collapsed="false">
      <c r="A221" s="86"/>
      <c r="B221" s="86"/>
      <c r="C221" s="89"/>
      <c r="D221" s="95"/>
      <c r="E221" s="86"/>
      <c r="F221" s="86"/>
    </row>
    <row r="222" customFormat="false" ht="15" hidden="false" customHeight="true" outlineLevel="0" collapsed="false">
      <c r="A222" s="86"/>
      <c r="B222" s="86"/>
      <c r="C222" s="89"/>
      <c r="D222" s="95"/>
      <c r="E222" s="86"/>
      <c r="F222" s="86"/>
    </row>
    <row r="223" customFormat="false" ht="15" hidden="false" customHeight="true" outlineLevel="0" collapsed="false">
      <c r="A223" s="86"/>
      <c r="B223" s="86"/>
      <c r="C223" s="89"/>
      <c r="D223" s="95"/>
      <c r="E223" s="86"/>
      <c r="F223" s="86"/>
    </row>
    <row r="224" customFormat="false" ht="15" hidden="false" customHeight="true" outlineLevel="0" collapsed="false">
      <c r="A224" s="86"/>
      <c r="B224" s="86"/>
      <c r="C224" s="89"/>
      <c r="D224" s="95"/>
      <c r="E224" s="86"/>
      <c r="F224" s="86"/>
    </row>
    <row r="225" customFormat="false" ht="15" hidden="false" customHeight="true" outlineLevel="0" collapsed="false">
      <c r="A225" s="86"/>
      <c r="B225" s="86"/>
      <c r="C225" s="89"/>
      <c r="D225" s="95"/>
      <c r="E225" s="86"/>
      <c r="F225" s="86"/>
    </row>
    <row r="226" customFormat="false" ht="15" hidden="false" customHeight="true" outlineLevel="0" collapsed="false">
      <c r="A226" s="86"/>
      <c r="B226" s="86"/>
      <c r="C226" s="89"/>
      <c r="D226" s="95"/>
      <c r="E226" s="86"/>
      <c r="F226" s="86"/>
    </row>
    <row r="227" customFormat="false" ht="15" hidden="false" customHeight="true" outlineLevel="0" collapsed="false">
      <c r="A227" s="86"/>
      <c r="B227" s="86"/>
      <c r="C227" s="89"/>
      <c r="D227" s="95"/>
      <c r="E227" s="86"/>
      <c r="F227" s="86"/>
    </row>
    <row r="228" customFormat="false" ht="15" hidden="false" customHeight="true" outlineLevel="0" collapsed="false">
      <c r="A228" s="86"/>
      <c r="B228" s="86"/>
      <c r="C228" s="89"/>
      <c r="D228" s="95"/>
      <c r="E228" s="86"/>
      <c r="F228" s="86"/>
    </row>
    <row r="229" customFormat="false" ht="15" hidden="false" customHeight="true" outlineLevel="0" collapsed="false">
      <c r="A229" s="86"/>
      <c r="B229" s="86"/>
      <c r="C229" s="89"/>
      <c r="D229" s="95"/>
      <c r="E229" s="86"/>
      <c r="F229" s="86"/>
    </row>
    <row r="230" customFormat="false" ht="15" hidden="false" customHeight="true" outlineLevel="0" collapsed="false">
      <c r="A230" s="86"/>
      <c r="B230" s="86"/>
      <c r="C230" s="89"/>
      <c r="D230" s="95"/>
      <c r="E230" s="86"/>
      <c r="F230" s="86"/>
    </row>
    <row r="231" customFormat="false" ht="15" hidden="false" customHeight="true" outlineLevel="0" collapsed="false">
      <c r="A231" s="86"/>
      <c r="B231" s="86"/>
      <c r="C231" s="89"/>
      <c r="D231" s="95"/>
      <c r="E231" s="86"/>
      <c r="F231" s="86"/>
    </row>
    <row r="232" customFormat="false" ht="15" hidden="false" customHeight="true" outlineLevel="0" collapsed="false">
      <c r="A232" s="86"/>
      <c r="B232" s="86"/>
      <c r="C232" s="89"/>
      <c r="D232" s="95"/>
      <c r="E232" s="86"/>
      <c r="F232" s="86"/>
    </row>
    <row r="233" customFormat="false" ht="15" hidden="false" customHeight="true" outlineLevel="0" collapsed="false">
      <c r="A233" s="86"/>
      <c r="B233" s="86"/>
      <c r="C233" s="89"/>
      <c r="D233" s="95"/>
      <c r="E233" s="86"/>
      <c r="F233" s="86"/>
    </row>
    <row r="234" customFormat="false" ht="15" hidden="false" customHeight="true" outlineLevel="0" collapsed="false">
      <c r="A234" s="86"/>
      <c r="B234" s="86"/>
      <c r="C234" s="89"/>
      <c r="D234" s="95"/>
      <c r="E234" s="86"/>
      <c r="F234" s="86"/>
    </row>
    <row r="235" customFormat="false" ht="15" hidden="false" customHeight="true" outlineLevel="0" collapsed="false">
      <c r="A235" s="86"/>
      <c r="B235" s="86"/>
      <c r="C235" s="89"/>
      <c r="D235" s="95"/>
      <c r="E235" s="86"/>
      <c r="F235" s="86"/>
    </row>
    <row r="236" customFormat="false" ht="15" hidden="false" customHeight="true" outlineLevel="0" collapsed="false">
      <c r="A236" s="86"/>
      <c r="B236" s="86"/>
      <c r="C236" s="89"/>
      <c r="D236" s="95"/>
      <c r="E236" s="86"/>
      <c r="F236" s="86"/>
    </row>
    <row r="237" customFormat="false" ht="15" hidden="false" customHeight="true" outlineLevel="0" collapsed="false">
      <c r="A237" s="86"/>
      <c r="B237" s="86"/>
      <c r="C237" s="89"/>
      <c r="D237" s="95"/>
      <c r="E237" s="86"/>
      <c r="F237" s="86"/>
    </row>
    <row r="238" customFormat="false" ht="15" hidden="false" customHeight="true" outlineLevel="0" collapsed="false">
      <c r="A238" s="86"/>
      <c r="B238" s="86"/>
      <c r="C238" s="89"/>
      <c r="D238" s="95"/>
      <c r="E238" s="86"/>
      <c r="F238" s="86"/>
    </row>
    <row r="239" customFormat="false" ht="15" hidden="false" customHeight="true" outlineLevel="0" collapsed="false">
      <c r="A239" s="86"/>
      <c r="B239" s="86"/>
      <c r="C239" s="89"/>
      <c r="D239" s="95"/>
      <c r="E239" s="86"/>
      <c r="F239" s="86"/>
    </row>
    <row r="240" customFormat="false" ht="15" hidden="false" customHeight="true" outlineLevel="0" collapsed="false">
      <c r="A240" s="86"/>
      <c r="B240" s="86"/>
      <c r="C240" s="89"/>
      <c r="D240" s="95"/>
      <c r="E240" s="86"/>
      <c r="F240" s="86"/>
    </row>
    <row r="241" customFormat="false" ht="15" hidden="false" customHeight="true" outlineLevel="0" collapsed="false">
      <c r="A241" s="86"/>
      <c r="B241" s="86"/>
      <c r="C241" s="89"/>
      <c r="D241" s="95"/>
      <c r="E241" s="86"/>
      <c r="F241" s="86"/>
    </row>
    <row r="244" customFormat="false" ht="15.75" hidden="false" customHeight="true" outlineLevel="0" collapsed="false">
      <c r="A244" s="55" t="s">
        <v>1770</v>
      </c>
      <c r="B244" s="55"/>
      <c r="C244" s="55"/>
      <c r="D244" s="55"/>
    </row>
    <row r="245" customFormat="false" ht="25.5" hidden="false" customHeight="true" outlineLevel="0" collapsed="false">
      <c r="A245" s="59" t="s">
        <v>805</v>
      </c>
      <c r="B245" s="59" t="s">
        <v>1771</v>
      </c>
      <c r="C245" s="59" t="s">
        <v>1688</v>
      </c>
      <c r="D245" s="59" t="s">
        <v>1772</v>
      </c>
    </row>
    <row r="246" customFormat="false" ht="25.5" hidden="false" customHeight="true" outlineLevel="0" collapsed="false">
      <c r="A246" s="90" t="str">
        <f aca="false">IFERROR(INDEX(tbl_Projets[Titre complet du projet],1),"")</f>
        <v>Projet d'appui a l'insertion professionnelle des jeunes</v>
      </c>
      <c r="B246" s="61" t="n">
        <f aca="false">IF(A246="","",COUNTIFS(tbl_Activites[ID Projet],INDEX(tbl_Projets[ID Projet],1)))</f>
        <v>1</v>
      </c>
      <c r="C246" s="61" t="n">
        <f aca="false">IF(A246="","",COUNTIFS(tbl_Activites[ID Projet],INDEX(tbl_Projets[ID Projet],1),tbl_Activites[Statut de l''activite],"Realisee"))</f>
        <v>0</v>
      </c>
      <c r="D246" s="82" t="n">
        <f aca="false">IF(OR(B246="",B246=0),"",C246/B246)</f>
        <v>0</v>
      </c>
    </row>
    <row r="247" customFormat="false" ht="15" hidden="false" customHeight="true" outlineLevel="0" collapsed="false">
      <c r="A247" s="90" t="n">
        <f aca="false">IFERROR(INDEX(tbl_Projets[Titre complet du projet],2),"")</f>
        <v>0</v>
      </c>
      <c r="B247" s="61" t="str">
        <f aca="false">IF(A247="","",COUNTIFS(tbl_Activites[ID Projet],INDEX(tbl_Projets[ID Projet],2)))</f>
        <v/>
      </c>
      <c r="C247" s="61" t="str">
        <f aca="false">IF(A247="","",COUNTIFS(tbl_Activites[ID Projet],INDEX(tbl_Projets[ID Projet],2),tbl_Activites[Statut de l''activite],"Realisee"))</f>
        <v/>
      </c>
      <c r="D247" s="82" t="str">
        <f aca="false">IF(OR(B247="",B247=0),"",C247/B247)</f>
        <v/>
      </c>
    </row>
    <row r="248" customFormat="false" ht="15" hidden="false" customHeight="true" outlineLevel="0" collapsed="false">
      <c r="A248" s="90" t="n">
        <f aca="false">IFERROR(INDEX(tbl_Projets[Titre complet du projet],3),"")</f>
        <v>0</v>
      </c>
      <c r="B248" s="61" t="str">
        <f aca="false">IF(A248="","",COUNTIFS(tbl_Activites[ID Projet],INDEX(tbl_Projets[ID Projet],3)))</f>
        <v/>
      </c>
      <c r="C248" s="61" t="str">
        <f aca="false">IF(A248="","",COUNTIFS(tbl_Activites[ID Projet],INDEX(tbl_Projets[ID Projet],3),tbl_Activites[Statut de l''activite],"Realisee"))</f>
        <v/>
      </c>
      <c r="D248" s="82" t="str">
        <f aca="false">IF(OR(B248="",B248=0),"",C248/B248)</f>
        <v/>
      </c>
    </row>
    <row r="249" customFormat="false" ht="15" hidden="false" customHeight="true" outlineLevel="0" collapsed="false">
      <c r="A249" s="90" t="n">
        <f aca="false">IFERROR(INDEX(tbl_Projets[Titre complet du projet],4),"")</f>
        <v>0</v>
      </c>
      <c r="B249" s="61" t="str">
        <f aca="false">IF(A249="","",COUNTIFS(tbl_Activites[ID Projet],INDEX(tbl_Projets[ID Projet],4)))</f>
        <v/>
      </c>
      <c r="C249" s="61" t="str">
        <f aca="false">IF(A249="","",COUNTIFS(tbl_Activites[ID Projet],INDEX(tbl_Projets[ID Projet],4),tbl_Activites[Statut de l''activite],"Realisee"))</f>
        <v/>
      </c>
      <c r="D249" s="82" t="str">
        <f aca="false">IF(OR(B249="",B249=0),"",C249/B249)</f>
        <v/>
      </c>
    </row>
    <row r="250" customFormat="false" ht="15" hidden="false" customHeight="true" outlineLevel="0" collapsed="false">
      <c r="A250" s="90" t="n">
        <f aca="false">IFERROR(INDEX(tbl_Projets[Titre complet du projet],5),"")</f>
        <v>0</v>
      </c>
      <c r="B250" s="61" t="str">
        <f aca="false">IF(A250="","",COUNTIFS(tbl_Activites[ID Projet],INDEX(tbl_Projets[ID Projet],5)))</f>
        <v/>
      </c>
      <c r="C250" s="61" t="str">
        <f aca="false">IF(A250="","",COUNTIFS(tbl_Activites[ID Projet],INDEX(tbl_Projets[ID Projet],5),tbl_Activites[Statut de l''activite],"Realisee"))</f>
        <v/>
      </c>
      <c r="D250" s="82" t="str">
        <f aca="false">IF(OR(B250="",B250=0),"",C250/B250)</f>
        <v/>
      </c>
    </row>
    <row r="251" customFormat="false" ht="15" hidden="false" customHeight="true" outlineLevel="0" collapsed="false">
      <c r="A251" s="90" t="n">
        <f aca="false">IFERROR(INDEX(tbl_Projets[Titre complet du projet],6),"")</f>
        <v>0</v>
      </c>
      <c r="B251" s="61" t="str">
        <f aca="false">IF(A251="","",COUNTIFS(tbl_Activites[ID Projet],INDEX(tbl_Projets[ID Projet],6)))</f>
        <v/>
      </c>
      <c r="C251" s="61" t="str">
        <f aca="false">IF(A251="","",COUNTIFS(tbl_Activites[ID Projet],INDEX(tbl_Projets[ID Projet],6),tbl_Activites[Statut de l''activite],"Realisee"))</f>
        <v/>
      </c>
      <c r="D251" s="82" t="str">
        <f aca="false">IF(OR(B251="",B251=0),"",C251/B251)</f>
        <v/>
      </c>
    </row>
    <row r="252" customFormat="false" ht="15" hidden="false" customHeight="true" outlineLevel="0" collapsed="false">
      <c r="A252" s="90" t="n">
        <f aca="false">IFERROR(INDEX(tbl_Projets[Titre complet du projet],7),"")</f>
        <v>0</v>
      </c>
      <c r="B252" s="61" t="str">
        <f aca="false">IF(A252="","",COUNTIFS(tbl_Activites[ID Projet],INDEX(tbl_Projets[ID Projet],7)))</f>
        <v/>
      </c>
      <c r="C252" s="61" t="str">
        <f aca="false">IF(A252="","",COUNTIFS(tbl_Activites[ID Projet],INDEX(tbl_Projets[ID Projet],7),tbl_Activites[Statut de l''activite],"Realisee"))</f>
        <v/>
      </c>
      <c r="D252" s="82" t="str">
        <f aca="false">IF(OR(B252="",B252=0),"",C252/B252)</f>
        <v/>
      </c>
    </row>
    <row r="253" customFormat="false" ht="15" hidden="false" customHeight="true" outlineLevel="0" collapsed="false">
      <c r="A253" s="90" t="n">
        <f aca="false">IFERROR(INDEX(tbl_Projets[Titre complet du projet],8),"")</f>
        <v>0</v>
      </c>
      <c r="B253" s="61" t="str">
        <f aca="false">IF(A253="","",COUNTIFS(tbl_Activites[ID Projet],INDEX(tbl_Projets[ID Projet],8)))</f>
        <v/>
      </c>
      <c r="C253" s="61" t="str">
        <f aca="false">IF(A253="","",COUNTIFS(tbl_Activites[ID Projet],INDEX(tbl_Projets[ID Projet],8),tbl_Activites[Statut de l''activite],"Realisee"))</f>
        <v/>
      </c>
      <c r="D253" s="82" t="str">
        <f aca="false">IF(OR(B253="",B253=0),"",C253/B253)</f>
        <v/>
      </c>
    </row>
    <row r="254" customFormat="false" ht="15" hidden="false" customHeight="true" outlineLevel="0" collapsed="false">
      <c r="A254" s="90" t="n">
        <f aca="false">IFERROR(INDEX(tbl_Projets[Titre complet du projet],9),"")</f>
        <v>0</v>
      </c>
      <c r="B254" s="61" t="str">
        <f aca="false">IF(A254="","",COUNTIFS(tbl_Activites[ID Projet],INDEX(tbl_Projets[ID Projet],9)))</f>
        <v/>
      </c>
      <c r="C254" s="61" t="str">
        <f aca="false">IF(A254="","",COUNTIFS(tbl_Activites[ID Projet],INDEX(tbl_Projets[ID Projet],9),tbl_Activites[Statut de l''activite],"Realisee"))</f>
        <v/>
      </c>
      <c r="D254" s="82" t="str">
        <f aca="false">IF(OR(B254="",B254=0),"",C254/B254)</f>
        <v/>
      </c>
    </row>
    <row r="255" customFormat="false" ht="15" hidden="false" customHeight="true" outlineLevel="0" collapsed="false">
      <c r="A255" s="90" t="n">
        <f aca="false">IFERROR(INDEX(tbl_Projets[Titre complet du projet],10),"")</f>
        <v>0</v>
      </c>
      <c r="B255" s="61" t="str">
        <f aca="false">IF(A255="","",COUNTIFS(tbl_Activites[ID Projet],INDEX(tbl_Projets[ID Projet],10)))</f>
        <v/>
      </c>
      <c r="C255" s="61" t="str">
        <f aca="false">IF(A255="","",COUNTIFS(tbl_Activites[ID Projet],INDEX(tbl_Projets[ID Projet],10),tbl_Activites[Statut de l''activite],"Realisee"))</f>
        <v/>
      </c>
      <c r="D255" s="82" t="str">
        <f aca="false">IF(OR(B255="",B255=0),"",C255/B255)</f>
        <v/>
      </c>
    </row>
    <row r="256" customFormat="false" ht="15" hidden="false" customHeight="true" outlineLevel="0" collapsed="false">
      <c r="A256" s="90" t="n">
        <f aca="false">IFERROR(INDEX(tbl_Projets[Titre complet du projet],11),"")</f>
        <v>0</v>
      </c>
      <c r="B256" s="61" t="str">
        <f aca="false">IF(A256="","",COUNTIFS(tbl_Activites[ID Projet],INDEX(tbl_Projets[ID Projet],11)))</f>
        <v/>
      </c>
      <c r="C256" s="61" t="str">
        <f aca="false">IF(A256="","",COUNTIFS(tbl_Activites[ID Projet],INDEX(tbl_Projets[ID Projet],11),tbl_Activites[Statut de l''activite],"Realisee"))</f>
        <v/>
      </c>
      <c r="D256" s="82" t="str">
        <f aca="false">IF(OR(B256="",B256=0),"",C256/B256)</f>
        <v/>
      </c>
    </row>
    <row r="257" customFormat="false" ht="15" hidden="false" customHeight="true" outlineLevel="0" collapsed="false">
      <c r="A257" s="90" t="n">
        <f aca="false">IFERROR(INDEX(tbl_Projets[Titre complet du projet],12),"")</f>
        <v>0</v>
      </c>
      <c r="B257" s="61" t="str">
        <f aca="false">IF(A257="","",COUNTIFS(tbl_Activites[ID Projet],INDEX(tbl_Projets[ID Projet],12)))</f>
        <v/>
      </c>
      <c r="C257" s="61" t="str">
        <f aca="false">IF(A257="","",COUNTIFS(tbl_Activites[ID Projet],INDEX(tbl_Projets[ID Projet],12),tbl_Activites[Statut de l''activite],"Realisee"))</f>
        <v/>
      </c>
      <c r="D257" s="82" t="str">
        <f aca="false">IF(OR(B257="",B257=0),"",C257/B257)</f>
        <v/>
      </c>
    </row>
    <row r="258" customFormat="false" ht="15" hidden="false" customHeight="true" outlineLevel="0" collapsed="false">
      <c r="A258" s="90" t="n">
        <f aca="false">IFERROR(INDEX(tbl_Projets[Titre complet du projet],13),"")</f>
        <v>0</v>
      </c>
      <c r="B258" s="61" t="str">
        <f aca="false">IF(A258="","",COUNTIFS(tbl_Activites[ID Projet],INDEX(tbl_Projets[ID Projet],13)))</f>
        <v/>
      </c>
      <c r="C258" s="61" t="str">
        <f aca="false">IF(A258="","",COUNTIFS(tbl_Activites[ID Projet],INDEX(tbl_Projets[ID Projet],13),tbl_Activites[Statut de l''activite],"Realisee"))</f>
        <v/>
      </c>
      <c r="D258" s="82" t="str">
        <f aca="false">IF(OR(B258="",B258=0),"",C258/B258)</f>
        <v/>
      </c>
    </row>
    <row r="259" customFormat="false" ht="15" hidden="false" customHeight="true" outlineLevel="0" collapsed="false">
      <c r="A259" s="90" t="n">
        <f aca="false">IFERROR(INDEX(tbl_Projets[Titre complet du projet],14),"")</f>
        <v>0</v>
      </c>
      <c r="B259" s="61" t="str">
        <f aca="false">IF(A259="","",COUNTIFS(tbl_Activites[ID Projet],INDEX(tbl_Projets[ID Projet],14)))</f>
        <v/>
      </c>
      <c r="C259" s="61" t="str">
        <f aca="false">IF(A259="","",COUNTIFS(tbl_Activites[ID Projet],INDEX(tbl_Projets[ID Projet],14),tbl_Activites[Statut de l''activite],"Realisee"))</f>
        <v/>
      </c>
      <c r="D259" s="82" t="str">
        <f aca="false">IF(OR(B259="",B259=0),"",C259/B259)</f>
        <v/>
      </c>
    </row>
    <row r="260" customFormat="false" ht="15" hidden="false" customHeight="true" outlineLevel="0" collapsed="false">
      <c r="A260" s="90" t="n">
        <f aca="false">IFERROR(INDEX(tbl_Projets[Titre complet du projet],15),"")</f>
        <v>0</v>
      </c>
      <c r="B260" s="61" t="str">
        <f aca="false">IF(A260="","",COUNTIFS(tbl_Activites[ID Projet],INDEX(tbl_Projets[ID Projet],15)))</f>
        <v/>
      </c>
      <c r="C260" s="61" t="str">
        <f aca="false">IF(A260="","",COUNTIFS(tbl_Activites[ID Projet],INDEX(tbl_Projets[ID Projet],15),tbl_Activites[Statut de l''activite],"Realisee"))</f>
        <v/>
      </c>
      <c r="D260" s="82" t="str">
        <f aca="false">IF(OR(B260="",B260=0),"",C260/B260)</f>
        <v/>
      </c>
    </row>
    <row r="261" customFormat="false" ht="15" hidden="false" customHeight="true" outlineLevel="0" collapsed="false">
      <c r="A261" s="90" t="n">
        <f aca="false">IFERROR(INDEX(tbl_Projets[Titre complet du projet],16),"")</f>
        <v>0</v>
      </c>
      <c r="B261" s="61" t="str">
        <f aca="false">IF(A261="","",COUNTIFS(tbl_Activites[ID Projet],INDEX(tbl_Projets[ID Projet],16)))</f>
        <v/>
      </c>
      <c r="C261" s="61" t="str">
        <f aca="false">IF(A261="","",COUNTIFS(tbl_Activites[ID Projet],INDEX(tbl_Projets[ID Projet],16),tbl_Activites[Statut de l''activite],"Realisee"))</f>
        <v/>
      </c>
      <c r="D261" s="82" t="str">
        <f aca="false">IF(OR(B261="",B261=0),"",C261/B261)</f>
        <v/>
      </c>
    </row>
    <row r="262" customFormat="false" ht="15" hidden="false" customHeight="true" outlineLevel="0" collapsed="false">
      <c r="A262" s="90" t="n">
        <f aca="false">IFERROR(INDEX(tbl_Projets[Titre complet du projet],17),"")</f>
        <v>0</v>
      </c>
      <c r="B262" s="61" t="str">
        <f aca="false">IF(A262="","",COUNTIFS(tbl_Activites[ID Projet],INDEX(tbl_Projets[ID Projet],17)))</f>
        <v/>
      </c>
      <c r="C262" s="61" t="str">
        <f aca="false">IF(A262="","",COUNTIFS(tbl_Activites[ID Projet],INDEX(tbl_Projets[ID Projet],17),tbl_Activites[Statut de l''activite],"Realisee"))</f>
        <v/>
      </c>
      <c r="D262" s="82" t="str">
        <f aca="false">IF(OR(B262="",B262=0),"",C262/B262)</f>
        <v/>
      </c>
    </row>
    <row r="263" customFormat="false" ht="15" hidden="false" customHeight="true" outlineLevel="0" collapsed="false">
      <c r="A263" s="90" t="n">
        <f aca="false">IFERROR(INDEX(tbl_Projets[Titre complet du projet],18),"")</f>
        <v>0</v>
      </c>
      <c r="B263" s="61" t="str">
        <f aca="false">IF(A263="","",COUNTIFS(tbl_Activites[ID Projet],INDEX(tbl_Projets[ID Projet],18)))</f>
        <v/>
      </c>
      <c r="C263" s="61" t="str">
        <f aca="false">IF(A263="","",COUNTIFS(tbl_Activites[ID Projet],INDEX(tbl_Projets[ID Projet],18),tbl_Activites[Statut de l''activite],"Realisee"))</f>
        <v/>
      </c>
      <c r="D263" s="82" t="str">
        <f aca="false">IF(OR(B263="",B263=0),"",C263/B263)</f>
        <v/>
      </c>
    </row>
    <row r="264" customFormat="false" ht="15" hidden="false" customHeight="true" outlineLevel="0" collapsed="false">
      <c r="A264" s="90" t="n">
        <f aca="false">IFERROR(INDEX(tbl_Projets[Titre complet du projet],19),"")</f>
        <v>0</v>
      </c>
      <c r="B264" s="61" t="str">
        <f aca="false">IF(A264="","",COUNTIFS(tbl_Activites[ID Projet],INDEX(tbl_Projets[ID Projet],19)))</f>
        <v/>
      </c>
      <c r="C264" s="61" t="str">
        <f aca="false">IF(A264="","",COUNTIFS(tbl_Activites[ID Projet],INDEX(tbl_Projets[ID Projet],19),tbl_Activites[Statut de l''activite],"Realisee"))</f>
        <v/>
      </c>
      <c r="D264" s="82" t="str">
        <f aca="false">IF(OR(B264="",B264=0),"",C264/B264)</f>
        <v/>
      </c>
    </row>
    <row r="265" customFormat="false" ht="15" hidden="false" customHeight="true" outlineLevel="0" collapsed="false">
      <c r="A265" s="90" t="n">
        <f aca="false">IFERROR(INDEX(tbl_Projets[Titre complet du projet],20),"")</f>
        <v>0</v>
      </c>
      <c r="B265" s="61" t="str">
        <f aca="false">IF(A265="","",COUNTIFS(tbl_Activites[ID Projet],INDEX(tbl_Projets[ID Projet],20)))</f>
        <v/>
      </c>
      <c r="C265" s="61" t="str">
        <f aca="false">IF(A265="","",COUNTIFS(tbl_Activites[ID Projet],INDEX(tbl_Projets[ID Projet],20),tbl_Activites[Statut de l''activite],"Realisee"))</f>
        <v/>
      </c>
      <c r="D265" s="82" t="str">
        <f aca="false">IF(OR(B265="",B265=0),"",C265/B265)</f>
        <v/>
      </c>
    </row>
    <row r="266" customFormat="false" ht="15" hidden="false" customHeight="true" outlineLevel="0" collapsed="false">
      <c r="A266" s="90" t="n">
        <f aca="false">IFERROR(INDEX(tbl_Projets[Titre complet du projet],21),"")</f>
        <v>0</v>
      </c>
      <c r="B266" s="61" t="str">
        <f aca="false">IF(A266="","",COUNTIFS(tbl_Activites[ID Projet],INDEX(tbl_Projets[ID Projet],21)))</f>
        <v/>
      </c>
      <c r="C266" s="61" t="str">
        <f aca="false">IF(A266="","",COUNTIFS(tbl_Activites[ID Projet],INDEX(tbl_Projets[ID Projet],21),tbl_Activites[Statut de l''activite],"Realisee"))</f>
        <v/>
      </c>
      <c r="D266" s="82" t="str">
        <f aca="false">IF(OR(B266="",B266=0),"",C266/B266)</f>
        <v/>
      </c>
    </row>
    <row r="267" customFormat="false" ht="15" hidden="false" customHeight="true" outlineLevel="0" collapsed="false">
      <c r="A267" s="90" t="n">
        <f aca="false">IFERROR(INDEX(tbl_Projets[Titre complet du projet],22),"")</f>
        <v>0</v>
      </c>
      <c r="B267" s="61" t="str">
        <f aca="false">IF(A267="","",COUNTIFS(tbl_Activites[ID Projet],INDEX(tbl_Projets[ID Projet],22)))</f>
        <v/>
      </c>
      <c r="C267" s="61" t="str">
        <f aca="false">IF(A267="","",COUNTIFS(tbl_Activites[ID Projet],INDEX(tbl_Projets[ID Projet],22),tbl_Activites[Statut de l''activite],"Realisee"))</f>
        <v/>
      </c>
      <c r="D267" s="82" t="str">
        <f aca="false">IF(OR(B267="",B267=0),"",C267/B267)</f>
        <v/>
      </c>
    </row>
    <row r="268" customFormat="false" ht="15" hidden="false" customHeight="true" outlineLevel="0" collapsed="false">
      <c r="A268" s="90" t="n">
        <f aca="false">IFERROR(INDEX(tbl_Projets[Titre complet du projet],23),"")</f>
        <v>0</v>
      </c>
      <c r="B268" s="61" t="str">
        <f aca="false">IF(A268="","",COUNTIFS(tbl_Activites[ID Projet],INDEX(tbl_Projets[ID Projet],23)))</f>
        <v/>
      </c>
      <c r="C268" s="61" t="str">
        <f aca="false">IF(A268="","",COUNTIFS(tbl_Activites[ID Projet],INDEX(tbl_Projets[ID Projet],23),tbl_Activites[Statut de l''activite],"Realisee"))</f>
        <v/>
      </c>
      <c r="D268" s="82" t="str">
        <f aca="false">IF(OR(B268="",B268=0),"",C268/B268)</f>
        <v/>
      </c>
    </row>
    <row r="269" customFormat="false" ht="15" hidden="false" customHeight="true" outlineLevel="0" collapsed="false">
      <c r="A269" s="90" t="n">
        <f aca="false">IFERROR(INDEX(tbl_Projets[Titre complet du projet],24),"")</f>
        <v>0</v>
      </c>
      <c r="B269" s="61" t="str">
        <f aca="false">IF(A269="","",COUNTIFS(tbl_Activites[ID Projet],INDEX(tbl_Projets[ID Projet],24)))</f>
        <v/>
      </c>
      <c r="C269" s="61" t="str">
        <f aca="false">IF(A269="","",COUNTIFS(tbl_Activites[ID Projet],INDEX(tbl_Projets[ID Projet],24),tbl_Activites[Statut de l''activite],"Realisee"))</f>
        <v/>
      </c>
      <c r="D269" s="82" t="str">
        <f aca="false">IF(OR(B269="",B269=0),"",C269/B269)</f>
        <v/>
      </c>
    </row>
    <row r="270" customFormat="false" ht="15" hidden="false" customHeight="true" outlineLevel="0" collapsed="false">
      <c r="A270" s="90" t="n">
        <f aca="false">IFERROR(INDEX(tbl_Projets[Titre complet du projet],25),"")</f>
        <v>0</v>
      </c>
      <c r="B270" s="61" t="str">
        <f aca="false">IF(A270="","",COUNTIFS(tbl_Activites[ID Projet],INDEX(tbl_Projets[ID Projet],25)))</f>
        <v/>
      </c>
      <c r="C270" s="61" t="str">
        <f aca="false">IF(A270="","",COUNTIFS(tbl_Activites[ID Projet],INDEX(tbl_Projets[ID Projet],25),tbl_Activites[Statut de l''activite],"Realisee"))</f>
        <v/>
      </c>
      <c r="D270" s="82" t="str">
        <f aca="false">IF(OR(B270="",B270=0),"",C270/B270)</f>
        <v/>
      </c>
    </row>
    <row r="271" customFormat="false" ht="15" hidden="false" customHeight="true" outlineLevel="0" collapsed="false">
      <c r="A271" s="90" t="n">
        <f aca="false">IFERROR(INDEX(tbl_Projets[Titre complet du projet],26),"")</f>
        <v>0</v>
      </c>
      <c r="B271" s="61" t="str">
        <f aca="false">IF(A271="","",COUNTIFS(tbl_Activites[ID Projet],INDEX(tbl_Projets[ID Projet],26)))</f>
        <v/>
      </c>
      <c r="C271" s="61" t="str">
        <f aca="false">IF(A271="","",COUNTIFS(tbl_Activites[ID Projet],INDEX(tbl_Projets[ID Projet],26),tbl_Activites[Statut de l''activite],"Realisee"))</f>
        <v/>
      </c>
      <c r="D271" s="82" t="str">
        <f aca="false">IF(OR(B271="",B271=0),"",C271/B271)</f>
        <v/>
      </c>
    </row>
    <row r="272" customFormat="false" ht="15" hidden="false" customHeight="true" outlineLevel="0" collapsed="false">
      <c r="A272" s="90" t="n">
        <f aca="false">IFERROR(INDEX(tbl_Projets[Titre complet du projet],27),"")</f>
        <v>0</v>
      </c>
      <c r="B272" s="61" t="str">
        <f aca="false">IF(A272="","",COUNTIFS(tbl_Activites[ID Projet],INDEX(tbl_Projets[ID Projet],27)))</f>
        <v/>
      </c>
      <c r="C272" s="61" t="str">
        <f aca="false">IF(A272="","",COUNTIFS(tbl_Activites[ID Projet],INDEX(tbl_Projets[ID Projet],27),tbl_Activites[Statut de l''activite],"Realisee"))</f>
        <v/>
      </c>
      <c r="D272" s="82" t="str">
        <f aca="false">IF(OR(B272="",B272=0),"",C272/B272)</f>
        <v/>
      </c>
    </row>
    <row r="273" customFormat="false" ht="15" hidden="false" customHeight="true" outlineLevel="0" collapsed="false">
      <c r="A273" s="90" t="n">
        <f aca="false">IFERROR(INDEX(tbl_Projets[Titre complet du projet],28),"")</f>
        <v>0</v>
      </c>
      <c r="B273" s="61" t="str">
        <f aca="false">IF(A273="","",COUNTIFS(tbl_Activites[ID Projet],INDEX(tbl_Projets[ID Projet],28)))</f>
        <v/>
      </c>
      <c r="C273" s="61" t="str">
        <f aca="false">IF(A273="","",COUNTIFS(tbl_Activites[ID Projet],INDEX(tbl_Projets[ID Projet],28),tbl_Activites[Statut de l''activite],"Realisee"))</f>
        <v/>
      </c>
      <c r="D273" s="82" t="str">
        <f aca="false">IF(OR(B273="",B273=0),"",C273/B273)</f>
        <v/>
      </c>
    </row>
    <row r="274" customFormat="false" ht="15" hidden="false" customHeight="true" outlineLevel="0" collapsed="false">
      <c r="A274" s="90" t="n">
        <f aca="false">IFERROR(INDEX(tbl_Projets[Titre complet du projet],29),"")</f>
        <v>0</v>
      </c>
      <c r="B274" s="61" t="str">
        <f aca="false">IF(A274="","",COUNTIFS(tbl_Activites[ID Projet],INDEX(tbl_Projets[ID Projet],29)))</f>
        <v/>
      </c>
      <c r="C274" s="61" t="str">
        <f aca="false">IF(A274="","",COUNTIFS(tbl_Activites[ID Projet],INDEX(tbl_Projets[ID Projet],29),tbl_Activites[Statut de l''activite],"Realisee"))</f>
        <v/>
      </c>
      <c r="D274" s="82" t="str">
        <f aca="false">IF(OR(B274="",B274=0),"",C274/B274)</f>
        <v/>
      </c>
    </row>
    <row r="275" customFormat="false" ht="15" hidden="false" customHeight="true" outlineLevel="0" collapsed="false">
      <c r="A275" s="90" t="n">
        <f aca="false">IFERROR(INDEX(tbl_Projets[Titre complet du projet],30),"")</f>
        <v>0</v>
      </c>
      <c r="B275" s="61" t="str">
        <f aca="false">IF(A275="","",COUNTIFS(tbl_Activites[ID Projet],INDEX(tbl_Projets[ID Projet],30)))</f>
        <v/>
      </c>
      <c r="C275" s="61" t="str">
        <f aca="false">IF(A275="","",COUNTIFS(tbl_Activites[ID Projet],INDEX(tbl_Projets[ID Projet],30),tbl_Activites[Statut de l''activite],"Realisee"))</f>
        <v/>
      </c>
      <c r="D275" s="82" t="str">
        <f aca="false">IF(OR(B275="",B275=0),"",C275/B275)</f>
        <v/>
      </c>
    </row>
    <row r="276" customFormat="false" ht="15" hidden="false" customHeight="true" outlineLevel="0" collapsed="false">
      <c r="A276" s="90" t="n">
        <f aca="false">IFERROR(INDEX(tbl_Projets[Titre complet du projet],31),"")</f>
        <v>0</v>
      </c>
      <c r="B276" s="61" t="str">
        <f aca="false">IF(A276="","",COUNTIFS(tbl_Activites[ID Projet],INDEX(tbl_Projets[ID Projet],31)))</f>
        <v/>
      </c>
      <c r="C276" s="61" t="str">
        <f aca="false">IF(A276="","",COUNTIFS(tbl_Activites[ID Projet],INDEX(tbl_Projets[ID Projet],31),tbl_Activites[Statut de l''activite],"Realisee"))</f>
        <v/>
      </c>
      <c r="D276" s="82" t="str">
        <f aca="false">IF(OR(B276="",B276=0),"",C276/B276)</f>
        <v/>
      </c>
    </row>
    <row r="277" customFormat="false" ht="15" hidden="false" customHeight="true" outlineLevel="0" collapsed="false">
      <c r="A277" s="90" t="n">
        <f aca="false">IFERROR(INDEX(tbl_Projets[Titre complet du projet],32),"")</f>
        <v>0</v>
      </c>
      <c r="B277" s="61" t="str">
        <f aca="false">IF(A277="","",COUNTIFS(tbl_Activites[ID Projet],INDEX(tbl_Projets[ID Projet],32)))</f>
        <v/>
      </c>
      <c r="C277" s="61" t="str">
        <f aca="false">IF(A277="","",COUNTIFS(tbl_Activites[ID Projet],INDEX(tbl_Projets[ID Projet],32),tbl_Activites[Statut de l''activite],"Realisee"))</f>
        <v/>
      </c>
      <c r="D277" s="82" t="str">
        <f aca="false">IF(OR(B277="",B277=0),"",C277/B277)</f>
        <v/>
      </c>
    </row>
    <row r="278" customFormat="false" ht="15" hidden="false" customHeight="true" outlineLevel="0" collapsed="false">
      <c r="A278" s="90" t="n">
        <f aca="false">IFERROR(INDEX(tbl_Projets[Titre complet du projet],33),"")</f>
        <v>0</v>
      </c>
      <c r="B278" s="61" t="str">
        <f aca="false">IF(A278="","",COUNTIFS(tbl_Activites[ID Projet],INDEX(tbl_Projets[ID Projet],33)))</f>
        <v/>
      </c>
      <c r="C278" s="61" t="str">
        <f aca="false">IF(A278="","",COUNTIFS(tbl_Activites[ID Projet],INDEX(tbl_Projets[ID Projet],33),tbl_Activites[Statut de l''activite],"Realisee"))</f>
        <v/>
      </c>
      <c r="D278" s="82" t="str">
        <f aca="false">IF(OR(B278="",B278=0),"",C278/B278)</f>
        <v/>
      </c>
    </row>
    <row r="279" customFormat="false" ht="15" hidden="false" customHeight="true" outlineLevel="0" collapsed="false">
      <c r="A279" s="90" t="n">
        <f aca="false">IFERROR(INDEX(tbl_Projets[Titre complet du projet],34),"")</f>
        <v>0</v>
      </c>
      <c r="B279" s="61" t="str">
        <f aca="false">IF(A279="","",COUNTIFS(tbl_Activites[ID Projet],INDEX(tbl_Projets[ID Projet],34)))</f>
        <v/>
      </c>
      <c r="C279" s="61" t="str">
        <f aca="false">IF(A279="","",COUNTIFS(tbl_Activites[ID Projet],INDEX(tbl_Projets[ID Projet],34),tbl_Activites[Statut de l''activite],"Realisee"))</f>
        <v/>
      </c>
      <c r="D279" s="82" t="str">
        <f aca="false">IF(OR(B279="",B279=0),"",C279/B279)</f>
        <v/>
      </c>
    </row>
    <row r="280" customFormat="false" ht="15" hidden="false" customHeight="true" outlineLevel="0" collapsed="false">
      <c r="A280" s="90" t="n">
        <f aca="false">IFERROR(INDEX(tbl_Projets[Titre complet du projet],35),"")</f>
        <v>0</v>
      </c>
      <c r="B280" s="61" t="str">
        <f aca="false">IF(A280="","",COUNTIFS(tbl_Activites[ID Projet],INDEX(tbl_Projets[ID Projet],35)))</f>
        <v/>
      </c>
      <c r="C280" s="61" t="str">
        <f aca="false">IF(A280="","",COUNTIFS(tbl_Activites[ID Projet],INDEX(tbl_Projets[ID Projet],35),tbl_Activites[Statut de l''activite],"Realisee"))</f>
        <v/>
      </c>
      <c r="D280" s="82" t="str">
        <f aca="false">IF(OR(B280="",B280=0),"",C280/B280)</f>
        <v/>
      </c>
    </row>
    <row r="281" customFormat="false" ht="15" hidden="false" customHeight="true" outlineLevel="0" collapsed="false">
      <c r="A281" s="90" t="n">
        <f aca="false">IFERROR(INDEX(tbl_Projets[Titre complet du projet],36),"")</f>
        <v>0</v>
      </c>
      <c r="B281" s="61" t="str">
        <f aca="false">IF(A281="","",COUNTIFS(tbl_Activites[ID Projet],INDEX(tbl_Projets[ID Projet],36)))</f>
        <v/>
      </c>
      <c r="C281" s="61" t="str">
        <f aca="false">IF(A281="","",COUNTIFS(tbl_Activites[ID Projet],INDEX(tbl_Projets[ID Projet],36),tbl_Activites[Statut de l''activite],"Realisee"))</f>
        <v/>
      </c>
      <c r="D281" s="82" t="str">
        <f aca="false">IF(OR(B281="",B281=0),"",C281/B281)</f>
        <v/>
      </c>
    </row>
    <row r="282" customFormat="false" ht="15" hidden="false" customHeight="true" outlineLevel="0" collapsed="false">
      <c r="A282" s="90" t="n">
        <f aca="false">IFERROR(INDEX(tbl_Projets[Titre complet du projet],37),"")</f>
        <v>0</v>
      </c>
      <c r="B282" s="61" t="str">
        <f aca="false">IF(A282="","",COUNTIFS(tbl_Activites[ID Projet],INDEX(tbl_Projets[ID Projet],37)))</f>
        <v/>
      </c>
      <c r="C282" s="61" t="str">
        <f aca="false">IF(A282="","",COUNTIFS(tbl_Activites[ID Projet],INDEX(tbl_Projets[ID Projet],37),tbl_Activites[Statut de l''activite],"Realisee"))</f>
        <v/>
      </c>
      <c r="D282" s="82" t="str">
        <f aca="false">IF(OR(B282="",B282=0),"",C282/B282)</f>
        <v/>
      </c>
    </row>
    <row r="283" customFormat="false" ht="15" hidden="false" customHeight="true" outlineLevel="0" collapsed="false">
      <c r="A283" s="90" t="n">
        <f aca="false">IFERROR(INDEX(tbl_Projets[Titre complet du projet],38),"")</f>
        <v>0</v>
      </c>
      <c r="B283" s="61" t="str">
        <f aca="false">IF(A283="","",COUNTIFS(tbl_Activites[ID Projet],INDEX(tbl_Projets[ID Projet],38)))</f>
        <v/>
      </c>
      <c r="C283" s="61" t="str">
        <f aca="false">IF(A283="","",COUNTIFS(tbl_Activites[ID Projet],INDEX(tbl_Projets[ID Projet],38),tbl_Activites[Statut de l''activite],"Realisee"))</f>
        <v/>
      </c>
      <c r="D283" s="82" t="str">
        <f aca="false">IF(OR(B283="",B283=0),"",C283/B283)</f>
        <v/>
      </c>
    </row>
    <row r="284" customFormat="false" ht="15" hidden="false" customHeight="true" outlineLevel="0" collapsed="false">
      <c r="A284" s="90" t="n">
        <f aca="false">IFERROR(INDEX(tbl_Projets[Titre complet du projet],39),"")</f>
        <v>0</v>
      </c>
      <c r="B284" s="61" t="str">
        <f aca="false">IF(A284="","",COUNTIFS(tbl_Activites[ID Projet],INDEX(tbl_Projets[ID Projet],39)))</f>
        <v/>
      </c>
      <c r="C284" s="61" t="str">
        <f aca="false">IF(A284="","",COUNTIFS(tbl_Activites[ID Projet],INDEX(tbl_Projets[ID Projet],39),tbl_Activites[Statut de l''activite],"Realisee"))</f>
        <v/>
      </c>
      <c r="D284" s="82" t="str">
        <f aca="false">IF(OR(B284="",B284=0),"",C284/B284)</f>
        <v/>
      </c>
    </row>
    <row r="285" customFormat="false" ht="15" hidden="false" customHeight="true" outlineLevel="0" collapsed="false">
      <c r="A285" s="90" t="n">
        <f aca="false">IFERROR(INDEX(tbl_Projets[Titre complet du projet],40),"")</f>
        <v>0</v>
      </c>
      <c r="B285" s="61" t="str">
        <f aca="false">IF(A285="","",COUNTIFS(tbl_Activites[ID Projet],INDEX(tbl_Projets[ID Projet],40)))</f>
        <v/>
      </c>
      <c r="C285" s="61" t="str">
        <f aca="false">IF(A285="","",COUNTIFS(tbl_Activites[ID Projet],INDEX(tbl_Projets[ID Projet],40),tbl_Activites[Statut de l''activite],"Realisee"))</f>
        <v/>
      </c>
      <c r="D285" s="82" t="str">
        <f aca="false">IF(OR(B285="",B285=0),"",C285/B285)</f>
        <v/>
      </c>
    </row>
    <row r="288" customFormat="false" ht="15.75" hidden="false" customHeight="true" outlineLevel="0" collapsed="false">
      <c r="A288" s="55" t="s">
        <v>1773</v>
      </c>
      <c r="B288" s="55"/>
      <c r="C288" s="55"/>
      <c r="D288" s="55"/>
    </row>
    <row r="289" customFormat="false" ht="15" hidden="false" customHeight="true" outlineLevel="0" collapsed="false">
      <c r="A289" s="59" t="s">
        <v>1327</v>
      </c>
      <c r="B289" s="59" t="s">
        <v>1694</v>
      </c>
      <c r="C289" s="59" t="s">
        <v>1688</v>
      </c>
      <c r="D289" s="59" t="s">
        <v>1774</v>
      </c>
    </row>
    <row r="290" customFormat="false" ht="15" hidden="false" customHeight="true" outlineLevel="0" collapsed="false">
      <c r="A290" s="96" t="s">
        <v>146</v>
      </c>
      <c r="B290" s="61" t="n">
        <f aca="false">COUNTIFS(tbl_Activites[Domaine d''intervention (activite)],A290)</f>
        <v>0</v>
      </c>
      <c r="C290" s="61" t="n">
        <f aca="false">COUNTIFS(tbl_Activites[Domaine d''intervention (activite)],A290,tbl_Activites[Statut de l''activite],"Realisee")</f>
        <v>0</v>
      </c>
      <c r="D290" s="82" t="str">
        <f aca="false">IF(OR(B290="",B290=0),"",C290/B290)</f>
        <v/>
      </c>
    </row>
    <row r="291" customFormat="false" ht="15" hidden="false" customHeight="true" outlineLevel="0" collapsed="false">
      <c r="A291" s="96" t="s">
        <v>150</v>
      </c>
      <c r="B291" s="61" t="n">
        <f aca="false">COUNTIFS(tbl_Activites[Domaine d''intervention (activite)],A291)</f>
        <v>0</v>
      </c>
      <c r="C291" s="61" t="n">
        <f aca="false">COUNTIFS(tbl_Activites[Domaine d''intervention (activite)],A291,tbl_Activites[Statut de l''activite],"Realisee")</f>
        <v>0</v>
      </c>
      <c r="D291" s="82" t="str">
        <f aca="false">IF(OR(B291="",B291=0),"",C291/B291)</f>
        <v/>
      </c>
    </row>
    <row r="292" customFormat="false" ht="15" hidden="false" customHeight="true" outlineLevel="0" collapsed="false">
      <c r="A292" s="96" t="s">
        <v>153</v>
      </c>
      <c r="B292" s="61" t="n">
        <f aca="false">COUNTIFS(tbl_Activites[Domaine d''intervention (activite)],A292)</f>
        <v>0</v>
      </c>
      <c r="C292" s="61" t="n">
        <f aca="false">COUNTIFS(tbl_Activites[Domaine d''intervention (activite)],A292,tbl_Activites[Statut de l''activite],"Realisee")</f>
        <v>0</v>
      </c>
      <c r="D292" s="82" t="str">
        <f aca="false">IF(OR(B292="",B292=0),"",C292/B292)</f>
        <v/>
      </c>
    </row>
    <row r="293" customFormat="false" ht="15" hidden="false" customHeight="true" outlineLevel="0" collapsed="false">
      <c r="A293" s="96" t="s">
        <v>156</v>
      </c>
      <c r="B293" s="61" t="n">
        <f aca="false">COUNTIFS(tbl_Activites[Domaine d''intervention (activite)],A293)</f>
        <v>0</v>
      </c>
      <c r="C293" s="61" t="n">
        <f aca="false">COUNTIFS(tbl_Activites[Domaine d''intervention (activite)],A293,tbl_Activites[Statut de l''activite],"Realisee")</f>
        <v>0</v>
      </c>
      <c r="D293" s="82" t="str">
        <f aca="false">IF(OR(B293="",B293=0),"",C293/B293)</f>
        <v/>
      </c>
    </row>
    <row r="294" customFormat="false" ht="15" hidden="false" customHeight="true" outlineLevel="0" collapsed="false">
      <c r="A294" s="96" t="s">
        <v>159</v>
      </c>
      <c r="B294" s="61" t="n">
        <f aca="false">COUNTIFS(tbl_Activites[Domaine d''intervention (activite)],A294)</f>
        <v>0</v>
      </c>
      <c r="C294" s="61" t="n">
        <f aca="false">COUNTIFS(tbl_Activites[Domaine d''intervention (activite)],A294,tbl_Activites[Statut de l''activite],"Realisee")</f>
        <v>0</v>
      </c>
      <c r="D294" s="82" t="str">
        <f aca="false">IF(OR(B294="",B294=0),"",C294/B294)</f>
        <v/>
      </c>
    </row>
    <row r="295" customFormat="false" ht="15" hidden="false" customHeight="true" outlineLevel="0" collapsed="false">
      <c r="A295" s="96" t="s">
        <v>162</v>
      </c>
      <c r="B295" s="61" t="n">
        <f aca="false">COUNTIFS(tbl_Activites[Domaine d''intervention (activite)],A295)</f>
        <v>0</v>
      </c>
      <c r="C295" s="61" t="n">
        <f aca="false">COUNTIFS(tbl_Activites[Domaine d''intervention (activite)],A295,tbl_Activites[Statut de l''activite],"Realisee")</f>
        <v>0</v>
      </c>
      <c r="D295" s="82" t="str">
        <f aca="false">IF(OR(B295="",B295=0),"",C295/B295)</f>
        <v/>
      </c>
    </row>
    <row r="296" customFormat="false" ht="15" hidden="false" customHeight="true" outlineLevel="0" collapsed="false">
      <c r="A296" s="96" t="s">
        <v>165</v>
      </c>
      <c r="B296" s="61" t="n">
        <f aca="false">COUNTIFS(tbl_Activites[Domaine d''intervention (activite)],A296)</f>
        <v>0</v>
      </c>
      <c r="C296" s="61" t="n">
        <f aca="false">COUNTIFS(tbl_Activites[Domaine d''intervention (activite)],A296,tbl_Activites[Statut de l''activite],"Realisee")</f>
        <v>0</v>
      </c>
      <c r="D296" s="82" t="str">
        <f aca="false">IF(OR(B296="",B296=0),"",C296/B296)</f>
        <v/>
      </c>
    </row>
    <row r="297" customFormat="false" ht="15" hidden="false" customHeight="true" outlineLevel="0" collapsed="false">
      <c r="A297" s="96" t="s">
        <v>168</v>
      </c>
      <c r="B297" s="61" t="n">
        <f aca="false">COUNTIFS(tbl_Activites[Domaine d''intervention (activite)],A297)</f>
        <v>0</v>
      </c>
      <c r="C297" s="61" t="n">
        <f aca="false">COUNTIFS(tbl_Activites[Domaine d''intervention (activite)],A297,tbl_Activites[Statut de l''activite],"Realisee")</f>
        <v>0</v>
      </c>
      <c r="D297" s="82" t="str">
        <f aca="false">IF(OR(B297="",B297=0),"",C297/B297)</f>
        <v/>
      </c>
    </row>
    <row r="298" customFormat="false" ht="15" hidden="false" customHeight="true" outlineLevel="0" collapsed="false">
      <c r="A298" s="96" t="s">
        <v>171</v>
      </c>
      <c r="B298" s="61" t="n">
        <f aca="false">COUNTIFS(tbl_Activites[Domaine d''intervention (activite)],A298)</f>
        <v>0</v>
      </c>
      <c r="C298" s="61" t="n">
        <f aca="false">COUNTIFS(tbl_Activites[Domaine d''intervention (activite)],A298,tbl_Activites[Statut de l''activite],"Realisee")</f>
        <v>0</v>
      </c>
      <c r="D298" s="82" t="str">
        <f aca="false">IF(OR(B298="",B298=0),"",C298/B298)</f>
        <v/>
      </c>
    </row>
    <row r="299" customFormat="false" ht="15" hidden="false" customHeight="true" outlineLevel="0" collapsed="false">
      <c r="A299" s="96" t="s">
        <v>174</v>
      </c>
      <c r="B299" s="61" t="n">
        <f aca="false">COUNTIFS(tbl_Activites[Domaine d''intervention (activite)],A299)</f>
        <v>0</v>
      </c>
      <c r="C299" s="61" t="n">
        <f aca="false">COUNTIFS(tbl_Activites[Domaine d''intervention (activite)],A299,tbl_Activites[Statut de l''activite],"Realisee")</f>
        <v>0</v>
      </c>
      <c r="D299" s="82" t="str">
        <f aca="false">IF(OR(B299="",B299=0),"",C299/B299)</f>
        <v/>
      </c>
    </row>
    <row r="300" customFormat="false" ht="15" hidden="false" customHeight="true" outlineLevel="0" collapsed="false">
      <c r="A300" s="96" t="s">
        <v>178</v>
      </c>
      <c r="B300" s="61" t="n">
        <f aca="false">COUNTIFS(tbl_Activites[Domaine d''intervention (activite)],A300)</f>
        <v>0</v>
      </c>
      <c r="C300" s="61" t="n">
        <f aca="false">COUNTIFS(tbl_Activites[Domaine d''intervention (activite)],A300,tbl_Activites[Statut de l''activite],"Realisee")</f>
        <v>0</v>
      </c>
      <c r="D300" s="82" t="str">
        <f aca="false">IF(OR(B300="",B300=0),"",C300/B300)</f>
        <v/>
      </c>
    </row>
    <row r="301" customFormat="false" ht="15" hidden="false" customHeight="true" outlineLevel="0" collapsed="false">
      <c r="A301" s="96" t="s">
        <v>181</v>
      </c>
      <c r="B301" s="61" t="n">
        <f aca="false">COUNTIFS(tbl_Activites[Domaine d''intervention (activite)],A301)</f>
        <v>0</v>
      </c>
      <c r="C301" s="61" t="n">
        <f aca="false">COUNTIFS(tbl_Activites[Domaine d''intervention (activite)],A301,tbl_Activites[Statut de l''activite],"Realisee")</f>
        <v>0</v>
      </c>
      <c r="D301" s="82" t="str">
        <f aca="false">IF(OR(B301="",B301=0),"",C301/B301)</f>
        <v/>
      </c>
    </row>
    <row r="302" customFormat="false" ht="15" hidden="false" customHeight="true" outlineLevel="0" collapsed="false">
      <c r="A302" s="96" t="s">
        <v>184</v>
      </c>
      <c r="B302" s="61" t="n">
        <f aca="false">COUNTIFS(tbl_Activites[Domaine d''intervention (activite)],A302)</f>
        <v>0</v>
      </c>
      <c r="C302" s="61" t="n">
        <f aca="false">COUNTIFS(tbl_Activites[Domaine d''intervention (activite)],A302,tbl_Activites[Statut de l''activite],"Realisee")</f>
        <v>0</v>
      </c>
      <c r="D302" s="82" t="str">
        <f aca="false">IF(OR(B302="",B302=0),"",C302/B302)</f>
        <v/>
      </c>
    </row>
    <row r="303" customFormat="false" ht="15" hidden="false" customHeight="true" outlineLevel="0" collapsed="false">
      <c r="A303" s="96" t="s">
        <v>187</v>
      </c>
      <c r="B303" s="61" t="n">
        <f aca="false">COUNTIFS(tbl_Activites[Domaine d''intervention (activite)],A303)</f>
        <v>0</v>
      </c>
      <c r="C303" s="61" t="n">
        <f aca="false">COUNTIFS(tbl_Activites[Domaine d''intervention (activite)],A303,tbl_Activites[Statut de l''activite],"Realisee")</f>
        <v>0</v>
      </c>
      <c r="D303" s="82" t="str">
        <f aca="false">IF(OR(B303="",B303=0),"",C303/B303)</f>
        <v/>
      </c>
    </row>
    <row r="304" customFormat="false" ht="15" hidden="false" customHeight="true" outlineLevel="0" collapsed="false">
      <c r="A304" s="96" t="s">
        <v>190</v>
      </c>
      <c r="B304" s="61" t="n">
        <f aca="false">COUNTIFS(tbl_Activites[Domaine d''intervention (activite)],A304)</f>
        <v>0</v>
      </c>
      <c r="C304" s="61" t="n">
        <f aca="false">COUNTIFS(tbl_Activites[Domaine d''intervention (activite)],A304,tbl_Activites[Statut de l''activite],"Realisee")</f>
        <v>0</v>
      </c>
      <c r="D304" s="82" t="str">
        <f aca="false">IF(OR(B304="",B304=0),"",C304/B304)</f>
        <v/>
      </c>
    </row>
    <row r="305" customFormat="false" ht="15" hidden="false" customHeight="true" outlineLevel="0" collapsed="false">
      <c r="A305" s="96" t="s">
        <v>193</v>
      </c>
      <c r="B305" s="61" t="n">
        <f aca="false">COUNTIFS(tbl_Activites[Domaine d''intervention (activite)],A305)</f>
        <v>0</v>
      </c>
      <c r="C305" s="61" t="n">
        <f aca="false">COUNTIFS(tbl_Activites[Domaine d''intervention (activite)],A305,tbl_Activites[Statut de l''activite],"Realisee")</f>
        <v>0</v>
      </c>
      <c r="D305" s="82" t="str">
        <f aca="false">IF(OR(B305="",B305=0),"",C305/B305)</f>
        <v/>
      </c>
    </row>
    <row r="306" customFormat="false" ht="15" hidden="false" customHeight="true" outlineLevel="0" collapsed="false">
      <c r="A306" s="96" t="s">
        <v>196</v>
      </c>
      <c r="B306" s="61" t="n">
        <f aca="false">COUNTIFS(tbl_Activites[Domaine d''intervention (activite)],A306)</f>
        <v>0</v>
      </c>
      <c r="C306" s="61" t="n">
        <f aca="false">COUNTIFS(tbl_Activites[Domaine d''intervention (activite)],A306,tbl_Activites[Statut de l''activite],"Realisee")</f>
        <v>0</v>
      </c>
      <c r="D306" s="82" t="str">
        <f aca="false">IF(OR(B306="",B306=0),"",C306/B306)</f>
        <v/>
      </c>
    </row>
    <row r="307" customFormat="false" ht="15" hidden="false" customHeight="true" outlineLevel="0" collapsed="false">
      <c r="A307" s="96" t="s">
        <v>199</v>
      </c>
      <c r="B307" s="61" t="n">
        <f aca="false">COUNTIFS(tbl_Activites[Domaine d''intervention (activite)],A307)</f>
        <v>0</v>
      </c>
      <c r="C307" s="61" t="n">
        <f aca="false">COUNTIFS(tbl_Activites[Domaine d''intervention (activite)],A307,tbl_Activites[Statut de l''activite],"Realisee")</f>
        <v>0</v>
      </c>
      <c r="D307" s="82" t="str">
        <f aca="false">IF(OR(B307="",B307=0),"",C307/B307)</f>
        <v/>
      </c>
    </row>
    <row r="308" customFormat="false" ht="15" hidden="false" customHeight="true" outlineLevel="0" collapsed="false">
      <c r="A308" s="96" t="s">
        <v>202</v>
      </c>
      <c r="B308" s="61" t="n">
        <f aca="false">COUNTIFS(tbl_Activites[Domaine d''intervention (activite)],A308)</f>
        <v>0</v>
      </c>
      <c r="C308" s="61" t="n">
        <f aca="false">COUNTIFS(tbl_Activites[Domaine d''intervention (activite)],A308,tbl_Activites[Statut de l''activite],"Realisee")</f>
        <v>0</v>
      </c>
      <c r="D308" s="82" t="str">
        <f aca="false">IF(OR(B308="",B308=0),"",C308/B308)</f>
        <v/>
      </c>
    </row>
    <row r="309" customFormat="false" ht="15" hidden="false" customHeight="true" outlineLevel="0" collapsed="false">
      <c r="A309" s="96" t="s">
        <v>205</v>
      </c>
      <c r="B309" s="61" t="n">
        <f aca="false">COUNTIFS(tbl_Activites[Domaine d''intervention (activite)],A309)</f>
        <v>0</v>
      </c>
      <c r="C309" s="61" t="n">
        <f aca="false">COUNTIFS(tbl_Activites[Domaine d''intervention (activite)],A309,tbl_Activites[Statut de l''activite],"Realisee")</f>
        <v>0</v>
      </c>
      <c r="D309" s="82" t="str">
        <f aca="false">IF(OR(B309="",B309=0),"",C309/B309)</f>
        <v/>
      </c>
    </row>
    <row r="310" customFormat="false" ht="25.5" hidden="false" customHeight="true" outlineLevel="0" collapsed="false">
      <c r="A310" s="96" t="s">
        <v>208</v>
      </c>
      <c r="B310" s="61" t="n">
        <f aca="false">COUNTIFS(tbl_Activites[Domaine d''intervention (activite)],A310)</f>
        <v>0</v>
      </c>
      <c r="C310" s="61" t="n">
        <f aca="false">COUNTIFS(tbl_Activites[Domaine d''intervention (activite)],A310,tbl_Activites[Statut de l''activite],"Realisee")</f>
        <v>0</v>
      </c>
      <c r="D310" s="82" t="str">
        <f aca="false">IF(OR(B310="",B310=0),"",C310/B310)</f>
        <v/>
      </c>
    </row>
    <row r="311" customFormat="false" ht="15" hidden="false" customHeight="true" outlineLevel="0" collapsed="false">
      <c r="A311" s="96" t="s">
        <v>211</v>
      </c>
      <c r="B311" s="61" t="n">
        <f aca="false">COUNTIFS(tbl_Activites[Domaine d''intervention (activite)],A311)</f>
        <v>0</v>
      </c>
      <c r="C311" s="61" t="n">
        <f aca="false">COUNTIFS(tbl_Activites[Domaine d''intervention (activite)],A311,tbl_Activites[Statut de l''activite],"Realisee")</f>
        <v>0</v>
      </c>
      <c r="D311" s="82" t="str">
        <f aca="false">IF(OR(B311="",B311=0),"",C311/B311)</f>
        <v/>
      </c>
    </row>
    <row r="312" customFormat="false" ht="15" hidden="false" customHeight="true" outlineLevel="0" collapsed="false">
      <c r="A312" s="96" t="s">
        <v>214</v>
      </c>
      <c r="B312" s="61" t="n">
        <f aca="false">COUNTIFS(tbl_Activites[Domaine d''intervention (activite)],A312)</f>
        <v>0</v>
      </c>
      <c r="C312" s="61" t="n">
        <f aca="false">COUNTIFS(tbl_Activites[Domaine d''intervention (activite)],A312,tbl_Activites[Statut de l''activite],"Realisee")</f>
        <v>0</v>
      </c>
      <c r="D312" s="82" t="str">
        <f aca="false">IF(OR(B312="",B312=0),"",C312/B312)</f>
        <v/>
      </c>
    </row>
    <row r="313" customFormat="false" ht="15" hidden="false" customHeight="true" outlineLevel="0" collapsed="false">
      <c r="A313" s="96" t="s">
        <v>217</v>
      </c>
      <c r="B313" s="61" t="n">
        <f aca="false">COUNTIFS(tbl_Activites[Domaine d''intervention (activite)],A313)</f>
        <v>0</v>
      </c>
      <c r="C313" s="61" t="n">
        <f aca="false">COUNTIFS(tbl_Activites[Domaine d''intervention (activite)],A313,tbl_Activites[Statut de l''activite],"Realisee")</f>
        <v>0</v>
      </c>
      <c r="D313" s="82" t="str">
        <f aca="false">IF(OR(B313="",B313=0),"",C313/B313)</f>
        <v/>
      </c>
    </row>
    <row r="314" customFormat="false" ht="25.5" hidden="false" customHeight="true" outlineLevel="0" collapsed="false">
      <c r="A314" s="96" t="s">
        <v>220</v>
      </c>
      <c r="B314" s="61" t="n">
        <f aca="false">COUNTIFS(tbl_Activites[Domaine d''intervention (activite)],A314)</f>
        <v>0</v>
      </c>
      <c r="C314" s="61" t="n">
        <f aca="false">COUNTIFS(tbl_Activites[Domaine d''intervention (activite)],A314,tbl_Activites[Statut de l''activite],"Realisee")</f>
        <v>0</v>
      </c>
      <c r="D314" s="82" t="str">
        <f aca="false">IF(OR(B314="",B314=0),"",C314/B314)</f>
        <v/>
      </c>
    </row>
    <row r="315" customFormat="false" ht="15" hidden="false" customHeight="true" outlineLevel="0" collapsed="false">
      <c r="A315" s="96" t="s">
        <v>223</v>
      </c>
      <c r="B315" s="61" t="n">
        <f aca="false">COUNTIFS(tbl_Activites[Domaine d''intervention (activite)],A315)</f>
        <v>0</v>
      </c>
      <c r="C315" s="61" t="n">
        <f aca="false">COUNTIFS(tbl_Activites[Domaine d''intervention (activite)],A315,tbl_Activites[Statut de l''activite],"Realisee")</f>
        <v>0</v>
      </c>
      <c r="D315" s="82" t="str">
        <f aca="false">IF(OR(B315="",B315=0),"",C315/B315)</f>
        <v/>
      </c>
    </row>
    <row r="316" customFormat="false" ht="15" hidden="false" customHeight="true" outlineLevel="0" collapsed="false">
      <c r="A316" s="96" t="s">
        <v>226</v>
      </c>
      <c r="B316" s="61" t="n">
        <f aca="false">COUNTIFS(tbl_Activites[Domaine d''intervention (activite)],A316)</f>
        <v>0</v>
      </c>
      <c r="C316" s="61" t="n">
        <f aca="false">COUNTIFS(tbl_Activites[Domaine d''intervention (activite)],A316,tbl_Activites[Statut de l''activite],"Realisee")</f>
        <v>0</v>
      </c>
      <c r="D316" s="82" t="str">
        <f aca="false">IF(OR(B316="",B316=0),"",C316/B316)</f>
        <v/>
      </c>
    </row>
    <row r="317" customFormat="false" ht="15" hidden="false" customHeight="true" outlineLevel="0" collapsed="false">
      <c r="A317" s="96" t="s">
        <v>229</v>
      </c>
      <c r="B317" s="61" t="n">
        <f aca="false">COUNTIFS(tbl_Activites[Domaine d''intervention (activite)],A317)</f>
        <v>0</v>
      </c>
      <c r="C317" s="61" t="n">
        <f aca="false">COUNTIFS(tbl_Activites[Domaine d''intervention (activite)],A317,tbl_Activites[Statut de l''activite],"Realisee")</f>
        <v>0</v>
      </c>
      <c r="D317" s="82" t="str">
        <f aca="false">IF(OR(B317="",B317=0),"",C317/B317)</f>
        <v/>
      </c>
    </row>
    <row r="318" customFormat="false" ht="15" hidden="false" customHeight="true" outlineLevel="0" collapsed="false">
      <c r="A318" s="96" t="s">
        <v>232</v>
      </c>
      <c r="B318" s="61" t="n">
        <f aca="false">COUNTIFS(tbl_Activites[Domaine d''intervention (activite)],A318)</f>
        <v>0</v>
      </c>
      <c r="C318" s="61" t="n">
        <f aca="false">COUNTIFS(tbl_Activites[Domaine d''intervention (activite)],A318,tbl_Activites[Statut de l''activite],"Realisee")</f>
        <v>0</v>
      </c>
      <c r="D318" s="82" t="str">
        <f aca="false">IF(OR(B318="",B318=0),"",C318/B318)</f>
        <v/>
      </c>
    </row>
    <row r="319" customFormat="false" ht="25.5" hidden="false" customHeight="true" outlineLevel="0" collapsed="false">
      <c r="A319" s="96" t="s">
        <v>235</v>
      </c>
      <c r="B319" s="61" t="n">
        <f aca="false">COUNTIFS(tbl_Activites[Domaine d''intervention (activite)],A319)</f>
        <v>0</v>
      </c>
      <c r="C319" s="61" t="n">
        <f aca="false">COUNTIFS(tbl_Activites[Domaine d''intervention (activite)],A319,tbl_Activites[Statut de l''activite],"Realisee")</f>
        <v>0</v>
      </c>
      <c r="D319" s="82" t="str">
        <f aca="false">IF(OR(B319="",B319=0),"",C319/B319)</f>
        <v/>
      </c>
    </row>
    <row r="320" customFormat="false" ht="25.5" hidden="false" customHeight="true" outlineLevel="0" collapsed="false">
      <c r="A320" s="96" t="s">
        <v>238</v>
      </c>
      <c r="B320" s="61" t="n">
        <f aca="false">COUNTIFS(tbl_Activites[Domaine d''intervention (activite)],A320)</f>
        <v>0</v>
      </c>
      <c r="C320" s="61" t="n">
        <f aca="false">COUNTIFS(tbl_Activites[Domaine d''intervention (activite)],A320,tbl_Activites[Statut de l''activite],"Realisee")</f>
        <v>0</v>
      </c>
      <c r="D320" s="82" t="str">
        <f aca="false">IF(OR(B320="",B320=0),"",C320/B320)</f>
        <v/>
      </c>
    </row>
    <row r="321" customFormat="false" ht="15" hidden="false" customHeight="true" outlineLevel="0" collapsed="false">
      <c r="A321" s="96" t="s">
        <v>241</v>
      </c>
      <c r="B321" s="61" t="n">
        <f aca="false">COUNTIFS(tbl_Activites[Domaine d''intervention (activite)],A321)</f>
        <v>0</v>
      </c>
      <c r="C321" s="61" t="n">
        <f aca="false">COUNTIFS(tbl_Activites[Domaine d''intervention (activite)],A321,tbl_Activites[Statut de l''activite],"Realisee")</f>
        <v>0</v>
      </c>
      <c r="D321" s="82" t="str">
        <f aca="false">IF(OR(B321="",B321=0),"",C321/B321)</f>
        <v/>
      </c>
    </row>
    <row r="322" customFormat="false" ht="25.5" hidden="false" customHeight="true" outlineLevel="0" collapsed="false">
      <c r="A322" s="96" t="s">
        <v>244</v>
      </c>
      <c r="B322" s="61" t="n">
        <f aca="false">COUNTIFS(tbl_Activites[Domaine d''intervention (activite)],A322)</f>
        <v>0</v>
      </c>
      <c r="C322" s="61" t="n">
        <f aca="false">COUNTIFS(tbl_Activites[Domaine d''intervention (activite)],A322,tbl_Activites[Statut de l''activite],"Realisee")</f>
        <v>0</v>
      </c>
      <c r="D322" s="82" t="str">
        <f aca="false">IF(OR(B322="",B322=0),"",C322/B322)</f>
        <v/>
      </c>
    </row>
    <row r="323" customFormat="false" ht="15" hidden="false" customHeight="true" outlineLevel="0" collapsed="false">
      <c r="A323" s="96" t="s">
        <v>247</v>
      </c>
      <c r="B323" s="61" t="n">
        <f aca="false">COUNTIFS(tbl_Activites[Domaine d''intervention (activite)],A323)</f>
        <v>0</v>
      </c>
      <c r="C323" s="61" t="n">
        <f aca="false">COUNTIFS(tbl_Activites[Domaine d''intervention (activite)],A323,tbl_Activites[Statut de l''activite],"Realisee")</f>
        <v>0</v>
      </c>
      <c r="D323" s="82" t="str">
        <f aca="false">IF(OR(B323="",B323=0),"",C323/B323)</f>
        <v/>
      </c>
    </row>
    <row r="324" customFormat="false" ht="25.5" hidden="false" customHeight="true" outlineLevel="0" collapsed="false">
      <c r="A324" s="96" t="s">
        <v>250</v>
      </c>
      <c r="B324" s="61" t="n">
        <f aca="false">COUNTIFS(tbl_Activites[Domaine d''intervention (activite)],A324)</f>
        <v>0</v>
      </c>
      <c r="C324" s="61" t="n">
        <f aca="false">COUNTIFS(tbl_Activites[Domaine d''intervention (activite)],A324,tbl_Activites[Statut de l''activite],"Realisee")</f>
        <v>0</v>
      </c>
      <c r="D324" s="82" t="str">
        <f aca="false">IF(OR(B324="",B324=0),"",C324/B324)</f>
        <v/>
      </c>
    </row>
    <row r="325" customFormat="false" ht="15" hidden="false" customHeight="true" outlineLevel="0" collapsed="false">
      <c r="A325" s="96" t="s">
        <v>253</v>
      </c>
      <c r="B325" s="61" t="n">
        <f aca="false">COUNTIFS(tbl_Activites[Domaine d''intervention (activite)],A325)</f>
        <v>0</v>
      </c>
      <c r="C325" s="61" t="n">
        <f aca="false">COUNTIFS(tbl_Activites[Domaine d''intervention (activite)],A325,tbl_Activites[Statut de l''activite],"Realisee")</f>
        <v>0</v>
      </c>
      <c r="D325" s="82" t="str">
        <f aca="false">IF(OR(B325="",B325=0),"",C325/B325)</f>
        <v/>
      </c>
    </row>
    <row r="326" customFormat="false" ht="15" hidden="false" customHeight="true" outlineLevel="0" collapsed="false">
      <c r="A326" s="96" t="s">
        <v>256</v>
      </c>
      <c r="B326" s="61" t="n">
        <f aca="false">COUNTIFS(tbl_Activites[Domaine d''intervention (activite)],A326)</f>
        <v>0</v>
      </c>
      <c r="C326" s="61" t="n">
        <f aca="false">COUNTIFS(tbl_Activites[Domaine d''intervention (activite)],A326,tbl_Activites[Statut de l''activite],"Realisee")</f>
        <v>0</v>
      </c>
      <c r="D326" s="82" t="str">
        <f aca="false">IF(OR(B326="",B326=0),"",C326/B326)</f>
        <v/>
      </c>
    </row>
    <row r="327" customFormat="false" ht="15" hidden="false" customHeight="true" outlineLevel="0" collapsed="false">
      <c r="A327" s="96" t="s">
        <v>259</v>
      </c>
      <c r="B327" s="61" t="n">
        <f aca="false">COUNTIFS(tbl_Activites[Domaine d''intervention (activite)],A327)</f>
        <v>0</v>
      </c>
      <c r="C327" s="61" t="n">
        <f aca="false">COUNTIFS(tbl_Activites[Domaine d''intervention (activite)],A327,tbl_Activites[Statut de l''activite],"Realisee")</f>
        <v>0</v>
      </c>
      <c r="D327" s="82" t="str">
        <f aca="false">IF(OR(B327="",B327=0),"",C327/B327)</f>
        <v/>
      </c>
    </row>
    <row r="328" customFormat="false" ht="15" hidden="false" customHeight="true" outlineLevel="0" collapsed="false">
      <c r="A328" s="96" t="s">
        <v>262</v>
      </c>
      <c r="B328" s="61" t="n">
        <f aca="false">COUNTIFS(tbl_Activites[Domaine d''intervention (activite)],A328)</f>
        <v>0</v>
      </c>
      <c r="C328" s="61" t="n">
        <f aca="false">COUNTIFS(tbl_Activites[Domaine d''intervention (activite)],A328,tbl_Activites[Statut de l''activite],"Realisee")</f>
        <v>0</v>
      </c>
      <c r="D328" s="82" t="str">
        <f aca="false">IF(OR(B328="",B328=0),"",C328/B328)</f>
        <v/>
      </c>
    </row>
    <row r="329" customFormat="false" ht="15" hidden="false" customHeight="true" outlineLevel="0" collapsed="false">
      <c r="A329" s="96" t="s">
        <v>265</v>
      </c>
      <c r="B329" s="61" t="n">
        <f aca="false">COUNTIFS(tbl_Activites[Domaine d''intervention (activite)],A329)</f>
        <v>0</v>
      </c>
      <c r="C329" s="61" t="n">
        <f aca="false">COUNTIFS(tbl_Activites[Domaine d''intervention (activite)],A329,tbl_Activites[Statut de l''activite],"Realisee")</f>
        <v>0</v>
      </c>
      <c r="D329" s="82" t="str">
        <f aca="false">IF(OR(B329="",B329=0),"",C329/B329)</f>
        <v/>
      </c>
    </row>
    <row r="332" customFormat="false" ht="27.75" hidden="false" customHeight="true" outlineLevel="0" collapsed="false">
      <c r="A332" s="97" t="s">
        <v>1775</v>
      </c>
      <c r="B332" s="97"/>
      <c r="C332" s="97"/>
      <c r="D332" s="97"/>
      <c r="E332" s="97"/>
      <c r="F332" s="97"/>
      <c r="G332" s="97"/>
      <c r="H332" s="97"/>
    </row>
  </sheetData>
  <mergeCells count="13">
    <mergeCell ref="A1:P1"/>
    <mergeCell ref="A2:R2"/>
    <mergeCell ref="A4:R4"/>
    <mergeCell ref="A6:R6"/>
    <mergeCell ref="A10:R10"/>
    <mergeCell ref="A54:CN54"/>
    <mergeCell ref="A108:F108"/>
    <mergeCell ref="A142:G142"/>
    <mergeCell ref="A176:I176"/>
    <mergeCell ref="A210:F210"/>
    <mergeCell ref="A244:D244"/>
    <mergeCell ref="A288:D288"/>
    <mergeCell ref="A332:H332"/>
  </mergeCells>
  <conditionalFormatting sqref="CD56:CD105">
    <cfRule type="cellIs" priority="2" operator="lessThan" aboveAverage="0" equalAverage="0" bottom="0" percent="0" rank="0" text="" dxfId="20">
      <formula>0.34</formula>
    </cfRule>
    <cfRule type="cellIs" priority="3" operator="between" aboveAverage="0" equalAverage="0" bottom="0" percent="0" rank="0" text="" dxfId="21">
      <formula>0.34</formula>
      <formula>0.69</formula>
    </cfRule>
    <cfRule type="cellIs" priority="4" operator="greaterThanOrEqual" aboveAverage="0" equalAverage="0" bottom="0" percent="0" rank="0" text="" dxfId="22">
      <formula>0.7</formula>
    </cfRule>
  </conditionalFormatting>
  <conditionalFormatting sqref="AB56:AB105">
    <cfRule type="expression" priority="5" aboveAverage="0" equalAverage="0" bottom="0" percent="0" rank="0" text="" dxfId="20">
      <formula>AB56="OUI"</formula>
    </cfRule>
  </conditionalFormatting>
  <conditionalFormatting sqref="CM56:CM105">
    <cfRule type="expression" priority="6" aboveAverage="0" equalAverage="0" bottom="0" percent="0" rank="0" text="" dxfId="20">
      <formula>CM56="OUI"</formula>
    </cfRule>
  </conditionalFormatting>
  <dataValidations count="30">
    <dataValidation allowBlank="true" errorStyle="stop" operator="between" showDropDown="false" showErrorMessage="false" showInputMessage="false" sqref="I7" type="list">
      <formula1>"2024,2025,2026,2027,2028,2029,2030,2031,2032,2033,Total"</formula1>
      <formula2>0</formula2>
    </dataValidation>
    <dataValidation allowBlank="true" errorStyle="stop" operator="between" showDropDown="false" showErrorMessage="false" showInputMessage="false" sqref="C56:C105" type="list">
      <formula1>Liste_ActivitesIDProjets</formula1>
      <formula2>0</formula2>
    </dataValidation>
    <dataValidation allowBlank="true" errorStyle="stop" operator="between" showDropDown="false" showErrorMessage="false" showInputMessage="false" sqref="J56:J105" type="list">
      <formula1>Liste_TypesActivites</formula1>
      <formula2>0</formula2>
    </dataValidation>
    <dataValidation allowBlank="true" errorStyle="stop" operator="between" showDropDown="false" showErrorMessage="false" showInputMessage="false" sqref="K56:K105" type="list">
      <formula1>Liste_Domaines</formula1>
      <formula2>0</formula2>
    </dataValidation>
    <dataValidation allowBlank="true" errorStyle="stop" operator="between" showDropDown="false" showErrorMessage="false" showInputMessage="false" sqref="P56:P105" type="list">
      <formula1>"Unique,Journaliere,Hebdomadaire,Mensuelle,Trimestrielle,Semestrielle,Annuelle"</formula1>
      <formula2>0</formula2>
    </dataValidation>
    <dataValidation allowBlank="true" errorStyle="stop" operator="between" showDropDown="false" showErrorMessage="false" showInputMessage="false" sqref="X56:X105" type="list">
      <formula1>"Oui,Non"</formula1>
      <formula2>0</formula2>
    </dataValidation>
    <dataValidation allowBlank="true" errorStyle="stop" operator="between" showDropDown="false" showErrorMessage="false" showInputMessage="false" sqref="Z56:Z105" type="list">
      <formula1>Liste_StatutsActivites</formula1>
      <formula2>0</formula2>
    </dataValidation>
    <dataValidation allowBlank="true" errorStyle="stop" operator="between" showDropDown="false" showErrorMessage="false" showInputMessage="false" sqref="AE56:AE105" type="list">
      <formula1>Liste_Fonctions</formula1>
      <formula2>0</formula2>
    </dataValidation>
    <dataValidation allowBlank="true" errorStyle="stop" operator="between" showDropDown="false" showErrorMessage="false" showInputMessage="false" sqref="AH56:AH105" type="list">
      <formula1>Liste_ZonesGeo</formula1>
      <formula2>0</formula2>
    </dataValidation>
    <dataValidation allowBlank="true" errorStyle="stop" operator="between" showDropDown="false" showErrorMessage="false" showInputMessage="false" sqref="AZ56:AZ105" type="list">
      <formula1>"Oui,Non"</formula1>
      <formula2>0</formula2>
    </dataValidation>
    <dataValidation allowBlank="true" errorStyle="stop" operator="between" showDropDown="false" showErrorMessage="false" showInputMessage="false" sqref="BA56:BA105" type="list">
      <formula1>"Oui,Non"</formula1>
      <formula2>0</formula2>
    </dataValidation>
    <dataValidation allowBlank="true" errorStyle="stop" operator="between" showDropDown="false" showErrorMessage="false" showInputMessage="false" sqref="BH56:BH105" type="list">
      <formula1>Liste_SourcesFinancement</formula1>
      <formula2>0</formula2>
    </dataValidation>
    <dataValidation allowBlank="true" errorStyle="stop" operator="between" showDropDown="false" showErrorMessage="false" showInputMessage="false" sqref="BL56:BL105" type="list">
      <formula1>Liste_StatutsGeneraux</formula1>
      <formula2>0</formula2>
    </dataValidation>
    <dataValidation allowBlank="true" errorStyle="stop" operator="between" showDropDown="false" showErrorMessage="false" showInputMessage="false" sqref="BR56:BR105" type="list">
      <formula1>Liste_StatutsGeneraux</formula1>
      <formula2>0</formula2>
    </dataValidation>
    <dataValidation allowBlank="true" errorStyle="stop" operator="between" showDropDown="false" showErrorMessage="false" showInputMessage="false" sqref="BX56:BX105" type="list">
      <formula1>"Oui,Non"</formula1>
      <formula2>0</formula2>
    </dataValidation>
    <dataValidation allowBlank="true" errorStyle="stop" operator="between" showDropDown="false" showErrorMessage="false" showInputMessage="false" sqref="BY56:BY105" type="list">
      <formula1>"Oui,Non"</formula1>
      <formula2>0</formula2>
    </dataValidation>
    <dataValidation allowBlank="true" errorStyle="stop" operator="between" showDropDown="false" showErrorMessage="false" showInputMessage="false" sqref="BZ56:BZ105" type="list">
      <formula1>"Oui,Non"</formula1>
      <formula2>0</formula2>
    </dataValidation>
    <dataValidation allowBlank="true" errorStyle="stop" operator="between" showDropDown="false" showErrorMessage="false" showInputMessage="false" sqref="CA56:CA105" type="list">
      <formula1>"Oui,Non"</formula1>
      <formula2>0</formula2>
    </dataValidation>
    <dataValidation allowBlank="true" errorStyle="stop" operator="between" showDropDown="false" showErrorMessage="false" showInputMessage="false" sqref="CE56:CE105" type="list">
      <formula1>"Oui,Non"</formula1>
      <formula2>0</formula2>
    </dataValidation>
    <dataValidation allowBlank="true" errorStyle="stop" operator="between" showDropDown="false" showErrorMessage="false" showInputMessage="false" sqref="CH56:CH105" type="list">
      <formula1>"1,2,3,4,5"</formula1>
      <formula2>0</formula2>
    </dataValidation>
    <dataValidation allowBlank="true" error="Le taux doit etre compris entre 0% et 100%." errorStyle="stop" errorTitle="Valeur invalide" operator="between" showDropDown="false" showErrorMessage="true" showInputMessage="false" sqref="Y56:Y105 CD56:CD105" type="decimal">
      <formula1>0</formula1>
      <formula2>1</formula2>
    </dataValidation>
    <dataValidation allowBlank="true" error="Le montant ne peut pas etre negatif." errorStyle="stop" errorTitle="Valeur invalide" operator="greaterThanOrEqual" showDropDown="false" showErrorMessage="true" showInputMessage="false" sqref="BC56:BE105 BJ56:BK105 BQ56:BQ105" type="decimal">
      <formula1>0</formula1>
      <formula2>0</formula2>
    </dataValidation>
    <dataValidation allowBlank="true" error="La date reelle ne peut pas etre anterieure a la date prevue." errorStyle="stop" errorTitle="Date incoherente" operator="between" showDropDown="false" showErrorMessage="true" showInputMessage="false" sqref="T56:T105" type="custom">
      <formula1>OR(T56="",L56="",T56&gt;=L56)</formula1>
      <formula2>0</formula2>
    </dataValidation>
    <dataValidation allowBlank="true" errorStyle="stop" operator="between" showDropDown="false" showErrorMessage="false" showInputMessage="false" sqref="D110:D139" type="list">
      <formula1>Liste_Fonctions</formula1>
      <formula2>0</formula2>
    </dataValidation>
    <dataValidation allowBlank="true" errorStyle="stop" operator="between" showDropDown="false" showErrorMessage="false" showInputMessage="false" sqref="F110:F139" type="list">
      <formula1>"Oui,Non"</formula1>
      <formula2>0</formula2>
    </dataValidation>
    <dataValidation allowBlank="true" errorStyle="stop" operator="between" showDropDown="false" showErrorMessage="false" showInputMessage="false" sqref="D144:D173" type="list">
      <formula1>Liste_UnitesMesure</formula1>
      <formula2>0</formula2>
    </dataValidation>
    <dataValidation allowBlank="true" errorStyle="stop" operator="between" showDropDown="false" showErrorMessage="false" showInputMessage="false" sqref="E178:E207" type="list">
      <formula1>Liste_NiveauxRisque</formula1>
      <formula2>0</formula2>
    </dataValidation>
    <dataValidation allowBlank="true" errorStyle="stop" operator="between" showDropDown="false" showErrorMessage="false" showInputMessage="false" sqref="I178:I207" type="list">
      <formula1>Liste_StatutsRisques</formula1>
      <formula2>0</formula2>
    </dataValidation>
    <dataValidation allowBlank="true" errorStyle="stop" operator="between" showDropDown="false" showErrorMessage="false" showInputMessage="false" sqref="B212:B241" type="list">
      <formula1>Liste_TypesDocuments</formula1>
      <formula2>0</formula2>
    </dataValidation>
    <dataValidation allowBlank="true" errorStyle="stop" operator="between" showDropDown="false" showErrorMessage="false" showInputMessage="false" sqref="E212:E241" type="list">
      <formula1>Liste_StatutsDocuments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37"/>
  <sheetViews>
    <sheetView showFormulas="false" showGridLines="false" showRowColHeaders="true" showZeros="true" rightToLeft="false" tabSelected="false" showOutlineSymbols="true" defaultGridColor="true" view="normal" topLeftCell="B193" colorId="64" zoomScale="90" zoomScaleNormal="90" zoomScalePageLayoutView="100" workbookViewId="0">
      <selection pane="topLeft" activeCell="C19" activeCellId="0" sqref="C19"/>
    </sheetView>
  </sheetViews>
  <sheetFormatPr defaultColWidth="8.71484375" defaultRowHeight="15" customHeight="true" zeroHeight="false" outlineLevelRow="0" outlineLevelCol="0"/>
  <cols>
    <col collapsed="false" customWidth="true" hidden="false" outlineLevel="0" max="2" min="1" style="1" width="16"/>
    <col collapsed="false" customWidth="true" hidden="false" outlineLevel="0" max="3" min="3" style="1" width="18"/>
    <col collapsed="false" customWidth="true" hidden="false" outlineLevel="0" max="4" min="4" style="1" width="20"/>
    <col collapsed="false" customWidth="true" hidden="false" outlineLevel="0" max="7" min="5" style="1" width="22"/>
    <col collapsed="false" customWidth="true" hidden="false" outlineLevel="0" max="8" min="8" style="1" width="16"/>
    <col collapsed="false" customWidth="true" hidden="false" outlineLevel="0" max="10" min="9" style="1" width="18"/>
    <col collapsed="false" customWidth="true" hidden="false" outlineLevel="0" max="12" min="11" style="1" width="28"/>
    <col collapsed="false" customWidth="true" hidden="false" outlineLevel="0" max="17" min="13" style="1" width="18"/>
    <col collapsed="false" customWidth="true" hidden="false" outlineLevel="0" max="18" min="18" style="1" width="28"/>
    <col collapsed="false" customWidth="true" hidden="false" outlineLevel="0" max="28" min="19" style="1" width="18"/>
    <col collapsed="false" customWidth="true" hidden="false" outlineLevel="0" max="29" min="29" style="1" width="14"/>
    <col collapsed="false" customWidth="true" hidden="false" outlineLevel="0" max="30" min="30" style="1" width="18"/>
    <col collapsed="false" customWidth="true" hidden="false" outlineLevel="0" max="32" min="31" style="1" width="22"/>
    <col collapsed="false" customWidth="true" hidden="false" outlineLevel="0" max="36" min="33" style="1" width="18"/>
    <col collapsed="false" customWidth="true" hidden="false" outlineLevel="0" max="37" min="37" style="1" width="22"/>
    <col collapsed="false" customWidth="true" hidden="false" outlineLevel="0" max="39" min="38" style="1" width="14"/>
    <col collapsed="false" customWidth="true" hidden="false" outlineLevel="0" max="41" min="40" style="1" width="18"/>
    <col collapsed="false" customWidth="true" hidden="false" outlineLevel="0" max="43" min="42" style="1" width="22"/>
    <col collapsed="false" customWidth="true" hidden="false" outlineLevel="0" max="44" min="44" style="1" width="18"/>
    <col collapsed="false" customWidth="true" hidden="false" outlineLevel="0" max="45" min="45" style="1" width="22"/>
    <col collapsed="false" customWidth="true" hidden="false" outlineLevel="0" max="48" min="46" style="1" width="18"/>
    <col collapsed="false" customWidth="true" hidden="false" outlineLevel="0" max="49" min="49" style="1" width="22"/>
    <col collapsed="false" customWidth="true" hidden="false" outlineLevel="0" max="51" min="50" style="1" width="18"/>
    <col collapsed="false" customWidth="true" hidden="false" outlineLevel="0" max="52" min="52" style="1" width="14"/>
    <col collapsed="false" customWidth="true" hidden="false" outlineLevel="0" max="53" min="53" style="1" width="18"/>
    <col collapsed="false" customWidth="true" hidden="false" outlineLevel="0" max="54" min="54" style="1" width="22"/>
    <col collapsed="false" customWidth="true" hidden="false" outlineLevel="0" max="60" min="55" style="1" width="18"/>
    <col collapsed="false" customWidth="true" hidden="false" outlineLevel="0" max="61" min="61" style="1" width="22"/>
    <col collapsed="false" customWidth="true" hidden="false" outlineLevel="0" max="70" min="62" style="1" width="18"/>
    <col collapsed="false" customWidth="true" hidden="false" outlineLevel="0" max="71" min="71" style="1" width="28"/>
  </cols>
  <sheetData>
    <row r="1" customFormat="false" ht="25.5" hidden="false" customHeight="true" outlineLevel="0" collapsed="false">
      <c r="A1" s="47" t="s">
        <v>1776</v>
      </c>
      <c r="B1" s="47"/>
      <c r="C1" s="47"/>
      <c r="D1" s="47"/>
      <c r="E1" s="47"/>
      <c r="F1" s="47"/>
      <c r="G1" s="47"/>
      <c r="H1" s="47"/>
      <c r="I1" s="47"/>
      <c r="J1" s="47"/>
      <c r="K1" s="47"/>
      <c r="L1" s="47"/>
      <c r="M1" s="47"/>
      <c r="N1" s="47"/>
      <c r="O1" s="47"/>
      <c r="P1" s="47"/>
      <c r="Q1" s="98" t="s">
        <v>1683</v>
      </c>
      <c r="R1" s="98" t="s">
        <v>1777</v>
      </c>
      <c r="S1" s="98" t="s">
        <v>1444</v>
      </c>
    </row>
    <row r="2" customFormat="false" ht="15.75" hidden="false" customHeight="true" outlineLevel="0" collapsed="false">
      <c r="A2" s="49" t="s">
        <v>1778</v>
      </c>
      <c r="B2" s="49"/>
      <c r="C2" s="49"/>
      <c r="D2" s="49"/>
      <c r="E2" s="49"/>
      <c r="F2" s="49"/>
      <c r="G2" s="49"/>
      <c r="H2" s="49"/>
      <c r="I2" s="49"/>
      <c r="J2" s="49"/>
      <c r="K2" s="49"/>
      <c r="L2" s="49"/>
      <c r="M2" s="49"/>
      <c r="N2" s="49"/>
      <c r="O2" s="49"/>
      <c r="P2" s="49"/>
      <c r="Q2" s="49"/>
      <c r="R2" s="49"/>
    </row>
    <row r="4" customFormat="false" ht="15" hidden="false" customHeight="true" outlineLevel="0" collapsed="false">
      <c r="A4" s="54" t="s">
        <v>1779</v>
      </c>
      <c r="B4" s="54"/>
      <c r="C4" s="54"/>
      <c r="D4" s="54"/>
      <c r="E4" s="54"/>
      <c r="F4" s="54"/>
      <c r="G4" s="54"/>
      <c r="H4" s="54"/>
      <c r="I4" s="54"/>
      <c r="J4" s="54"/>
      <c r="K4" s="54"/>
      <c r="L4" s="54"/>
      <c r="M4" s="54"/>
      <c r="N4" s="54"/>
      <c r="O4" s="54"/>
      <c r="P4" s="54"/>
      <c r="Q4" s="54"/>
      <c r="R4" s="54"/>
    </row>
    <row r="6" customFormat="false" ht="24" hidden="false" customHeight="true" outlineLevel="0" collapsed="false">
      <c r="A6" s="55" t="s">
        <v>1780</v>
      </c>
      <c r="B6" s="55"/>
      <c r="C6" s="55"/>
      <c r="D6" s="55"/>
      <c r="E6" s="55"/>
      <c r="F6" s="55"/>
      <c r="G6" s="55"/>
      <c r="H6" s="55"/>
      <c r="I6" s="55"/>
      <c r="J6" s="55"/>
      <c r="K6" s="55"/>
      <c r="L6" s="55"/>
      <c r="M6" s="55"/>
      <c r="N6" s="55"/>
      <c r="O6" s="55"/>
      <c r="P6" s="55"/>
      <c r="Q6" s="55"/>
      <c r="R6" s="55"/>
    </row>
    <row r="7" customFormat="false" ht="24" hidden="false" customHeight="true" outlineLevel="0" collapsed="false">
      <c r="A7" s="85" t="s">
        <v>1781</v>
      </c>
      <c r="B7" s="85" t="s">
        <v>1455</v>
      </c>
      <c r="C7" s="85" t="s">
        <v>1782</v>
      </c>
      <c r="D7" s="85" t="s">
        <v>1783</v>
      </c>
      <c r="E7" s="85" t="s">
        <v>1784</v>
      </c>
      <c r="F7" s="85" t="s">
        <v>1785</v>
      </c>
      <c r="G7" s="85" t="s">
        <v>1786</v>
      </c>
      <c r="H7" s="85" t="s">
        <v>1787</v>
      </c>
      <c r="I7" s="85" t="s">
        <v>1788</v>
      </c>
    </row>
    <row r="8" customFormat="false" ht="15" hidden="false" customHeight="true" outlineLevel="0" collapsed="false">
      <c r="A8" s="61" t="n">
        <f aca="false">COUNTIF(C56:C115,"&lt;&gt;")</f>
        <v>0</v>
      </c>
      <c r="B8" s="61" t="n">
        <f aca="false">COUNTIF(AN56:AN115,"Actif")+COUNTIF(AN56:AN115,"En partenariat")</f>
        <v>0</v>
      </c>
      <c r="C8" s="61" t="n">
        <f aca="false">COUNTIF(AN56:AN115,"Prospect")</f>
        <v>0</v>
      </c>
      <c r="D8" s="61" t="n">
        <f aca="false">COUNTIF(AN56:AN115,"Inactif")</f>
        <v>0</v>
      </c>
      <c r="E8" s="61" t="n">
        <f aca="false">COUNTIF(F56:F115,"Partenaire technique")</f>
        <v>0</v>
      </c>
      <c r="F8" s="61" t="n">
        <f aca="false">COUNTIF(F56:F115,"Partenaire financier")</f>
        <v>0</v>
      </c>
      <c r="G8" s="61" t="n">
        <f aca="false">COUNTIF(F56:F115,"Partenaire institutionnel")</f>
        <v>0</v>
      </c>
      <c r="H8" s="61" t="n">
        <f aca="false">COUNTIF(tbl_Partenaires_Conventions[Statut],"Active")</f>
        <v>0</v>
      </c>
      <c r="I8" s="61" t="n">
        <f aca="false">COUNTIFS(tbl_Partenaires_Conventions[Statut],"Active",tbl_Partenaires_Conventions[Date fin],"&lt;="&amp;(TODAY()+60))</f>
        <v>0</v>
      </c>
    </row>
    <row r="10" customFormat="false" ht="24" hidden="false" customHeight="true" outlineLevel="0" collapsed="false">
      <c r="A10" s="55" t="s">
        <v>1566</v>
      </c>
      <c r="B10" s="55"/>
      <c r="C10" s="55"/>
      <c r="D10" s="55"/>
      <c r="E10" s="55"/>
      <c r="F10" s="55"/>
      <c r="G10" s="55"/>
      <c r="H10" s="55"/>
      <c r="I10" s="55"/>
      <c r="J10" s="55"/>
      <c r="K10" s="55"/>
      <c r="L10" s="55"/>
      <c r="M10" s="55"/>
      <c r="N10" s="55"/>
      <c r="O10" s="55"/>
      <c r="P10" s="55"/>
      <c r="Q10" s="55"/>
      <c r="R10" s="55"/>
    </row>
    <row r="11" customFormat="false" ht="24" hidden="false" customHeight="true" outlineLevel="0" collapsed="false">
      <c r="A11" s="85" t="s">
        <v>1789</v>
      </c>
      <c r="B11" s="85" t="s">
        <v>1790</v>
      </c>
      <c r="D11" s="85" t="s">
        <v>1650</v>
      </c>
      <c r="E11" s="85" t="s">
        <v>1790</v>
      </c>
      <c r="G11" s="85" t="s">
        <v>1791</v>
      </c>
      <c r="H11" s="85" t="s">
        <v>1790</v>
      </c>
    </row>
    <row r="12" customFormat="false" ht="15" hidden="false" customHeight="true" outlineLevel="0" collapsed="false">
      <c r="A12" s="99" t="s">
        <v>1792</v>
      </c>
      <c r="B12" s="100" t="n">
        <f aca="false">COUNTIF(tbl_Partenaires[Statut du partenaire],A12)</f>
        <v>0</v>
      </c>
      <c r="D12" s="99" t="s">
        <v>459</v>
      </c>
      <c r="E12" s="100" t="n">
        <f aca="false">COUNTIF(tbl_Partenaires[Type de partenaire],D12)</f>
        <v>0</v>
      </c>
      <c r="G12" s="99" t="s">
        <v>146</v>
      </c>
      <c r="H12" s="100" t="n">
        <f aca="false">COUNTIF(tbl_Partenaires[Domaine de collaboration principal],G12)</f>
        <v>0</v>
      </c>
    </row>
    <row r="13" customFormat="false" ht="15" hidden="false" customHeight="true" outlineLevel="0" collapsed="false">
      <c r="A13" s="99" t="s">
        <v>1793</v>
      </c>
      <c r="B13" s="100" t="n">
        <f aca="false">COUNTIF(tbl_Partenaires[Statut du partenaire],A13)</f>
        <v>0</v>
      </c>
      <c r="D13" s="99" t="s">
        <v>461</v>
      </c>
      <c r="E13" s="100" t="n">
        <f aca="false">COUNTIF(tbl_Partenaires[Type de partenaire],D13)</f>
        <v>0</v>
      </c>
      <c r="G13" s="99" t="s">
        <v>150</v>
      </c>
      <c r="H13" s="100" t="n">
        <f aca="false">COUNTIF(tbl_Partenaires[Domaine de collaboration principal],G13)</f>
        <v>0</v>
      </c>
    </row>
    <row r="14" customFormat="false" ht="15" hidden="false" customHeight="true" outlineLevel="0" collapsed="false">
      <c r="A14" s="99" t="s">
        <v>56</v>
      </c>
      <c r="B14" s="100" t="n">
        <f aca="false">COUNTIF(tbl_Partenaires[Statut du partenaire],A14)</f>
        <v>0</v>
      </c>
      <c r="D14" s="99" t="s">
        <v>463</v>
      </c>
      <c r="E14" s="100" t="n">
        <f aca="false">COUNTIF(tbl_Partenaires[Type de partenaire],D14)</f>
        <v>0</v>
      </c>
      <c r="G14" s="99" t="s">
        <v>153</v>
      </c>
      <c r="H14" s="100" t="n">
        <f aca="false">COUNTIF(tbl_Partenaires[Domaine de collaboration principal],G14)</f>
        <v>0</v>
      </c>
    </row>
    <row r="15" customFormat="false" ht="24" hidden="false" customHeight="true" outlineLevel="0" collapsed="false">
      <c r="A15" s="99" t="s">
        <v>1794</v>
      </c>
      <c r="B15" s="100" t="n">
        <f aca="false">COUNTIF(tbl_Partenaires[Statut du partenaire],A15)</f>
        <v>0</v>
      </c>
      <c r="D15" s="99" t="s">
        <v>465</v>
      </c>
      <c r="E15" s="100" t="n">
        <f aca="false">COUNTIF(tbl_Partenaires[Type de partenaire],D15)</f>
        <v>0</v>
      </c>
      <c r="G15" s="99" t="s">
        <v>156</v>
      </c>
      <c r="H15" s="100" t="n">
        <f aca="false">COUNTIF(tbl_Partenaires[Domaine de collaboration principal],G15)</f>
        <v>0</v>
      </c>
    </row>
    <row r="16" customFormat="false" ht="15" hidden="false" customHeight="true" outlineLevel="0" collapsed="false">
      <c r="A16" s="99" t="s">
        <v>116</v>
      </c>
      <c r="B16" s="100" t="n">
        <f aca="false">COUNTIF(tbl_Partenaires[Statut du partenaire],A16)</f>
        <v>0</v>
      </c>
      <c r="D16" s="99" t="s">
        <v>467</v>
      </c>
      <c r="E16" s="100" t="n">
        <f aca="false">COUNTIF(tbl_Partenaires[Type de partenaire],D16)</f>
        <v>0</v>
      </c>
      <c r="G16" s="99" t="s">
        <v>159</v>
      </c>
      <c r="H16" s="100" t="n">
        <f aca="false">COUNTIF(tbl_Partenaires[Domaine de collaboration principal],G16)</f>
        <v>0</v>
      </c>
    </row>
    <row r="17" customFormat="false" ht="24" hidden="false" customHeight="true" outlineLevel="0" collapsed="false">
      <c r="A17" s="99" t="s">
        <v>1042</v>
      </c>
      <c r="B17" s="100" t="n">
        <f aca="false">COUNTIF(tbl_Partenaires[Statut du partenaire],A17)</f>
        <v>0</v>
      </c>
      <c r="D17" s="99" t="s">
        <v>469</v>
      </c>
      <c r="E17" s="100" t="n">
        <f aca="false">COUNTIF(tbl_Partenaires[Type de partenaire],D17)</f>
        <v>0</v>
      </c>
      <c r="G17" s="99" t="s">
        <v>162</v>
      </c>
      <c r="H17" s="100" t="n">
        <f aca="false">COUNTIF(tbl_Partenaires[Domaine de collaboration principal],G17)</f>
        <v>0</v>
      </c>
    </row>
    <row r="18" customFormat="false" ht="15" hidden="false" customHeight="true" outlineLevel="0" collapsed="false">
      <c r="A18" s="99" t="s">
        <v>120</v>
      </c>
      <c r="B18" s="100" t="n">
        <f aca="false">COUNTIF(tbl_Partenaires[Statut du partenaire],A18)</f>
        <v>0</v>
      </c>
      <c r="D18" s="99" t="s">
        <v>471</v>
      </c>
      <c r="E18" s="100" t="n">
        <f aca="false">COUNTIF(tbl_Partenaires[Type de partenaire],D18)</f>
        <v>0</v>
      </c>
      <c r="G18" s="99" t="s">
        <v>165</v>
      </c>
      <c r="H18" s="100" t="n">
        <f aca="false">COUNTIF(tbl_Partenaires[Domaine de collaboration principal],G18)</f>
        <v>0</v>
      </c>
    </row>
    <row r="19" customFormat="false" ht="15" hidden="false" customHeight="true" outlineLevel="0" collapsed="false">
      <c r="A19" s="99" t="s">
        <v>1795</v>
      </c>
      <c r="B19" s="100" t="n">
        <f aca="false">COUNTIF(tbl_Partenaires[Statut du partenaire],A19)</f>
        <v>0</v>
      </c>
      <c r="D19" s="99" t="s">
        <v>473</v>
      </c>
      <c r="E19" s="100" t="n">
        <f aca="false">COUNTIF(tbl_Partenaires[Type de partenaire],D19)</f>
        <v>0</v>
      </c>
      <c r="G19" s="99" t="s">
        <v>168</v>
      </c>
      <c r="H19" s="100" t="n">
        <f aca="false">COUNTIF(tbl_Partenaires[Domaine de collaboration principal],G19)</f>
        <v>0</v>
      </c>
    </row>
    <row r="20" customFormat="false" ht="15" hidden="false" customHeight="true" outlineLevel="0" collapsed="false">
      <c r="A20" s="99" t="s">
        <v>314</v>
      </c>
      <c r="B20" s="100" t="n">
        <f aca="false">COUNTIF(tbl_Partenaires[Statut du partenaire],A20)</f>
        <v>0</v>
      </c>
      <c r="D20" s="99" t="s">
        <v>419</v>
      </c>
      <c r="E20" s="100" t="n">
        <f aca="false">COUNTIF(tbl_Partenaires[Type de partenaire],D20)</f>
        <v>0</v>
      </c>
      <c r="G20" s="99" t="s">
        <v>171</v>
      </c>
      <c r="H20" s="100" t="n">
        <f aca="false">COUNTIF(tbl_Partenaires[Domaine de collaboration principal],G20)</f>
        <v>0</v>
      </c>
    </row>
    <row r="21" customFormat="false" ht="24" hidden="false" customHeight="true" outlineLevel="0" collapsed="false">
      <c r="D21" s="99" t="s">
        <v>476</v>
      </c>
      <c r="E21" s="100" t="n">
        <f aca="false">COUNTIF(tbl_Partenaires[Type de partenaire],D21)</f>
        <v>0</v>
      </c>
      <c r="G21" s="99" t="s">
        <v>174</v>
      </c>
      <c r="H21" s="100" t="n">
        <f aca="false">COUNTIF(tbl_Partenaires[Domaine de collaboration principal],G21)</f>
        <v>0</v>
      </c>
    </row>
    <row r="22" customFormat="false" ht="15" hidden="false" customHeight="true" outlineLevel="0" collapsed="false">
      <c r="D22" s="99" t="s">
        <v>478</v>
      </c>
      <c r="E22" s="100" t="n">
        <f aca="false">COUNTIF(tbl_Partenaires[Type de partenaire],D22)</f>
        <v>0</v>
      </c>
      <c r="G22" s="99" t="s">
        <v>178</v>
      </c>
      <c r="H22" s="100" t="n">
        <f aca="false">COUNTIF(tbl_Partenaires[Domaine de collaboration principal],G22)</f>
        <v>0</v>
      </c>
    </row>
    <row r="23" customFormat="false" ht="15" hidden="false" customHeight="true" outlineLevel="0" collapsed="false">
      <c r="D23" s="99" t="s">
        <v>480</v>
      </c>
      <c r="E23" s="100" t="n">
        <f aca="false">COUNTIF(tbl_Partenaires[Type de partenaire],D23)</f>
        <v>0</v>
      </c>
      <c r="G23" s="99" t="s">
        <v>181</v>
      </c>
      <c r="H23" s="100" t="n">
        <f aca="false">COUNTIF(tbl_Partenaires[Domaine de collaboration principal],G23)</f>
        <v>0</v>
      </c>
    </row>
    <row r="24" customFormat="false" ht="24" hidden="false" customHeight="true" outlineLevel="0" collapsed="false">
      <c r="D24" s="99" t="s">
        <v>482</v>
      </c>
      <c r="E24" s="100" t="n">
        <f aca="false">COUNTIF(tbl_Partenaires[Type de partenaire],D24)</f>
        <v>0</v>
      </c>
      <c r="G24" s="99" t="s">
        <v>184</v>
      </c>
      <c r="H24" s="100" t="n">
        <f aca="false">COUNTIF(tbl_Partenaires[Domaine de collaboration principal],G24)</f>
        <v>0</v>
      </c>
    </row>
    <row r="25" customFormat="false" ht="24" hidden="false" customHeight="true" outlineLevel="0" collapsed="false">
      <c r="D25" s="99" t="s">
        <v>484</v>
      </c>
      <c r="E25" s="100" t="n">
        <f aca="false">COUNTIF(tbl_Partenaires[Type de partenaire],D25)</f>
        <v>0</v>
      </c>
      <c r="G25" s="99" t="s">
        <v>187</v>
      </c>
      <c r="H25" s="100" t="n">
        <f aca="false">COUNTIF(tbl_Partenaires[Domaine de collaboration principal],G25)</f>
        <v>0</v>
      </c>
    </row>
    <row r="26" customFormat="false" ht="24" hidden="false" customHeight="true" outlineLevel="0" collapsed="false">
      <c r="D26" s="99" t="s">
        <v>421</v>
      </c>
      <c r="E26" s="100" t="n">
        <f aca="false">COUNTIF(tbl_Partenaires[Type de partenaire],D26)</f>
        <v>0</v>
      </c>
      <c r="G26" s="99" t="s">
        <v>190</v>
      </c>
      <c r="H26" s="100" t="n">
        <f aca="false">COUNTIF(tbl_Partenaires[Domaine de collaboration principal],G26)</f>
        <v>0</v>
      </c>
    </row>
    <row r="27" customFormat="false" ht="24" hidden="false" customHeight="true" outlineLevel="0" collapsed="false">
      <c r="D27" s="99" t="s">
        <v>487</v>
      </c>
      <c r="E27" s="100" t="n">
        <f aca="false">COUNTIF(tbl_Partenaires[Type de partenaire],D27)</f>
        <v>0</v>
      </c>
      <c r="G27" s="99" t="s">
        <v>193</v>
      </c>
      <c r="H27" s="100" t="n">
        <f aca="false">COUNTIF(tbl_Partenaires[Domaine de collaboration principal],G27)</f>
        <v>0</v>
      </c>
    </row>
    <row r="28" customFormat="false" ht="15" hidden="false" customHeight="true" outlineLevel="0" collapsed="false">
      <c r="D28" s="99" t="s">
        <v>489</v>
      </c>
      <c r="E28" s="100" t="n">
        <f aca="false">COUNTIF(tbl_Partenaires[Type de partenaire],D28)</f>
        <v>0</v>
      </c>
      <c r="G28" s="99" t="s">
        <v>196</v>
      </c>
      <c r="H28" s="100" t="n">
        <f aca="false">COUNTIF(tbl_Partenaires[Domaine de collaboration principal],G28)</f>
        <v>0</v>
      </c>
    </row>
    <row r="29" customFormat="false" ht="24" hidden="false" customHeight="true" outlineLevel="0" collapsed="false">
      <c r="D29" s="99" t="s">
        <v>491</v>
      </c>
      <c r="E29" s="100" t="n">
        <f aca="false">COUNTIF(tbl_Partenaires[Type de partenaire],D29)</f>
        <v>0</v>
      </c>
      <c r="G29" s="99" t="s">
        <v>199</v>
      </c>
      <c r="H29" s="100" t="n">
        <f aca="false">COUNTIF(tbl_Partenaires[Domaine de collaboration principal],G29)</f>
        <v>0</v>
      </c>
    </row>
    <row r="30" customFormat="false" ht="24" hidden="false" customHeight="true" outlineLevel="0" collapsed="false">
      <c r="D30" s="99" t="s">
        <v>314</v>
      </c>
      <c r="E30" s="100" t="n">
        <f aca="false">COUNTIF(tbl_Partenaires[Type de partenaire],D30)</f>
        <v>0</v>
      </c>
      <c r="G30" s="99" t="s">
        <v>202</v>
      </c>
      <c r="H30" s="100" t="n">
        <f aca="false">COUNTIF(tbl_Partenaires[Domaine de collaboration principal],G30)</f>
        <v>0</v>
      </c>
    </row>
    <row r="31" customFormat="false" ht="15" hidden="false" customHeight="true" outlineLevel="0" collapsed="false">
      <c r="G31" s="99" t="s">
        <v>205</v>
      </c>
      <c r="H31" s="100" t="n">
        <f aca="false">COUNTIF(tbl_Partenaires[Domaine de collaboration principal],G31)</f>
        <v>0</v>
      </c>
    </row>
    <row r="32" customFormat="false" ht="24" hidden="false" customHeight="true" outlineLevel="0" collapsed="false">
      <c r="G32" s="99" t="s">
        <v>208</v>
      </c>
      <c r="H32" s="100" t="n">
        <f aca="false">COUNTIF(tbl_Partenaires[Domaine de collaboration principal],G32)</f>
        <v>0</v>
      </c>
    </row>
    <row r="33" customFormat="false" ht="24" hidden="false" customHeight="true" outlineLevel="0" collapsed="false">
      <c r="G33" s="99" t="s">
        <v>211</v>
      </c>
      <c r="H33" s="100" t="n">
        <f aca="false">COUNTIF(tbl_Partenaires[Domaine de collaboration principal],G33)</f>
        <v>0</v>
      </c>
    </row>
    <row r="34" customFormat="false" ht="24" hidden="false" customHeight="true" outlineLevel="0" collapsed="false">
      <c r="G34" s="99" t="s">
        <v>214</v>
      </c>
      <c r="H34" s="100" t="n">
        <f aca="false">COUNTIF(tbl_Partenaires[Domaine de collaboration principal],G34)</f>
        <v>0</v>
      </c>
    </row>
    <row r="35" customFormat="false" ht="15" hidden="false" customHeight="true" outlineLevel="0" collapsed="false">
      <c r="G35" s="99" t="s">
        <v>217</v>
      </c>
      <c r="H35" s="100" t="n">
        <f aca="false">COUNTIF(tbl_Partenaires[Domaine de collaboration principal],G35)</f>
        <v>0</v>
      </c>
    </row>
    <row r="36" customFormat="false" ht="24" hidden="false" customHeight="true" outlineLevel="0" collapsed="false">
      <c r="G36" s="99" t="s">
        <v>220</v>
      </c>
      <c r="H36" s="100" t="n">
        <f aca="false">COUNTIF(tbl_Partenaires[Domaine de collaboration principal],G36)</f>
        <v>0</v>
      </c>
    </row>
    <row r="37" customFormat="false" ht="24" hidden="false" customHeight="true" outlineLevel="0" collapsed="false">
      <c r="G37" s="99" t="s">
        <v>223</v>
      </c>
      <c r="H37" s="100" t="n">
        <f aca="false">COUNTIF(tbl_Partenaires[Domaine de collaboration principal],G37)</f>
        <v>0</v>
      </c>
    </row>
    <row r="38" customFormat="false" ht="24" hidden="false" customHeight="true" outlineLevel="0" collapsed="false">
      <c r="G38" s="99" t="s">
        <v>226</v>
      </c>
      <c r="H38" s="100" t="n">
        <f aca="false">COUNTIF(tbl_Partenaires[Domaine de collaboration principal],G38)</f>
        <v>0</v>
      </c>
    </row>
    <row r="39" customFormat="false" ht="24" hidden="false" customHeight="true" outlineLevel="0" collapsed="false">
      <c r="G39" s="99" t="s">
        <v>229</v>
      </c>
      <c r="H39" s="100" t="n">
        <f aca="false">COUNTIF(tbl_Partenaires[Domaine de collaboration principal],G39)</f>
        <v>0</v>
      </c>
    </row>
    <row r="40" customFormat="false" ht="15" hidden="false" customHeight="true" outlineLevel="0" collapsed="false">
      <c r="G40" s="99" t="s">
        <v>232</v>
      </c>
      <c r="H40" s="100" t="n">
        <f aca="false">COUNTIF(tbl_Partenaires[Domaine de collaboration principal],G40)</f>
        <v>0</v>
      </c>
    </row>
    <row r="41" customFormat="false" ht="24" hidden="false" customHeight="true" outlineLevel="0" collapsed="false">
      <c r="G41" s="99" t="s">
        <v>235</v>
      </c>
      <c r="H41" s="100" t="n">
        <f aca="false">COUNTIF(tbl_Partenaires[Domaine de collaboration principal],G41)</f>
        <v>0</v>
      </c>
    </row>
    <row r="42" customFormat="false" ht="24" hidden="false" customHeight="true" outlineLevel="0" collapsed="false">
      <c r="G42" s="99" t="s">
        <v>238</v>
      </c>
      <c r="H42" s="100" t="n">
        <f aca="false">COUNTIF(tbl_Partenaires[Domaine de collaboration principal],G42)</f>
        <v>0</v>
      </c>
    </row>
    <row r="43" customFormat="false" ht="15" hidden="false" customHeight="true" outlineLevel="0" collapsed="false">
      <c r="G43" s="99" t="s">
        <v>241</v>
      </c>
      <c r="H43" s="100" t="n">
        <f aca="false">COUNTIF(tbl_Partenaires[Domaine de collaboration principal],G43)</f>
        <v>0</v>
      </c>
    </row>
    <row r="44" customFormat="false" ht="24" hidden="false" customHeight="true" outlineLevel="0" collapsed="false">
      <c r="G44" s="99" t="s">
        <v>244</v>
      </c>
      <c r="H44" s="100" t="n">
        <f aca="false">COUNTIF(tbl_Partenaires[Domaine de collaboration principal],G44)</f>
        <v>0</v>
      </c>
    </row>
    <row r="45" customFormat="false" ht="24" hidden="false" customHeight="true" outlineLevel="0" collapsed="false">
      <c r="G45" s="99" t="s">
        <v>247</v>
      </c>
      <c r="H45" s="100" t="n">
        <f aca="false">COUNTIF(tbl_Partenaires[Domaine de collaboration principal],G45)</f>
        <v>0</v>
      </c>
    </row>
    <row r="46" customFormat="false" ht="36" hidden="false" customHeight="true" outlineLevel="0" collapsed="false">
      <c r="G46" s="99" t="s">
        <v>250</v>
      </c>
      <c r="H46" s="100" t="n">
        <f aca="false">COUNTIF(tbl_Partenaires[Domaine de collaboration principal],G46)</f>
        <v>0</v>
      </c>
    </row>
    <row r="47" customFormat="false" ht="24" hidden="false" customHeight="true" outlineLevel="0" collapsed="false">
      <c r="G47" s="99" t="s">
        <v>253</v>
      </c>
      <c r="H47" s="100" t="n">
        <f aca="false">COUNTIF(tbl_Partenaires[Domaine de collaboration principal],G47)</f>
        <v>0</v>
      </c>
    </row>
    <row r="48" customFormat="false" ht="24" hidden="false" customHeight="true" outlineLevel="0" collapsed="false">
      <c r="G48" s="99" t="s">
        <v>256</v>
      </c>
      <c r="H48" s="100" t="n">
        <f aca="false">COUNTIF(tbl_Partenaires[Domaine de collaboration principal],G48)</f>
        <v>0</v>
      </c>
    </row>
    <row r="49" customFormat="false" ht="24" hidden="false" customHeight="true" outlineLevel="0" collapsed="false">
      <c r="G49" s="99" t="s">
        <v>259</v>
      </c>
      <c r="H49" s="100" t="n">
        <f aca="false">COUNTIF(tbl_Partenaires[Domaine de collaboration principal],G49)</f>
        <v>0</v>
      </c>
    </row>
    <row r="50" customFormat="false" ht="24" hidden="false" customHeight="true" outlineLevel="0" collapsed="false">
      <c r="G50" s="99" t="s">
        <v>262</v>
      </c>
      <c r="H50" s="100" t="n">
        <f aca="false">COUNTIF(tbl_Partenaires[Domaine de collaboration principal],G50)</f>
        <v>0</v>
      </c>
    </row>
    <row r="51" customFormat="false" ht="15" hidden="false" customHeight="true" outlineLevel="0" collapsed="false">
      <c r="G51" s="99" t="s">
        <v>265</v>
      </c>
      <c r="H51" s="100" t="n">
        <f aca="false">COUNTIF(tbl_Partenaires[Domaine de collaboration principal],G51)</f>
        <v>0</v>
      </c>
    </row>
    <row r="54" customFormat="false" ht="15.75" hidden="false" customHeight="true" outlineLevel="0" collapsed="false">
      <c r="A54" s="55" t="s">
        <v>1796</v>
      </c>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row>
    <row r="55" customFormat="false" ht="30" hidden="false" customHeight="true" outlineLevel="0" collapsed="false">
      <c r="A55" s="59" t="s">
        <v>1797</v>
      </c>
      <c r="B55" s="59" t="s">
        <v>1571</v>
      </c>
      <c r="C55" s="59" t="s">
        <v>1798</v>
      </c>
      <c r="D55" s="59" t="s">
        <v>1264</v>
      </c>
      <c r="E55" s="59" t="s">
        <v>1262</v>
      </c>
      <c r="F55" s="59" t="s">
        <v>1650</v>
      </c>
      <c r="G55" s="59" t="s">
        <v>1799</v>
      </c>
      <c r="H55" s="59" t="s">
        <v>1282</v>
      </c>
      <c r="I55" s="59" t="s">
        <v>1800</v>
      </c>
      <c r="J55" s="59" t="s">
        <v>1274</v>
      </c>
      <c r="K55" s="59" t="s">
        <v>1374</v>
      </c>
      <c r="L55" s="59" t="s">
        <v>143</v>
      </c>
      <c r="M55" s="59" t="s">
        <v>1801</v>
      </c>
      <c r="N55" s="59" t="s">
        <v>1802</v>
      </c>
      <c r="O55" s="59" t="s">
        <v>1803</v>
      </c>
      <c r="P55" s="59" t="s">
        <v>1804</v>
      </c>
      <c r="Q55" s="59" t="s">
        <v>1805</v>
      </c>
      <c r="R55" s="59" t="s">
        <v>1806</v>
      </c>
      <c r="S55" s="59" t="s">
        <v>1503</v>
      </c>
      <c r="T55" s="59" t="s">
        <v>1504</v>
      </c>
      <c r="U55" s="59" t="s">
        <v>1807</v>
      </c>
      <c r="V55" s="59" t="s">
        <v>1281</v>
      </c>
      <c r="W55" s="59" t="s">
        <v>1808</v>
      </c>
      <c r="X55" s="59" t="s">
        <v>1809</v>
      </c>
      <c r="Y55" s="59" t="s">
        <v>1810</v>
      </c>
      <c r="Z55" s="59" t="s">
        <v>1811</v>
      </c>
      <c r="AA55" s="59" t="s">
        <v>1812</v>
      </c>
      <c r="AB55" s="59" t="s">
        <v>1813</v>
      </c>
      <c r="AC55" s="59" t="s">
        <v>1814</v>
      </c>
      <c r="AD55" s="59" t="s">
        <v>1815</v>
      </c>
      <c r="AE55" s="59" t="s">
        <v>1816</v>
      </c>
      <c r="AF55" s="59" t="s">
        <v>1817</v>
      </c>
      <c r="AG55" s="59" t="s">
        <v>1818</v>
      </c>
      <c r="AH55" s="59" t="s">
        <v>1819</v>
      </c>
      <c r="AI55" s="59" t="s">
        <v>1820</v>
      </c>
      <c r="AJ55" s="59" t="s">
        <v>1821</v>
      </c>
      <c r="AK55" s="59" t="s">
        <v>1822</v>
      </c>
      <c r="AL55" s="59" t="s">
        <v>1823</v>
      </c>
      <c r="AM55" s="59" t="s">
        <v>1824</v>
      </c>
      <c r="AN55" s="59" t="s">
        <v>1789</v>
      </c>
      <c r="AO55" s="59" t="s">
        <v>1825</v>
      </c>
      <c r="AP55" s="59" t="s">
        <v>1826</v>
      </c>
      <c r="AQ55" s="59" t="s">
        <v>1827</v>
      </c>
      <c r="AR55" s="59" t="s">
        <v>1828</v>
      </c>
      <c r="AS55" s="59" t="s">
        <v>1829</v>
      </c>
      <c r="AT55" s="59" t="s">
        <v>1830</v>
      </c>
      <c r="AU55" s="59" t="s">
        <v>1831</v>
      </c>
      <c r="AV55" s="59" t="s">
        <v>1787</v>
      </c>
      <c r="AW55" s="59" t="s">
        <v>1832</v>
      </c>
      <c r="AX55" s="59" t="s">
        <v>1833</v>
      </c>
      <c r="AY55" s="59" t="s">
        <v>1834</v>
      </c>
      <c r="AZ55" s="59" t="s">
        <v>1835</v>
      </c>
      <c r="BA55" s="59" t="s">
        <v>1836</v>
      </c>
      <c r="BB55" s="59" t="s">
        <v>1837</v>
      </c>
      <c r="BC55" s="59" t="s">
        <v>1838</v>
      </c>
      <c r="BD55" s="59" t="s">
        <v>1839</v>
      </c>
      <c r="BE55" s="59" t="s">
        <v>1840</v>
      </c>
      <c r="BF55" s="59" t="s">
        <v>1841</v>
      </c>
      <c r="BG55" s="59" t="s">
        <v>1842</v>
      </c>
      <c r="BH55" s="59" t="s">
        <v>1843</v>
      </c>
      <c r="BI55" s="59" t="s">
        <v>1844</v>
      </c>
      <c r="BJ55" s="59" t="s">
        <v>1845</v>
      </c>
      <c r="BK55" s="59" t="s">
        <v>1377</v>
      </c>
      <c r="BL55" s="59" t="s">
        <v>1378</v>
      </c>
      <c r="BM55" s="59" t="s">
        <v>1379</v>
      </c>
      <c r="BN55" s="59" t="s">
        <v>1380</v>
      </c>
      <c r="BO55" s="59" t="s">
        <v>1846</v>
      </c>
      <c r="BP55" s="59" t="s">
        <v>1847</v>
      </c>
      <c r="BQ55" s="59" t="s">
        <v>1848</v>
      </c>
      <c r="BR55" s="59" t="s">
        <v>1849</v>
      </c>
      <c r="BS55" s="59" t="s">
        <v>1533</v>
      </c>
    </row>
    <row r="56" customFormat="false" ht="15" hidden="false" customHeight="true" outlineLevel="0" collapsed="false">
      <c r="A56" s="61" t="str">
        <f aca="false">IF(C56="","","PART"&amp;TEXT(ROW()-55,"00000"))</f>
        <v/>
      </c>
      <c r="B56" s="86"/>
      <c r="C56" s="86"/>
      <c r="D56" s="86"/>
      <c r="E56" s="86"/>
      <c r="F56" s="86"/>
      <c r="G56" s="86"/>
      <c r="H56" s="86"/>
      <c r="I56" s="86"/>
      <c r="J56" s="101"/>
      <c r="K56" s="86"/>
      <c r="L56" s="86"/>
      <c r="M56" s="86"/>
      <c r="N56" s="61" t="str">
        <f aca="false">IFERROR(INDEX(PARAMETRES!$B$536:$B$586,MATCH(M56,PARAMETRES!$J$536:$J$586,0)),"")</f>
        <v/>
      </c>
      <c r="O56" s="61" t="str">
        <f aca="false">IFERROR(INDEX(PARAMETRES!$D$536:$D$586,MATCH(M56,PARAMETRES!$J$536:$J$586,0)),"")</f>
        <v/>
      </c>
      <c r="P56" s="61" t="str">
        <f aca="false">IFERROR(INDEX(PARAMETRES!$F$536:$F$586,MATCH(M56,PARAMETRES!$J$536:$J$586,0)),"")</f>
        <v/>
      </c>
      <c r="Q56" s="61" t="str">
        <f aca="false">IFERROR(INDEX(PARAMETRES!$H$536:$H$586,MATCH(M56,PARAMETRES!$J$536:$J$586,0)),"")</f>
        <v/>
      </c>
      <c r="R56" s="86"/>
      <c r="S56" s="86"/>
      <c r="T56" s="86"/>
      <c r="U56" s="86"/>
      <c r="V56" s="86"/>
      <c r="W56" s="86"/>
      <c r="X56" s="86"/>
      <c r="Y56" s="86"/>
      <c r="Z56" s="86"/>
      <c r="AA56" s="86"/>
      <c r="AB56" s="86"/>
      <c r="AC56" s="79"/>
      <c r="AD56" s="86"/>
      <c r="AE56" s="86"/>
      <c r="AF56" s="86"/>
      <c r="AG56" s="86"/>
      <c r="AH56" s="61" t="str">
        <f aca="false">IFERROR(INDEX(PARAMETRES!$B$536:$B$586,MATCH(AG56,PARAMETRES!$J$536:$J$586,0)),"")</f>
        <v/>
      </c>
      <c r="AI56" s="61" t="str">
        <f aca="false">IFERROR(INDEX(PARAMETRES!$D$536:$D$586,MATCH(AG56,PARAMETRES!$J$536:$J$586,0)),"")</f>
        <v/>
      </c>
      <c r="AJ56" s="61" t="str">
        <f aca="false">IFERROR(INDEX(PARAMETRES!$F$536:$F$586,MATCH(AG56,PARAMETRES!$J$536:$J$586,0)),"")</f>
        <v/>
      </c>
      <c r="AK56" s="61" t="str">
        <f aca="false">IFERROR(INDEX(PARAMETRES!$H$536:$H$586,MATCH(AG56,PARAMETRES!$J$536:$J$586,0)),"")</f>
        <v/>
      </c>
      <c r="AL56" s="79"/>
      <c r="AM56" s="79"/>
      <c r="AN56" s="86"/>
      <c r="AO56" s="86"/>
      <c r="AP56" s="80"/>
      <c r="AQ56" s="80"/>
      <c r="AR56" s="81" t="str">
        <f aca="false">IF(OR(AP56="",AQ56=""),"",AP56-AQ56)</f>
        <v/>
      </c>
      <c r="AS56" s="86"/>
      <c r="AT56" s="61" t="n">
        <f aca="false">IF(A56="",0,COUNTIF(tbl_Partenaires_Projets[ID Partenaire],A56))</f>
        <v>0</v>
      </c>
      <c r="AU56" s="61" t="n">
        <f aca="false">IF(A56="",0,COUNTIF(tbl_Partenaires_Conventions[ID Partenaire],A56))</f>
        <v>0</v>
      </c>
      <c r="AV56" s="61" t="n">
        <f aca="false">IF(A56="",0,COUNTIFS(tbl_Partenaires_Conventions[ID Partenaire],A56,tbl_Partenaires_Conventions[Statut],"Active"))</f>
        <v>0</v>
      </c>
      <c r="AW56" s="61" t="str">
        <f aca="false">IF(A56="","",IF(COUNTIFS(tbl_Partenaires_Conventions[ID Partenaire],A56,tbl_Partenaires_Conventions[Statut],"Active")=0,"NON",IF(_xlfn.MINIFS(tbl_Partenaires_Conventions[Date fin],tbl_Partenaires_Conventions[ID Partenaire],A56,tbl_Partenaires_Conventions[Statut],"Active")-TODAY()&lt;=60,"OUI","NON")))</f>
        <v/>
      </c>
      <c r="AX56" s="61" t="n">
        <f aca="false">IF(A56="",0,COUNTIF(tbl_Partenaires_Documents[ID Partenaire],A56))</f>
        <v>0</v>
      </c>
      <c r="AY56" s="92" t="str">
        <f aca="false">IFERROR(AVERAGEIFS(tbl_Partenaires_Evaluations[Note globale],tbl_Partenaires_Evaluations[ID Partenaire],A56),"")</f>
        <v/>
      </c>
      <c r="AZ56" s="102" t="n">
        <f aca="false">IFERROR(_xlfn.MAXIFS(tbl_Partenaires_Evaluations[Date evaluation],tbl_Partenaires_Evaluations[ID Partenaire],A56),"")</f>
        <v>0</v>
      </c>
      <c r="BA56" s="61" t="n">
        <f aca="false">IF(A56="",0,COUNTIF(tbl_Partenaires_Risques[ID Partenaire],A56))</f>
        <v>0</v>
      </c>
      <c r="BB56" s="61" t="str">
        <f aca="false">IF(A56="","",IF(COUNTIFS(tbl_Partenaires_Risques[ID Partenaire],A56,tbl_Partenaires_Risques[Niveau],"Eleve")+COUNTIFS(tbl_Partenaires_Risques[ID Partenaire],A56,tbl_Partenaires_Risques[Niveau],"Critique")&gt;0,"OUI","NON"))</f>
        <v/>
      </c>
      <c r="BC56" s="61" t="n">
        <f aca="false">IF(A56="",0,COUNTIF(tbl_Partenaires_Contacts[ID Partenaire],A56))</f>
        <v>0</v>
      </c>
      <c r="BD56" s="61" t="n">
        <f aca="false">IF(A56="",0,COUNTIFS(tbl_Partenaires_Opportunites[ID Partenaire],A56,tbl_Partenaires_Opportunites[Statut],"&lt;&gt;Cloturee"))</f>
        <v>0</v>
      </c>
      <c r="BE56" s="61" t="n">
        <f aca="false">IF(A56="",0,COUNTIF(tbl_Partenaires_Prospection[ID Partenaire],A56))</f>
        <v>0</v>
      </c>
      <c r="BF56" s="86"/>
      <c r="BG56" s="86"/>
      <c r="BH56" s="86"/>
      <c r="BI56" s="86"/>
      <c r="BJ56" s="86"/>
      <c r="BK56" s="86"/>
      <c r="BL56" s="86"/>
      <c r="BM56" s="86"/>
      <c r="BN56" s="86"/>
      <c r="BO56" s="86"/>
      <c r="BP56" s="86"/>
      <c r="BQ56" s="86"/>
      <c r="BR56" s="61" t="str">
        <f aca="false">IF(C56="","",IF(OR(COUNTIF(C56:C115,C56)&gt;1,AND(E56&lt;&gt;"",COUNTIF(E56:E115,E56)&gt;1),AND(S56&lt;&gt;"",COUNTIF(S56:S115,S56)&gt;1),AND(U56&lt;&gt;"",COUNTIF(U56:U115,U56)&gt;1)),"OUI","NON"))</f>
        <v/>
      </c>
      <c r="BS56" s="86"/>
    </row>
    <row r="57" customFormat="false" ht="15" hidden="false" customHeight="true" outlineLevel="0" collapsed="false">
      <c r="A57" s="61" t="str">
        <f aca="false">IF(C57="","","PART"&amp;TEXT(ROW()-55,"00000"))</f>
        <v/>
      </c>
      <c r="B57" s="86"/>
      <c r="C57" s="86"/>
      <c r="D57" s="86"/>
      <c r="E57" s="86"/>
      <c r="F57" s="86"/>
      <c r="G57" s="86"/>
      <c r="H57" s="86"/>
      <c r="I57" s="86"/>
      <c r="J57" s="101"/>
      <c r="K57" s="86"/>
      <c r="L57" s="86"/>
      <c r="M57" s="86"/>
      <c r="N57" s="61" t="str">
        <f aca="false">IFERROR(INDEX(PARAMETRES!$B$536:$B$586,MATCH(M57,PARAMETRES!$J$536:$J$586,0)),"")</f>
        <v/>
      </c>
      <c r="O57" s="61" t="str">
        <f aca="false">IFERROR(INDEX(PARAMETRES!$D$536:$D$586,MATCH(M57,PARAMETRES!$J$536:$J$586,0)),"")</f>
        <v/>
      </c>
      <c r="P57" s="61" t="str">
        <f aca="false">IFERROR(INDEX(PARAMETRES!$F$536:$F$586,MATCH(M57,PARAMETRES!$J$536:$J$586,0)),"")</f>
        <v/>
      </c>
      <c r="Q57" s="61" t="str">
        <f aca="false">IFERROR(INDEX(PARAMETRES!$H$536:$H$586,MATCH(M57,PARAMETRES!$J$536:$J$586,0)),"")</f>
        <v/>
      </c>
      <c r="R57" s="86"/>
      <c r="S57" s="86"/>
      <c r="T57" s="86"/>
      <c r="U57" s="86"/>
      <c r="V57" s="86"/>
      <c r="W57" s="86"/>
      <c r="X57" s="86"/>
      <c r="Y57" s="86"/>
      <c r="Z57" s="86"/>
      <c r="AA57" s="86"/>
      <c r="AB57" s="86"/>
      <c r="AC57" s="79"/>
      <c r="AD57" s="86"/>
      <c r="AE57" s="86"/>
      <c r="AF57" s="86"/>
      <c r="AG57" s="86"/>
      <c r="AH57" s="61" t="str">
        <f aca="false">IFERROR(INDEX(PARAMETRES!$B$536:$B$586,MATCH(AG57,PARAMETRES!$J$536:$J$586,0)),"")</f>
        <v/>
      </c>
      <c r="AI57" s="61" t="str">
        <f aca="false">IFERROR(INDEX(PARAMETRES!$D$536:$D$586,MATCH(AG57,PARAMETRES!$J$536:$J$586,0)),"")</f>
        <v/>
      </c>
      <c r="AJ57" s="61" t="str">
        <f aca="false">IFERROR(INDEX(PARAMETRES!$F$536:$F$586,MATCH(AG57,PARAMETRES!$J$536:$J$586,0)),"")</f>
        <v/>
      </c>
      <c r="AK57" s="61" t="str">
        <f aca="false">IFERROR(INDEX(PARAMETRES!$H$536:$H$586,MATCH(AG57,PARAMETRES!$J$536:$J$586,0)),"")</f>
        <v/>
      </c>
      <c r="AL57" s="79"/>
      <c r="AM57" s="79"/>
      <c r="AN57" s="86"/>
      <c r="AO57" s="86"/>
      <c r="AP57" s="80"/>
      <c r="AQ57" s="80"/>
      <c r="AR57" s="81" t="str">
        <f aca="false">IF(OR(AP57="",AQ57=""),"",AP57-AQ57)</f>
        <v/>
      </c>
      <c r="AS57" s="86"/>
      <c r="AT57" s="61" t="n">
        <f aca="false">IF(A57="",0,COUNTIF(tbl_Partenaires_Projets[ID Partenaire],A57))</f>
        <v>0</v>
      </c>
      <c r="AU57" s="61" t="n">
        <f aca="false">IF(A57="",0,COUNTIF(tbl_Partenaires_Conventions[ID Partenaire],A57))</f>
        <v>0</v>
      </c>
      <c r="AV57" s="61" t="n">
        <f aca="false">IF(A57="",0,COUNTIFS(tbl_Partenaires_Conventions[ID Partenaire],A57,tbl_Partenaires_Conventions[Statut],"Active"))</f>
        <v>0</v>
      </c>
      <c r="AW57" s="61" t="str">
        <f aca="false">IF(A57="","",IF(COUNTIFS(tbl_Partenaires_Conventions[ID Partenaire],A57,tbl_Partenaires_Conventions[Statut],"Active")=0,"NON",IF(_xlfn.MINIFS(tbl_Partenaires_Conventions[Date fin],tbl_Partenaires_Conventions[ID Partenaire],A57,tbl_Partenaires_Conventions[Statut],"Active")-TODAY()&lt;=60,"OUI","NON")))</f>
        <v/>
      </c>
      <c r="AX57" s="61" t="n">
        <f aca="false">IF(A57="",0,COUNTIF(tbl_Partenaires_Documents[ID Partenaire],A57))</f>
        <v>0</v>
      </c>
      <c r="AY57" s="92" t="str">
        <f aca="false">IFERROR(AVERAGEIFS(tbl_Partenaires_Evaluations[Note globale],tbl_Partenaires_Evaluations[ID Partenaire],A57),"")</f>
        <v/>
      </c>
      <c r="AZ57" s="102" t="n">
        <f aca="false">IFERROR(_xlfn.MAXIFS(tbl_Partenaires_Evaluations[Date evaluation],tbl_Partenaires_Evaluations[ID Partenaire],A57),"")</f>
        <v>0</v>
      </c>
      <c r="BA57" s="61" t="n">
        <f aca="false">IF(A57="",0,COUNTIF(tbl_Partenaires_Risques[ID Partenaire],A57))</f>
        <v>0</v>
      </c>
      <c r="BB57" s="61" t="str">
        <f aca="false">IF(A57="","",IF(COUNTIFS(tbl_Partenaires_Risques[ID Partenaire],A57,tbl_Partenaires_Risques[Niveau],"Eleve")+COUNTIFS(tbl_Partenaires_Risques[ID Partenaire],A57,tbl_Partenaires_Risques[Niveau],"Critique")&gt;0,"OUI","NON"))</f>
        <v/>
      </c>
      <c r="BC57" s="61" t="n">
        <f aca="false">IF(A57="",0,COUNTIF(tbl_Partenaires_Contacts[ID Partenaire],A57))</f>
        <v>0</v>
      </c>
      <c r="BD57" s="61" t="n">
        <f aca="false">IF(A57="",0,COUNTIFS(tbl_Partenaires_Opportunites[ID Partenaire],A57,tbl_Partenaires_Opportunites[Statut],"&lt;&gt;Cloturee"))</f>
        <v>0</v>
      </c>
      <c r="BE57" s="61" t="n">
        <f aca="false">IF(A57="",0,COUNTIF(tbl_Partenaires_Prospection[ID Partenaire],A57))</f>
        <v>0</v>
      </c>
      <c r="BF57" s="86"/>
      <c r="BG57" s="86"/>
      <c r="BH57" s="86"/>
      <c r="BI57" s="86"/>
      <c r="BJ57" s="86"/>
      <c r="BK57" s="86"/>
      <c r="BL57" s="86"/>
      <c r="BM57" s="86"/>
      <c r="BN57" s="86"/>
      <c r="BO57" s="86"/>
      <c r="BP57" s="86"/>
      <c r="BQ57" s="86"/>
      <c r="BR57" s="61" t="str">
        <f aca="false">IF(C57="","",IF(OR(COUNTIF(C56:C115,C57)&gt;1,AND(E57&lt;&gt;"",COUNTIF(E56:E115,E57)&gt;1),AND(S57&lt;&gt;"",COUNTIF(S56:S115,S57)&gt;1),AND(U57&lt;&gt;"",COUNTIF(U56:U115,U57)&gt;1)),"OUI","NON"))</f>
        <v/>
      </c>
      <c r="BS57" s="86"/>
    </row>
    <row r="58" customFormat="false" ht="15" hidden="false" customHeight="true" outlineLevel="0" collapsed="false">
      <c r="A58" s="61" t="str">
        <f aca="false">IF(C58="","","PART"&amp;TEXT(ROW()-55,"00000"))</f>
        <v/>
      </c>
      <c r="B58" s="86"/>
      <c r="C58" s="86"/>
      <c r="D58" s="86"/>
      <c r="E58" s="86"/>
      <c r="F58" s="86"/>
      <c r="G58" s="86"/>
      <c r="H58" s="86"/>
      <c r="I58" s="86"/>
      <c r="J58" s="101"/>
      <c r="K58" s="86"/>
      <c r="L58" s="86"/>
      <c r="M58" s="86"/>
      <c r="N58" s="61" t="str">
        <f aca="false">IFERROR(INDEX(PARAMETRES!$B$536:$B$586,MATCH(M58,PARAMETRES!$J$536:$J$586,0)),"")</f>
        <v/>
      </c>
      <c r="O58" s="61" t="str">
        <f aca="false">IFERROR(INDEX(PARAMETRES!$D$536:$D$586,MATCH(M58,PARAMETRES!$J$536:$J$586,0)),"")</f>
        <v/>
      </c>
      <c r="P58" s="61" t="str">
        <f aca="false">IFERROR(INDEX(PARAMETRES!$F$536:$F$586,MATCH(M58,PARAMETRES!$J$536:$J$586,0)),"")</f>
        <v/>
      </c>
      <c r="Q58" s="61" t="str">
        <f aca="false">IFERROR(INDEX(PARAMETRES!$H$536:$H$586,MATCH(M58,PARAMETRES!$J$536:$J$586,0)),"")</f>
        <v/>
      </c>
      <c r="R58" s="86"/>
      <c r="S58" s="86"/>
      <c r="T58" s="86"/>
      <c r="U58" s="86"/>
      <c r="V58" s="86"/>
      <c r="W58" s="86"/>
      <c r="X58" s="86"/>
      <c r="Y58" s="86"/>
      <c r="Z58" s="86"/>
      <c r="AA58" s="86"/>
      <c r="AB58" s="86"/>
      <c r="AC58" s="79"/>
      <c r="AD58" s="86"/>
      <c r="AE58" s="86"/>
      <c r="AF58" s="86"/>
      <c r="AG58" s="86"/>
      <c r="AH58" s="61" t="str">
        <f aca="false">IFERROR(INDEX(PARAMETRES!$B$536:$B$586,MATCH(AG58,PARAMETRES!$J$536:$J$586,0)),"")</f>
        <v/>
      </c>
      <c r="AI58" s="61" t="str">
        <f aca="false">IFERROR(INDEX(PARAMETRES!$D$536:$D$586,MATCH(AG58,PARAMETRES!$J$536:$J$586,0)),"")</f>
        <v/>
      </c>
      <c r="AJ58" s="61" t="str">
        <f aca="false">IFERROR(INDEX(PARAMETRES!$F$536:$F$586,MATCH(AG58,PARAMETRES!$J$536:$J$586,0)),"")</f>
        <v/>
      </c>
      <c r="AK58" s="61" t="str">
        <f aca="false">IFERROR(INDEX(PARAMETRES!$H$536:$H$586,MATCH(AG58,PARAMETRES!$J$536:$J$586,0)),"")</f>
        <v/>
      </c>
      <c r="AL58" s="79"/>
      <c r="AM58" s="79"/>
      <c r="AN58" s="86"/>
      <c r="AO58" s="86"/>
      <c r="AP58" s="80"/>
      <c r="AQ58" s="80"/>
      <c r="AR58" s="81" t="str">
        <f aca="false">IF(OR(AP58="",AQ58=""),"",AP58-AQ58)</f>
        <v/>
      </c>
      <c r="AS58" s="86"/>
      <c r="AT58" s="61" t="n">
        <f aca="false">IF(A58="",0,COUNTIF(tbl_Partenaires_Projets[ID Partenaire],A58))</f>
        <v>0</v>
      </c>
      <c r="AU58" s="61" t="n">
        <f aca="false">IF(A58="",0,COUNTIF(tbl_Partenaires_Conventions[ID Partenaire],A58))</f>
        <v>0</v>
      </c>
      <c r="AV58" s="61" t="n">
        <f aca="false">IF(A58="",0,COUNTIFS(tbl_Partenaires_Conventions[ID Partenaire],A58,tbl_Partenaires_Conventions[Statut],"Active"))</f>
        <v>0</v>
      </c>
      <c r="AW58" s="61" t="str">
        <f aca="false">IF(A58="","",IF(COUNTIFS(tbl_Partenaires_Conventions[ID Partenaire],A58,tbl_Partenaires_Conventions[Statut],"Active")=0,"NON",IF(_xlfn.MINIFS(tbl_Partenaires_Conventions[Date fin],tbl_Partenaires_Conventions[ID Partenaire],A58,tbl_Partenaires_Conventions[Statut],"Active")-TODAY()&lt;=60,"OUI","NON")))</f>
        <v/>
      </c>
      <c r="AX58" s="61" t="n">
        <f aca="false">IF(A58="",0,COUNTIF(tbl_Partenaires_Documents[ID Partenaire],A58))</f>
        <v>0</v>
      </c>
      <c r="AY58" s="92" t="str">
        <f aca="false">IFERROR(AVERAGEIFS(tbl_Partenaires_Evaluations[Note globale],tbl_Partenaires_Evaluations[ID Partenaire],A58),"")</f>
        <v/>
      </c>
      <c r="AZ58" s="102" t="n">
        <f aca="false">IFERROR(_xlfn.MAXIFS(tbl_Partenaires_Evaluations[Date evaluation],tbl_Partenaires_Evaluations[ID Partenaire],A58),"")</f>
        <v>0</v>
      </c>
      <c r="BA58" s="61" t="n">
        <f aca="false">IF(A58="",0,COUNTIF(tbl_Partenaires_Risques[ID Partenaire],A58))</f>
        <v>0</v>
      </c>
      <c r="BB58" s="61" t="str">
        <f aca="false">IF(A58="","",IF(COUNTIFS(tbl_Partenaires_Risques[ID Partenaire],A58,tbl_Partenaires_Risques[Niveau],"Eleve")+COUNTIFS(tbl_Partenaires_Risques[ID Partenaire],A58,tbl_Partenaires_Risques[Niveau],"Critique")&gt;0,"OUI","NON"))</f>
        <v/>
      </c>
      <c r="BC58" s="61" t="n">
        <f aca="false">IF(A58="",0,COUNTIF(tbl_Partenaires_Contacts[ID Partenaire],A58))</f>
        <v>0</v>
      </c>
      <c r="BD58" s="61" t="n">
        <f aca="false">IF(A58="",0,COUNTIFS(tbl_Partenaires_Opportunites[ID Partenaire],A58,tbl_Partenaires_Opportunites[Statut],"&lt;&gt;Cloturee"))</f>
        <v>0</v>
      </c>
      <c r="BE58" s="61" t="n">
        <f aca="false">IF(A58="",0,COUNTIF(tbl_Partenaires_Prospection[ID Partenaire],A58))</f>
        <v>0</v>
      </c>
      <c r="BF58" s="86"/>
      <c r="BG58" s="86"/>
      <c r="BH58" s="86"/>
      <c r="BI58" s="86"/>
      <c r="BJ58" s="86"/>
      <c r="BK58" s="86"/>
      <c r="BL58" s="86"/>
      <c r="BM58" s="86"/>
      <c r="BN58" s="86"/>
      <c r="BO58" s="86"/>
      <c r="BP58" s="86"/>
      <c r="BQ58" s="86"/>
      <c r="BR58" s="61" t="str">
        <f aca="false">IF(C58="","",IF(OR(COUNTIF(C56:C115,C58)&gt;1,AND(E58&lt;&gt;"",COUNTIF(E56:E115,E58)&gt;1),AND(S58&lt;&gt;"",COUNTIF(S56:S115,S58)&gt;1),AND(U58&lt;&gt;"",COUNTIF(U56:U115,U58)&gt;1)),"OUI","NON"))</f>
        <v/>
      </c>
      <c r="BS58" s="86"/>
    </row>
    <row r="59" customFormat="false" ht="15" hidden="false" customHeight="true" outlineLevel="0" collapsed="false">
      <c r="A59" s="61" t="str">
        <f aca="false">IF(C59="","","PART"&amp;TEXT(ROW()-55,"00000"))</f>
        <v/>
      </c>
      <c r="B59" s="86"/>
      <c r="C59" s="86"/>
      <c r="D59" s="86"/>
      <c r="E59" s="86"/>
      <c r="F59" s="86"/>
      <c r="G59" s="86"/>
      <c r="H59" s="86"/>
      <c r="I59" s="86"/>
      <c r="J59" s="101"/>
      <c r="K59" s="86"/>
      <c r="L59" s="86"/>
      <c r="M59" s="86"/>
      <c r="N59" s="61" t="str">
        <f aca="false">IFERROR(INDEX(PARAMETRES!$B$536:$B$586,MATCH(M59,PARAMETRES!$J$536:$J$586,0)),"")</f>
        <v/>
      </c>
      <c r="O59" s="61" t="str">
        <f aca="false">IFERROR(INDEX(PARAMETRES!$D$536:$D$586,MATCH(M59,PARAMETRES!$J$536:$J$586,0)),"")</f>
        <v/>
      </c>
      <c r="P59" s="61" t="str">
        <f aca="false">IFERROR(INDEX(PARAMETRES!$F$536:$F$586,MATCH(M59,PARAMETRES!$J$536:$J$586,0)),"")</f>
        <v/>
      </c>
      <c r="Q59" s="61" t="str">
        <f aca="false">IFERROR(INDEX(PARAMETRES!$H$536:$H$586,MATCH(M59,PARAMETRES!$J$536:$J$586,0)),"")</f>
        <v/>
      </c>
      <c r="R59" s="86"/>
      <c r="S59" s="86"/>
      <c r="T59" s="86"/>
      <c r="U59" s="86"/>
      <c r="V59" s="86"/>
      <c r="W59" s="86"/>
      <c r="X59" s="86"/>
      <c r="Y59" s="86"/>
      <c r="Z59" s="86"/>
      <c r="AA59" s="86"/>
      <c r="AB59" s="86"/>
      <c r="AC59" s="79"/>
      <c r="AD59" s="86"/>
      <c r="AE59" s="86"/>
      <c r="AF59" s="86"/>
      <c r="AG59" s="86"/>
      <c r="AH59" s="61" t="str">
        <f aca="false">IFERROR(INDEX(PARAMETRES!$B$536:$B$586,MATCH(AG59,PARAMETRES!$J$536:$J$586,0)),"")</f>
        <v/>
      </c>
      <c r="AI59" s="61" t="str">
        <f aca="false">IFERROR(INDEX(PARAMETRES!$D$536:$D$586,MATCH(AG59,PARAMETRES!$J$536:$J$586,0)),"")</f>
        <v/>
      </c>
      <c r="AJ59" s="61" t="str">
        <f aca="false">IFERROR(INDEX(PARAMETRES!$F$536:$F$586,MATCH(AG59,PARAMETRES!$J$536:$J$586,0)),"")</f>
        <v/>
      </c>
      <c r="AK59" s="61" t="str">
        <f aca="false">IFERROR(INDEX(PARAMETRES!$H$536:$H$586,MATCH(AG59,PARAMETRES!$J$536:$J$586,0)),"")</f>
        <v/>
      </c>
      <c r="AL59" s="79"/>
      <c r="AM59" s="79"/>
      <c r="AN59" s="86"/>
      <c r="AO59" s="86"/>
      <c r="AP59" s="80"/>
      <c r="AQ59" s="80"/>
      <c r="AR59" s="81" t="str">
        <f aca="false">IF(OR(AP59="",AQ59=""),"",AP59-AQ59)</f>
        <v/>
      </c>
      <c r="AS59" s="86"/>
      <c r="AT59" s="61" t="n">
        <f aca="false">IF(A59="",0,COUNTIF(tbl_Partenaires_Projets[ID Partenaire],A59))</f>
        <v>0</v>
      </c>
      <c r="AU59" s="61" t="n">
        <f aca="false">IF(A59="",0,COUNTIF(tbl_Partenaires_Conventions[ID Partenaire],A59))</f>
        <v>0</v>
      </c>
      <c r="AV59" s="61" t="n">
        <f aca="false">IF(A59="",0,COUNTIFS(tbl_Partenaires_Conventions[ID Partenaire],A59,tbl_Partenaires_Conventions[Statut],"Active"))</f>
        <v>0</v>
      </c>
      <c r="AW59" s="61" t="str">
        <f aca="false">IF(A59="","",IF(COUNTIFS(tbl_Partenaires_Conventions[ID Partenaire],A59,tbl_Partenaires_Conventions[Statut],"Active")=0,"NON",IF(_xlfn.MINIFS(tbl_Partenaires_Conventions[Date fin],tbl_Partenaires_Conventions[ID Partenaire],A59,tbl_Partenaires_Conventions[Statut],"Active")-TODAY()&lt;=60,"OUI","NON")))</f>
        <v/>
      </c>
      <c r="AX59" s="61" t="n">
        <f aca="false">IF(A59="",0,COUNTIF(tbl_Partenaires_Documents[ID Partenaire],A59))</f>
        <v>0</v>
      </c>
      <c r="AY59" s="92" t="str">
        <f aca="false">IFERROR(AVERAGEIFS(tbl_Partenaires_Evaluations[Note globale],tbl_Partenaires_Evaluations[ID Partenaire],A59),"")</f>
        <v/>
      </c>
      <c r="AZ59" s="102" t="n">
        <f aca="false">IFERROR(_xlfn.MAXIFS(tbl_Partenaires_Evaluations[Date evaluation],tbl_Partenaires_Evaluations[ID Partenaire],A59),"")</f>
        <v>0</v>
      </c>
      <c r="BA59" s="61" t="n">
        <f aca="false">IF(A59="",0,COUNTIF(tbl_Partenaires_Risques[ID Partenaire],A59))</f>
        <v>0</v>
      </c>
      <c r="BB59" s="61" t="str">
        <f aca="false">IF(A59="","",IF(COUNTIFS(tbl_Partenaires_Risques[ID Partenaire],A59,tbl_Partenaires_Risques[Niveau],"Eleve")+COUNTIFS(tbl_Partenaires_Risques[ID Partenaire],A59,tbl_Partenaires_Risques[Niveau],"Critique")&gt;0,"OUI","NON"))</f>
        <v/>
      </c>
      <c r="BC59" s="61" t="n">
        <f aca="false">IF(A59="",0,COUNTIF(tbl_Partenaires_Contacts[ID Partenaire],A59))</f>
        <v>0</v>
      </c>
      <c r="BD59" s="61" t="n">
        <f aca="false">IF(A59="",0,COUNTIFS(tbl_Partenaires_Opportunites[ID Partenaire],A59,tbl_Partenaires_Opportunites[Statut],"&lt;&gt;Cloturee"))</f>
        <v>0</v>
      </c>
      <c r="BE59" s="61" t="n">
        <f aca="false">IF(A59="",0,COUNTIF(tbl_Partenaires_Prospection[ID Partenaire],A59))</f>
        <v>0</v>
      </c>
      <c r="BF59" s="86"/>
      <c r="BG59" s="86"/>
      <c r="BH59" s="86"/>
      <c r="BI59" s="86"/>
      <c r="BJ59" s="86"/>
      <c r="BK59" s="86"/>
      <c r="BL59" s="86"/>
      <c r="BM59" s="86"/>
      <c r="BN59" s="86"/>
      <c r="BO59" s="86"/>
      <c r="BP59" s="86"/>
      <c r="BQ59" s="86"/>
      <c r="BR59" s="61" t="str">
        <f aca="false">IF(C59="","",IF(OR(COUNTIF(C56:C115,C59)&gt;1,AND(E59&lt;&gt;"",COUNTIF(E56:E115,E59)&gt;1),AND(S59&lt;&gt;"",COUNTIF(S56:S115,S59)&gt;1),AND(U59&lt;&gt;"",COUNTIF(U56:U115,U59)&gt;1)),"OUI","NON"))</f>
        <v/>
      </c>
      <c r="BS59" s="86"/>
    </row>
    <row r="60" customFormat="false" ht="15" hidden="false" customHeight="true" outlineLevel="0" collapsed="false">
      <c r="A60" s="61" t="str">
        <f aca="false">IF(C60="","","PART"&amp;TEXT(ROW()-55,"00000"))</f>
        <v/>
      </c>
      <c r="B60" s="86"/>
      <c r="C60" s="86"/>
      <c r="D60" s="86"/>
      <c r="E60" s="86"/>
      <c r="F60" s="86"/>
      <c r="G60" s="86"/>
      <c r="H60" s="86"/>
      <c r="I60" s="86"/>
      <c r="J60" s="101"/>
      <c r="K60" s="86"/>
      <c r="L60" s="86"/>
      <c r="M60" s="86"/>
      <c r="N60" s="61" t="str">
        <f aca="false">IFERROR(INDEX(PARAMETRES!$B$536:$B$586,MATCH(M60,PARAMETRES!$J$536:$J$586,0)),"")</f>
        <v/>
      </c>
      <c r="O60" s="61" t="str">
        <f aca="false">IFERROR(INDEX(PARAMETRES!$D$536:$D$586,MATCH(M60,PARAMETRES!$J$536:$J$586,0)),"")</f>
        <v/>
      </c>
      <c r="P60" s="61" t="str">
        <f aca="false">IFERROR(INDEX(PARAMETRES!$F$536:$F$586,MATCH(M60,PARAMETRES!$J$536:$J$586,0)),"")</f>
        <v/>
      </c>
      <c r="Q60" s="61" t="str">
        <f aca="false">IFERROR(INDEX(PARAMETRES!$H$536:$H$586,MATCH(M60,PARAMETRES!$J$536:$J$586,0)),"")</f>
        <v/>
      </c>
      <c r="R60" s="86"/>
      <c r="S60" s="86"/>
      <c r="T60" s="86"/>
      <c r="U60" s="86"/>
      <c r="V60" s="86"/>
      <c r="W60" s="86"/>
      <c r="X60" s="86"/>
      <c r="Y60" s="86"/>
      <c r="Z60" s="86"/>
      <c r="AA60" s="86"/>
      <c r="AB60" s="86"/>
      <c r="AC60" s="79"/>
      <c r="AD60" s="86"/>
      <c r="AE60" s="86"/>
      <c r="AF60" s="86"/>
      <c r="AG60" s="86"/>
      <c r="AH60" s="61" t="str">
        <f aca="false">IFERROR(INDEX(PARAMETRES!$B$536:$B$586,MATCH(AG60,PARAMETRES!$J$536:$J$586,0)),"")</f>
        <v/>
      </c>
      <c r="AI60" s="61" t="str">
        <f aca="false">IFERROR(INDEX(PARAMETRES!$D$536:$D$586,MATCH(AG60,PARAMETRES!$J$536:$J$586,0)),"")</f>
        <v/>
      </c>
      <c r="AJ60" s="61" t="str">
        <f aca="false">IFERROR(INDEX(PARAMETRES!$F$536:$F$586,MATCH(AG60,PARAMETRES!$J$536:$J$586,0)),"")</f>
        <v/>
      </c>
      <c r="AK60" s="61" t="str">
        <f aca="false">IFERROR(INDEX(PARAMETRES!$H$536:$H$586,MATCH(AG60,PARAMETRES!$J$536:$J$586,0)),"")</f>
        <v/>
      </c>
      <c r="AL60" s="79"/>
      <c r="AM60" s="79"/>
      <c r="AN60" s="86"/>
      <c r="AO60" s="86"/>
      <c r="AP60" s="80"/>
      <c r="AQ60" s="80"/>
      <c r="AR60" s="81" t="str">
        <f aca="false">IF(OR(AP60="",AQ60=""),"",AP60-AQ60)</f>
        <v/>
      </c>
      <c r="AS60" s="86"/>
      <c r="AT60" s="61" t="n">
        <f aca="false">IF(A60="",0,COUNTIF(tbl_Partenaires_Projets[ID Partenaire],A60))</f>
        <v>0</v>
      </c>
      <c r="AU60" s="61" t="n">
        <f aca="false">IF(A60="",0,COUNTIF(tbl_Partenaires_Conventions[ID Partenaire],A60))</f>
        <v>0</v>
      </c>
      <c r="AV60" s="61" t="n">
        <f aca="false">IF(A60="",0,COUNTIFS(tbl_Partenaires_Conventions[ID Partenaire],A60,tbl_Partenaires_Conventions[Statut],"Active"))</f>
        <v>0</v>
      </c>
      <c r="AW60" s="61" t="str">
        <f aca="false">IF(A60="","",IF(COUNTIFS(tbl_Partenaires_Conventions[ID Partenaire],A60,tbl_Partenaires_Conventions[Statut],"Active")=0,"NON",IF(_xlfn.MINIFS(tbl_Partenaires_Conventions[Date fin],tbl_Partenaires_Conventions[ID Partenaire],A60,tbl_Partenaires_Conventions[Statut],"Active")-TODAY()&lt;=60,"OUI","NON")))</f>
        <v/>
      </c>
      <c r="AX60" s="61" t="n">
        <f aca="false">IF(A60="",0,COUNTIF(tbl_Partenaires_Documents[ID Partenaire],A60))</f>
        <v>0</v>
      </c>
      <c r="AY60" s="92" t="str">
        <f aca="false">IFERROR(AVERAGEIFS(tbl_Partenaires_Evaluations[Note globale],tbl_Partenaires_Evaluations[ID Partenaire],A60),"")</f>
        <v/>
      </c>
      <c r="AZ60" s="102" t="n">
        <f aca="false">IFERROR(_xlfn.MAXIFS(tbl_Partenaires_Evaluations[Date evaluation],tbl_Partenaires_Evaluations[ID Partenaire],A60),"")</f>
        <v>0</v>
      </c>
      <c r="BA60" s="61" t="n">
        <f aca="false">IF(A60="",0,COUNTIF(tbl_Partenaires_Risques[ID Partenaire],A60))</f>
        <v>0</v>
      </c>
      <c r="BB60" s="61" t="str">
        <f aca="false">IF(A60="","",IF(COUNTIFS(tbl_Partenaires_Risques[ID Partenaire],A60,tbl_Partenaires_Risques[Niveau],"Eleve")+COUNTIFS(tbl_Partenaires_Risques[ID Partenaire],A60,tbl_Partenaires_Risques[Niveau],"Critique")&gt;0,"OUI","NON"))</f>
        <v/>
      </c>
      <c r="BC60" s="61" t="n">
        <f aca="false">IF(A60="",0,COUNTIF(tbl_Partenaires_Contacts[ID Partenaire],A60))</f>
        <v>0</v>
      </c>
      <c r="BD60" s="61" t="n">
        <f aca="false">IF(A60="",0,COUNTIFS(tbl_Partenaires_Opportunites[ID Partenaire],A60,tbl_Partenaires_Opportunites[Statut],"&lt;&gt;Cloturee"))</f>
        <v>0</v>
      </c>
      <c r="BE60" s="61" t="n">
        <f aca="false">IF(A60="",0,COUNTIF(tbl_Partenaires_Prospection[ID Partenaire],A60))</f>
        <v>0</v>
      </c>
      <c r="BF60" s="86"/>
      <c r="BG60" s="86"/>
      <c r="BH60" s="86"/>
      <c r="BI60" s="86"/>
      <c r="BJ60" s="86"/>
      <c r="BK60" s="86"/>
      <c r="BL60" s="86"/>
      <c r="BM60" s="86"/>
      <c r="BN60" s="86"/>
      <c r="BO60" s="86"/>
      <c r="BP60" s="86"/>
      <c r="BQ60" s="86"/>
      <c r="BR60" s="61" t="str">
        <f aca="false">IF(C60="","",IF(OR(COUNTIF(C56:C115,C60)&gt;1,AND(E60&lt;&gt;"",COUNTIF(E56:E115,E60)&gt;1),AND(S60&lt;&gt;"",COUNTIF(S56:S115,S60)&gt;1),AND(U60&lt;&gt;"",COUNTIF(U56:U115,U60)&gt;1)),"OUI","NON"))</f>
        <v/>
      </c>
      <c r="BS60" s="86"/>
    </row>
    <row r="61" customFormat="false" ht="15" hidden="false" customHeight="true" outlineLevel="0" collapsed="false">
      <c r="A61" s="61" t="str">
        <f aca="false">IF(C61="","","PART"&amp;TEXT(ROW()-55,"00000"))</f>
        <v/>
      </c>
      <c r="B61" s="86"/>
      <c r="C61" s="86"/>
      <c r="D61" s="86"/>
      <c r="E61" s="86"/>
      <c r="F61" s="86"/>
      <c r="G61" s="86"/>
      <c r="H61" s="86"/>
      <c r="I61" s="86"/>
      <c r="J61" s="101"/>
      <c r="K61" s="86"/>
      <c r="L61" s="86"/>
      <c r="M61" s="86"/>
      <c r="N61" s="61" t="str">
        <f aca="false">IFERROR(INDEX(PARAMETRES!$B$536:$B$586,MATCH(M61,PARAMETRES!$J$536:$J$586,0)),"")</f>
        <v/>
      </c>
      <c r="O61" s="61" t="str">
        <f aca="false">IFERROR(INDEX(PARAMETRES!$D$536:$D$586,MATCH(M61,PARAMETRES!$J$536:$J$586,0)),"")</f>
        <v/>
      </c>
      <c r="P61" s="61" t="str">
        <f aca="false">IFERROR(INDEX(PARAMETRES!$F$536:$F$586,MATCH(M61,PARAMETRES!$J$536:$J$586,0)),"")</f>
        <v/>
      </c>
      <c r="Q61" s="61" t="str">
        <f aca="false">IFERROR(INDEX(PARAMETRES!$H$536:$H$586,MATCH(M61,PARAMETRES!$J$536:$J$586,0)),"")</f>
        <v/>
      </c>
      <c r="R61" s="86"/>
      <c r="S61" s="86"/>
      <c r="T61" s="86"/>
      <c r="U61" s="86"/>
      <c r="V61" s="86"/>
      <c r="W61" s="86"/>
      <c r="X61" s="86"/>
      <c r="Y61" s="86"/>
      <c r="Z61" s="86"/>
      <c r="AA61" s="86"/>
      <c r="AB61" s="86"/>
      <c r="AC61" s="79"/>
      <c r="AD61" s="86"/>
      <c r="AE61" s="86"/>
      <c r="AF61" s="86"/>
      <c r="AG61" s="86"/>
      <c r="AH61" s="61" t="str">
        <f aca="false">IFERROR(INDEX(PARAMETRES!$B$536:$B$586,MATCH(AG61,PARAMETRES!$J$536:$J$586,0)),"")</f>
        <v/>
      </c>
      <c r="AI61" s="61" t="str">
        <f aca="false">IFERROR(INDEX(PARAMETRES!$D$536:$D$586,MATCH(AG61,PARAMETRES!$J$536:$J$586,0)),"")</f>
        <v/>
      </c>
      <c r="AJ61" s="61" t="str">
        <f aca="false">IFERROR(INDEX(PARAMETRES!$F$536:$F$586,MATCH(AG61,PARAMETRES!$J$536:$J$586,0)),"")</f>
        <v/>
      </c>
      <c r="AK61" s="61" t="str">
        <f aca="false">IFERROR(INDEX(PARAMETRES!$H$536:$H$586,MATCH(AG61,PARAMETRES!$J$536:$J$586,0)),"")</f>
        <v/>
      </c>
      <c r="AL61" s="79"/>
      <c r="AM61" s="79"/>
      <c r="AN61" s="86"/>
      <c r="AO61" s="86"/>
      <c r="AP61" s="80"/>
      <c r="AQ61" s="80"/>
      <c r="AR61" s="81" t="str">
        <f aca="false">IF(OR(AP61="",AQ61=""),"",AP61-AQ61)</f>
        <v/>
      </c>
      <c r="AS61" s="86"/>
      <c r="AT61" s="61" t="n">
        <f aca="false">IF(A61="",0,COUNTIF(tbl_Partenaires_Projets[ID Partenaire],A61))</f>
        <v>0</v>
      </c>
      <c r="AU61" s="61" t="n">
        <f aca="false">IF(A61="",0,COUNTIF(tbl_Partenaires_Conventions[ID Partenaire],A61))</f>
        <v>0</v>
      </c>
      <c r="AV61" s="61" t="n">
        <f aca="false">IF(A61="",0,COUNTIFS(tbl_Partenaires_Conventions[ID Partenaire],A61,tbl_Partenaires_Conventions[Statut],"Active"))</f>
        <v>0</v>
      </c>
      <c r="AW61" s="61" t="str">
        <f aca="false">IF(A61="","",IF(COUNTIFS(tbl_Partenaires_Conventions[ID Partenaire],A61,tbl_Partenaires_Conventions[Statut],"Active")=0,"NON",IF(_xlfn.MINIFS(tbl_Partenaires_Conventions[Date fin],tbl_Partenaires_Conventions[ID Partenaire],A61,tbl_Partenaires_Conventions[Statut],"Active")-TODAY()&lt;=60,"OUI","NON")))</f>
        <v/>
      </c>
      <c r="AX61" s="61" t="n">
        <f aca="false">IF(A61="",0,COUNTIF(tbl_Partenaires_Documents[ID Partenaire],A61))</f>
        <v>0</v>
      </c>
      <c r="AY61" s="92" t="str">
        <f aca="false">IFERROR(AVERAGEIFS(tbl_Partenaires_Evaluations[Note globale],tbl_Partenaires_Evaluations[ID Partenaire],A61),"")</f>
        <v/>
      </c>
      <c r="AZ61" s="102" t="n">
        <f aca="false">IFERROR(_xlfn.MAXIFS(tbl_Partenaires_Evaluations[Date evaluation],tbl_Partenaires_Evaluations[ID Partenaire],A61),"")</f>
        <v>0</v>
      </c>
      <c r="BA61" s="61" t="n">
        <f aca="false">IF(A61="",0,COUNTIF(tbl_Partenaires_Risques[ID Partenaire],A61))</f>
        <v>0</v>
      </c>
      <c r="BB61" s="61" t="str">
        <f aca="false">IF(A61="","",IF(COUNTIFS(tbl_Partenaires_Risques[ID Partenaire],A61,tbl_Partenaires_Risques[Niveau],"Eleve")+COUNTIFS(tbl_Partenaires_Risques[ID Partenaire],A61,tbl_Partenaires_Risques[Niveau],"Critique")&gt;0,"OUI","NON"))</f>
        <v/>
      </c>
      <c r="BC61" s="61" t="n">
        <f aca="false">IF(A61="",0,COUNTIF(tbl_Partenaires_Contacts[ID Partenaire],A61))</f>
        <v>0</v>
      </c>
      <c r="BD61" s="61" t="n">
        <f aca="false">IF(A61="",0,COUNTIFS(tbl_Partenaires_Opportunites[ID Partenaire],A61,tbl_Partenaires_Opportunites[Statut],"&lt;&gt;Cloturee"))</f>
        <v>0</v>
      </c>
      <c r="BE61" s="61" t="n">
        <f aca="false">IF(A61="",0,COUNTIF(tbl_Partenaires_Prospection[ID Partenaire],A61))</f>
        <v>0</v>
      </c>
      <c r="BF61" s="86"/>
      <c r="BG61" s="86"/>
      <c r="BH61" s="86"/>
      <c r="BI61" s="86"/>
      <c r="BJ61" s="86"/>
      <c r="BK61" s="86"/>
      <c r="BL61" s="86"/>
      <c r="BM61" s="86"/>
      <c r="BN61" s="86"/>
      <c r="BO61" s="86"/>
      <c r="BP61" s="86"/>
      <c r="BQ61" s="86"/>
      <c r="BR61" s="61" t="str">
        <f aca="false">IF(C61="","",IF(OR(COUNTIF(C56:C115,C61)&gt;1,AND(E61&lt;&gt;"",COUNTIF(E56:E115,E61)&gt;1),AND(S61&lt;&gt;"",COUNTIF(S56:S115,S61)&gt;1),AND(U61&lt;&gt;"",COUNTIF(U56:U115,U61)&gt;1)),"OUI","NON"))</f>
        <v/>
      </c>
      <c r="BS61" s="86"/>
    </row>
    <row r="62" customFormat="false" ht="15" hidden="false" customHeight="true" outlineLevel="0" collapsed="false">
      <c r="A62" s="61" t="str">
        <f aca="false">IF(C62="","","PART"&amp;TEXT(ROW()-55,"00000"))</f>
        <v/>
      </c>
      <c r="B62" s="86"/>
      <c r="C62" s="86"/>
      <c r="D62" s="86"/>
      <c r="E62" s="86"/>
      <c r="F62" s="86"/>
      <c r="G62" s="86"/>
      <c r="H62" s="86"/>
      <c r="I62" s="86"/>
      <c r="J62" s="101"/>
      <c r="K62" s="86"/>
      <c r="L62" s="86"/>
      <c r="M62" s="86"/>
      <c r="N62" s="61" t="str">
        <f aca="false">IFERROR(INDEX(PARAMETRES!$B$536:$B$586,MATCH(M62,PARAMETRES!$J$536:$J$586,0)),"")</f>
        <v/>
      </c>
      <c r="O62" s="61" t="str">
        <f aca="false">IFERROR(INDEX(PARAMETRES!$D$536:$D$586,MATCH(M62,PARAMETRES!$J$536:$J$586,0)),"")</f>
        <v/>
      </c>
      <c r="P62" s="61" t="str">
        <f aca="false">IFERROR(INDEX(PARAMETRES!$F$536:$F$586,MATCH(M62,PARAMETRES!$J$536:$J$586,0)),"")</f>
        <v/>
      </c>
      <c r="Q62" s="61" t="str">
        <f aca="false">IFERROR(INDEX(PARAMETRES!$H$536:$H$586,MATCH(M62,PARAMETRES!$J$536:$J$586,0)),"")</f>
        <v/>
      </c>
      <c r="R62" s="86"/>
      <c r="S62" s="86"/>
      <c r="T62" s="86"/>
      <c r="U62" s="86"/>
      <c r="V62" s="86"/>
      <c r="W62" s="86"/>
      <c r="X62" s="86"/>
      <c r="Y62" s="86"/>
      <c r="Z62" s="86"/>
      <c r="AA62" s="86"/>
      <c r="AB62" s="86"/>
      <c r="AC62" s="79"/>
      <c r="AD62" s="86"/>
      <c r="AE62" s="86"/>
      <c r="AF62" s="86"/>
      <c r="AG62" s="86"/>
      <c r="AH62" s="61" t="str">
        <f aca="false">IFERROR(INDEX(PARAMETRES!$B$536:$B$586,MATCH(AG62,PARAMETRES!$J$536:$J$586,0)),"")</f>
        <v/>
      </c>
      <c r="AI62" s="61" t="str">
        <f aca="false">IFERROR(INDEX(PARAMETRES!$D$536:$D$586,MATCH(AG62,PARAMETRES!$J$536:$J$586,0)),"")</f>
        <v/>
      </c>
      <c r="AJ62" s="61" t="str">
        <f aca="false">IFERROR(INDEX(PARAMETRES!$F$536:$F$586,MATCH(AG62,PARAMETRES!$J$536:$J$586,0)),"")</f>
        <v/>
      </c>
      <c r="AK62" s="61" t="str">
        <f aca="false">IFERROR(INDEX(PARAMETRES!$H$536:$H$586,MATCH(AG62,PARAMETRES!$J$536:$J$586,0)),"")</f>
        <v/>
      </c>
      <c r="AL62" s="79"/>
      <c r="AM62" s="79"/>
      <c r="AN62" s="86"/>
      <c r="AO62" s="86"/>
      <c r="AP62" s="80"/>
      <c r="AQ62" s="80"/>
      <c r="AR62" s="81" t="str">
        <f aca="false">IF(OR(AP62="",AQ62=""),"",AP62-AQ62)</f>
        <v/>
      </c>
      <c r="AS62" s="86"/>
      <c r="AT62" s="61" t="n">
        <f aca="false">IF(A62="",0,COUNTIF(tbl_Partenaires_Projets[ID Partenaire],A62))</f>
        <v>0</v>
      </c>
      <c r="AU62" s="61" t="n">
        <f aca="false">IF(A62="",0,COUNTIF(tbl_Partenaires_Conventions[ID Partenaire],A62))</f>
        <v>0</v>
      </c>
      <c r="AV62" s="61" t="n">
        <f aca="false">IF(A62="",0,COUNTIFS(tbl_Partenaires_Conventions[ID Partenaire],A62,tbl_Partenaires_Conventions[Statut],"Active"))</f>
        <v>0</v>
      </c>
      <c r="AW62" s="61" t="str">
        <f aca="false">IF(A62="","",IF(COUNTIFS(tbl_Partenaires_Conventions[ID Partenaire],A62,tbl_Partenaires_Conventions[Statut],"Active")=0,"NON",IF(_xlfn.MINIFS(tbl_Partenaires_Conventions[Date fin],tbl_Partenaires_Conventions[ID Partenaire],A62,tbl_Partenaires_Conventions[Statut],"Active")-TODAY()&lt;=60,"OUI","NON")))</f>
        <v/>
      </c>
      <c r="AX62" s="61" t="n">
        <f aca="false">IF(A62="",0,COUNTIF(tbl_Partenaires_Documents[ID Partenaire],A62))</f>
        <v>0</v>
      </c>
      <c r="AY62" s="92" t="str">
        <f aca="false">IFERROR(AVERAGEIFS(tbl_Partenaires_Evaluations[Note globale],tbl_Partenaires_Evaluations[ID Partenaire],A62),"")</f>
        <v/>
      </c>
      <c r="AZ62" s="102" t="n">
        <f aca="false">IFERROR(_xlfn.MAXIFS(tbl_Partenaires_Evaluations[Date evaluation],tbl_Partenaires_Evaluations[ID Partenaire],A62),"")</f>
        <v>0</v>
      </c>
      <c r="BA62" s="61" t="n">
        <f aca="false">IF(A62="",0,COUNTIF(tbl_Partenaires_Risques[ID Partenaire],A62))</f>
        <v>0</v>
      </c>
      <c r="BB62" s="61" t="str">
        <f aca="false">IF(A62="","",IF(COUNTIFS(tbl_Partenaires_Risques[ID Partenaire],A62,tbl_Partenaires_Risques[Niveau],"Eleve")+COUNTIFS(tbl_Partenaires_Risques[ID Partenaire],A62,tbl_Partenaires_Risques[Niveau],"Critique")&gt;0,"OUI","NON"))</f>
        <v/>
      </c>
      <c r="BC62" s="61" t="n">
        <f aca="false">IF(A62="",0,COUNTIF(tbl_Partenaires_Contacts[ID Partenaire],A62))</f>
        <v>0</v>
      </c>
      <c r="BD62" s="61" t="n">
        <f aca="false">IF(A62="",0,COUNTIFS(tbl_Partenaires_Opportunites[ID Partenaire],A62,tbl_Partenaires_Opportunites[Statut],"&lt;&gt;Cloturee"))</f>
        <v>0</v>
      </c>
      <c r="BE62" s="61" t="n">
        <f aca="false">IF(A62="",0,COUNTIF(tbl_Partenaires_Prospection[ID Partenaire],A62))</f>
        <v>0</v>
      </c>
      <c r="BF62" s="86"/>
      <c r="BG62" s="86"/>
      <c r="BH62" s="86"/>
      <c r="BI62" s="86"/>
      <c r="BJ62" s="86"/>
      <c r="BK62" s="86"/>
      <c r="BL62" s="86"/>
      <c r="BM62" s="86"/>
      <c r="BN62" s="86"/>
      <c r="BO62" s="86"/>
      <c r="BP62" s="86"/>
      <c r="BQ62" s="86"/>
      <c r="BR62" s="61" t="str">
        <f aca="false">IF(C62="","",IF(OR(COUNTIF(C56:C115,C62)&gt;1,AND(E62&lt;&gt;"",COUNTIF(E56:E115,E62)&gt;1),AND(S62&lt;&gt;"",COUNTIF(S56:S115,S62)&gt;1),AND(U62&lt;&gt;"",COUNTIF(U56:U115,U62)&gt;1)),"OUI","NON"))</f>
        <v/>
      </c>
      <c r="BS62" s="86"/>
    </row>
    <row r="63" customFormat="false" ht="15" hidden="false" customHeight="true" outlineLevel="0" collapsed="false">
      <c r="A63" s="61" t="str">
        <f aca="false">IF(C63="","","PART"&amp;TEXT(ROW()-55,"00000"))</f>
        <v/>
      </c>
      <c r="B63" s="86"/>
      <c r="C63" s="86"/>
      <c r="D63" s="86"/>
      <c r="E63" s="86"/>
      <c r="F63" s="86"/>
      <c r="G63" s="86"/>
      <c r="H63" s="86"/>
      <c r="I63" s="86"/>
      <c r="J63" s="101"/>
      <c r="K63" s="86"/>
      <c r="L63" s="86"/>
      <c r="M63" s="86"/>
      <c r="N63" s="61" t="str">
        <f aca="false">IFERROR(INDEX(PARAMETRES!$B$536:$B$586,MATCH(M63,PARAMETRES!$J$536:$J$586,0)),"")</f>
        <v/>
      </c>
      <c r="O63" s="61" t="str">
        <f aca="false">IFERROR(INDEX(PARAMETRES!$D$536:$D$586,MATCH(M63,PARAMETRES!$J$536:$J$586,0)),"")</f>
        <v/>
      </c>
      <c r="P63" s="61" t="str">
        <f aca="false">IFERROR(INDEX(PARAMETRES!$F$536:$F$586,MATCH(M63,PARAMETRES!$J$536:$J$586,0)),"")</f>
        <v/>
      </c>
      <c r="Q63" s="61" t="str">
        <f aca="false">IFERROR(INDEX(PARAMETRES!$H$536:$H$586,MATCH(M63,PARAMETRES!$J$536:$J$586,0)),"")</f>
        <v/>
      </c>
      <c r="R63" s="86"/>
      <c r="S63" s="86"/>
      <c r="T63" s="86"/>
      <c r="U63" s="86"/>
      <c r="V63" s="86"/>
      <c r="W63" s="86"/>
      <c r="X63" s="86"/>
      <c r="Y63" s="86"/>
      <c r="Z63" s="86"/>
      <c r="AA63" s="86"/>
      <c r="AB63" s="86"/>
      <c r="AC63" s="79"/>
      <c r="AD63" s="86"/>
      <c r="AE63" s="86"/>
      <c r="AF63" s="86"/>
      <c r="AG63" s="86"/>
      <c r="AH63" s="61" t="str">
        <f aca="false">IFERROR(INDEX(PARAMETRES!$B$536:$B$586,MATCH(AG63,PARAMETRES!$J$536:$J$586,0)),"")</f>
        <v/>
      </c>
      <c r="AI63" s="61" t="str">
        <f aca="false">IFERROR(INDEX(PARAMETRES!$D$536:$D$586,MATCH(AG63,PARAMETRES!$J$536:$J$586,0)),"")</f>
        <v/>
      </c>
      <c r="AJ63" s="61" t="str">
        <f aca="false">IFERROR(INDEX(PARAMETRES!$F$536:$F$586,MATCH(AG63,PARAMETRES!$J$536:$J$586,0)),"")</f>
        <v/>
      </c>
      <c r="AK63" s="61" t="str">
        <f aca="false">IFERROR(INDEX(PARAMETRES!$H$536:$H$586,MATCH(AG63,PARAMETRES!$J$536:$J$586,0)),"")</f>
        <v/>
      </c>
      <c r="AL63" s="79"/>
      <c r="AM63" s="79"/>
      <c r="AN63" s="86"/>
      <c r="AO63" s="86"/>
      <c r="AP63" s="80"/>
      <c r="AQ63" s="80"/>
      <c r="AR63" s="81" t="str">
        <f aca="false">IF(OR(AP63="",AQ63=""),"",AP63-AQ63)</f>
        <v/>
      </c>
      <c r="AS63" s="86"/>
      <c r="AT63" s="61" t="n">
        <f aca="false">IF(A63="",0,COUNTIF(tbl_Partenaires_Projets[ID Partenaire],A63))</f>
        <v>0</v>
      </c>
      <c r="AU63" s="61" t="n">
        <f aca="false">IF(A63="",0,COUNTIF(tbl_Partenaires_Conventions[ID Partenaire],A63))</f>
        <v>0</v>
      </c>
      <c r="AV63" s="61" t="n">
        <f aca="false">IF(A63="",0,COUNTIFS(tbl_Partenaires_Conventions[ID Partenaire],A63,tbl_Partenaires_Conventions[Statut],"Active"))</f>
        <v>0</v>
      </c>
      <c r="AW63" s="61" t="str">
        <f aca="false">IF(A63="","",IF(COUNTIFS(tbl_Partenaires_Conventions[ID Partenaire],A63,tbl_Partenaires_Conventions[Statut],"Active")=0,"NON",IF(_xlfn.MINIFS(tbl_Partenaires_Conventions[Date fin],tbl_Partenaires_Conventions[ID Partenaire],A63,tbl_Partenaires_Conventions[Statut],"Active")-TODAY()&lt;=60,"OUI","NON")))</f>
        <v/>
      </c>
      <c r="AX63" s="61" t="n">
        <f aca="false">IF(A63="",0,COUNTIF(tbl_Partenaires_Documents[ID Partenaire],A63))</f>
        <v>0</v>
      </c>
      <c r="AY63" s="92" t="str">
        <f aca="false">IFERROR(AVERAGEIFS(tbl_Partenaires_Evaluations[Note globale],tbl_Partenaires_Evaluations[ID Partenaire],A63),"")</f>
        <v/>
      </c>
      <c r="AZ63" s="102" t="n">
        <f aca="false">IFERROR(_xlfn.MAXIFS(tbl_Partenaires_Evaluations[Date evaluation],tbl_Partenaires_Evaluations[ID Partenaire],A63),"")</f>
        <v>0</v>
      </c>
      <c r="BA63" s="61" t="n">
        <f aca="false">IF(A63="",0,COUNTIF(tbl_Partenaires_Risques[ID Partenaire],A63))</f>
        <v>0</v>
      </c>
      <c r="BB63" s="61" t="str">
        <f aca="false">IF(A63="","",IF(COUNTIFS(tbl_Partenaires_Risques[ID Partenaire],A63,tbl_Partenaires_Risques[Niveau],"Eleve")+COUNTIFS(tbl_Partenaires_Risques[ID Partenaire],A63,tbl_Partenaires_Risques[Niveau],"Critique")&gt;0,"OUI","NON"))</f>
        <v/>
      </c>
      <c r="BC63" s="61" t="n">
        <f aca="false">IF(A63="",0,COUNTIF(tbl_Partenaires_Contacts[ID Partenaire],A63))</f>
        <v>0</v>
      </c>
      <c r="BD63" s="61" t="n">
        <f aca="false">IF(A63="",0,COUNTIFS(tbl_Partenaires_Opportunites[ID Partenaire],A63,tbl_Partenaires_Opportunites[Statut],"&lt;&gt;Cloturee"))</f>
        <v>0</v>
      </c>
      <c r="BE63" s="61" t="n">
        <f aca="false">IF(A63="",0,COUNTIF(tbl_Partenaires_Prospection[ID Partenaire],A63))</f>
        <v>0</v>
      </c>
      <c r="BF63" s="86"/>
      <c r="BG63" s="86"/>
      <c r="BH63" s="86"/>
      <c r="BI63" s="86"/>
      <c r="BJ63" s="86"/>
      <c r="BK63" s="86"/>
      <c r="BL63" s="86"/>
      <c r="BM63" s="86"/>
      <c r="BN63" s="86"/>
      <c r="BO63" s="86"/>
      <c r="BP63" s="86"/>
      <c r="BQ63" s="86"/>
      <c r="BR63" s="61" t="str">
        <f aca="false">IF(C63="","",IF(OR(COUNTIF(C56:C115,C63)&gt;1,AND(E63&lt;&gt;"",COUNTIF(E56:E115,E63)&gt;1),AND(S63&lt;&gt;"",COUNTIF(S56:S115,S63)&gt;1),AND(U63&lt;&gt;"",COUNTIF(U56:U115,U63)&gt;1)),"OUI","NON"))</f>
        <v/>
      </c>
      <c r="BS63" s="86"/>
    </row>
    <row r="64" customFormat="false" ht="15" hidden="false" customHeight="true" outlineLevel="0" collapsed="false">
      <c r="A64" s="61" t="str">
        <f aca="false">IF(C64="","","PART"&amp;TEXT(ROW()-55,"00000"))</f>
        <v/>
      </c>
      <c r="B64" s="86"/>
      <c r="C64" s="86"/>
      <c r="D64" s="86"/>
      <c r="E64" s="86"/>
      <c r="F64" s="86"/>
      <c r="G64" s="86"/>
      <c r="H64" s="86"/>
      <c r="I64" s="86"/>
      <c r="J64" s="101"/>
      <c r="K64" s="86"/>
      <c r="L64" s="86"/>
      <c r="M64" s="86"/>
      <c r="N64" s="61" t="str">
        <f aca="false">IFERROR(INDEX(PARAMETRES!$B$536:$B$586,MATCH(M64,PARAMETRES!$J$536:$J$586,0)),"")</f>
        <v/>
      </c>
      <c r="O64" s="61" t="str">
        <f aca="false">IFERROR(INDEX(PARAMETRES!$D$536:$D$586,MATCH(M64,PARAMETRES!$J$536:$J$586,0)),"")</f>
        <v/>
      </c>
      <c r="P64" s="61" t="str">
        <f aca="false">IFERROR(INDEX(PARAMETRES!$F$536:$F$586,MATCH(M64,PARAMETRES!$J$536:$J$586,0)),"")</f>
        <v/>
      </c>
      <c r="Q64" s="61" t="str">
        <f aca="false">IFERROR(INDEX(PARAMETRES!$H$536:$H$586,MATCH(M64,PARAMETRES!$J$536:$J$586,0)),"")</f>
        <v/>
      </c>
      <c r="R64" s="86"/>
      <c r="S64" s="86"/>
      <c r="T64" s="86"/>
      <c r="U64" s="86"/>
      <c r="V64" s="86"/>
      <c r="W64" s="86"/>
      <c r="X64" s="86"/>
      <c r="Y64" s="86"/>
      <c r="Z64" s="86"/>
      <c r="AA64" s="86"/>
      <c r="AB64" s="86"/>
      <c r="AC64" s="79"/>
      <c r="AD64" s="86"/>
      <c r="AE64" s="86"/>
      <c r="AF64" s="86"/>
      <c r="AG64" s="86"/>
      <c r="AH64" s="61" t="str">
        <f aca="false">IFERROR(INDEX(PARAMETRES!$B$536:$B$586,MATCH(AG64,PARAMETRES!$J$536:$J$586,0)),"")</f>
        <v/>
      </c>
      <c r="AI64" s="61" t="str">
        <f aca="false">IFERROR(INDEX(PARAMETRES!$D$536:$D$586,MATCH(AG64,PARAMETRES!$J$536:$J$586,0)),"")</f>
        <v/>
      </c>
      <c r="AJ64" s="61" t="str">
        <f aca="false">IFERROR(INDEX(PARAMETRES!$F$536:$F$586,MATCH(AG64,PARAMETRES!$J$536:$J$586,0)),"")</f>
        <v/>
      </c>
      <c r="AK64" s="61" t="str">
        <f aca="false">IFERROR(INDEX(PARAMETRES!$H$536:$H$586,MATCH(AG64,PARAMETRES!$J$536:$J$586,0)),"")</f>
        <v/>
      </c>
      <c r="AL64" s="79"/>
      <c r="AM64" s="79"/>
      <c r="AN64" s="86"/>
      <c r="AO64" s="86"/>
      <c r="AP64" s="80"/>
      <c r="AQ64" s="80"/>
      <c r="AR64" s="81" t="str">
        <f aca="false">IF(OR(AP64="",AQ64=""),"",AP64-AQ64)</f>
        <v/>
      </c>
      <c r="AS64" s="86"/>
      <c r="AT64" s="61" t="n">
        <f aca="false">IF(A64="",0,COUNTIF(tbl_Partenaires_Projets[ID Partenaire],A64))</f>
        <v>0</v>
      </c>
      <c r="AU64" s="61" t="n">
        <f aca="false">IF(A64="",0,COUNTIF(tbl_Partenaires_Conventions[ID Partenaire],A64))</f>
        <v>0</v>
      </c>
      <c r="AV64" s="61" t="n">
        <f aca="false">IF(A64="",0,COUNTIFS(tbl_Partenaires_Conventions[ID Partenaire],A64,tbl_Partenaires_Conventions[Statut],"Active"))</f>
        <v>0</v>
      </c>
      <c r="AW64" s="61" t="str">
        <f aca="false">IF(A64="","",IF(COUNTIFS(tbl_Partenaires_Conventions[ID Partenaire],A64,tbl_Partenaires_Conventions[Statut],"Active")=0,"NON",IF(_xlfn.MINIFS(tbl_Partenaires_Conventions[Date fin],tbl_Partenaires_Conventions[ID Partenaire],A64,tbl_Partenaires_Conventions[Statut],"Active")-TODAY()&lt;=60,"OUI","NON")))</f>
        <v/>
      </c>
      <c r="AX64" s="61" t="n">
        <f aca="false">IF(A64="",0,COUNTIF(tbl_Partenaires_Documents[ID Partenaire],A64))</f>
        <v>0</v>
      </c>
      <c r="AY64" s="92" t="str">
        <f aca="false">IFERROR(AVERAGEIFS(tbl_Partenaires_Evaluations[Note globale],tbl_Partenaires_Evaluations[ID Partenaire],A64),"")</f>
        <v/>
      </c>
      <c r="AZ64" s="102" t="n">
        <f aca="false">IFERROR(_xlfn.MAXIFS(tbl_Partenaires_Evaluations[Date evaluation],tbl_Partenaires_Evaluations[ID Partenaire],A64),"")</f>
        <v>0</v>
      </c>
      <c r="BA64" s="61" t="n">
        <f aca="false">IF(A64="",0,COUNTIF(tbl_Partenaires_Risques[ID Partenaire],A64))</f>
        <v>0</v>
      </c>
      <c r="BB64" s="61" t="str">
        <f aca="false">IF(A64="","",IF(COUNTIFS(tbl_Partenaires_Risques[ID Partenaire],A64,tbl_Partenaires_Risques[Niveau],"Eleve")+COUNTIFS(tbl_Partenaires_Risques[ID Partenaire],A64,tbl_Partenaires_Risques[Niveau],"Critique")&gt;0,"OUI","NON"))</f>
        <v/>
      </c>
      <c r="BC64" s="61" t="n">
        <f aca="false">IF(A64="",0,COUNTIF(tbl_Partenaires_Contacts[ID Partenaire],A64))</f>
        <v>0</v>
      </c>
      <c r="BD64" s="61" t="n">
        <f aca="false">IF(A64="",0,COUNTIFS(tbl_Partenaires_Opportunites[ID Partenaire],A64,tbl_Partenaires_Opportunites[Statut],"&lt;&gt;Cloturee"))</f>
        <v>0</v>
      </c>
      <c r="BE64" s="61" t="n">
        <f aca="false">IF(A64="",0,COUNTIF(tbl_Partenaires_Prospection[ID Partenaire],A64))</f>
        <v>0</v>
      </c>
      <c r="BF64" s="86"/>
      <c r="BG64" s="86"/>
      <c r="BH64" s="86"/>
      <c r="BI64" s="86"/>
      <c r="BJ64" s="86"/>
      <c r="BK64" s="86"/>
      <c r="BL64" s="86"/>
      <c r="BM64" s="86"/>
      <c r="BN64" s="86"/>
      <c r="BO64" s="86"/>
      <c r="BP64" s="86"/>
      <c r="BQ64" s="86"/>
      <c r="BR64" s="61" t="str">
        <f aca="false">IF(C64="","",IF(OR(COUNTIF(C56:C115,C64)&gt;1,AND(E64&lt;&gt;"",COUNTIF(E56:E115,E64)&gt;1),AND(S64&lt;&gt;"",COUNTIF(S56:S115,S64)&gt;1),AND(U64&lt;&gt;"",COUNTIF(U56:U115,U64)&gt;1)),"OUI","NON"))</f>
        <v/>
      </c>
      <c r="BS64" s="86"/>
    </row>
    <row r="65" customFormat="false" ht="15" hidden="false" customHeight="true" outlineLevel="0" collapsed="false">
      <c r="A65" s="61" t="str">
        <f aca="false">IF(C65="","","PART"&amp;TEXT(ROW()-55,"00000"))</f>
        <v/>
      </c>
      <c r="B65" s="86"/>
      <c r="C65" s="86"/>
      <c r="D65" s="86"/>
      <c r="E65" s="86"/>
      <c r="F65" s="86"/>
      <c r="G65" s="86"/>
      <c r="H65" s="86"/>
      <c r="I65" s="86"/>
      <c r="J65" s="101"/>
      <c r="K65" s="86"/>
      <c r="L65" s="86"/>
      <c r="M65" s="86"/>
      <c r="N65" s="61" t="str">
        <f aca="false">IFERROR(INDEX(PARAMETRES!$B$536:$B$586,MATCH(M65,PARAMETRES!$J$536:$J$586,0)),"")</f>
        <v/>
      </c>
      <c r="O65" s="61" t="str">
        <f aca="false">IFERROR(INDEX(PARAMETRES!$D$536:$D$586,MATCH(M65,PARAMETRES!$J$536:$J$586,0)),"")</f>
        <v/>
      </c>
      <c r="P65" s="61" t="str">
        <f aca="false">IFERROR(INDEX(PARAMETRES!$F$536:$F$586,MATCH(M65,PARAMETRES!$J$536:$J$586,0)),"")</f>
        <v/>
      </c>
      <c r="Q65" s="61" t="str">
        <f aca="false">IFERROR(INDEX(PARAMETRES!$H$536:$H$586,MATCH(M65,PARAMETRES!$J$536:$J$586,0)),"")</f>
        <v/>
      </c>
      <c r="R65" s="86"/>
      <c r="S65" s="86"/>
      <c r="T65" s="86"/>
      <c r="U65" s="86"/>
      <c r="V65" s="86"/>
      <c r="W65" s="86"/>
      <c r="X65" s="86"/>
      <c r="Y65" s="86"/>
      <c r="Z65" s="86"/>
      <c r="AA65" s="86"/>
      <c r="AB65" s="86"/>
      <c r="AC65" s="79"/>
      <c r="AD65" s="86"/>
      <c r="AE65" s="86"/>
      <c r="AF65" s="86"/>
      <c r="AG65" s="86"/>
      <c r="AH65" s="61" t="str">
        <f aca="false">IFERROR(INDEX(PARAMETRES!$B$536:$B$586,MATCH(AG65,PARAMETRES!$J$536:$J$586,0)),"")</f>
        <v/>
      </c>
      <c r="AI65" s="61" t="str">
        <f aca="false">IFERROR(INDEX(PARAMETRES!$D$536:$D$586,MATCH(AG65,PARAMETRES!$J$536:$J$586,0)),"")</f>
        <v/>
      </c>
      <c r="AJ65" s="61" t="str">
        <f aca="false">IFERROR(INDEX(PARAMETRES!$F$536:$F$586,MATCH(AG65,PARAMETRES!$J$536:$J$586,0)),"")</f>
        <v/>
      </c>
      <c r="AK65" s="61" t="str">
        <f aca="false">IFERROR(INDEX(PARAMETRES!$H$536:$H$586,MATCH(AG65,PARAMETRES!$J$536:$J$586,0)),"")</f>
        <v/>
      </c>
      <c r="AL65" s="79"/>
      <c r="AM65" s="79"/>
      <c r="AN65" s="86"/>
      <c r="AO65" s="86"/>
      <c r="AP65" s="80"/>
      <c r="AQ65" s="80"/>
      <c r="AR65" s="81" t="str">
        <f aca="false">IF(OR(AP65="",AQ65=""),"",AP65-AQ65)</f>
        <v/>
      </c>
      <c r="AS65" s="86"/>
      <c r="AT65" s="61" t="n">
        <f aca="false">IF(A65="",0,COUNTIF(tbl_Partenaires_Projets[ID Partenaire],A65))</f>
        <v>0</v>
      </c>
      <c r="AU65" s="61" t="n">
        <f aca="false">IF(A65="",0,COUNTIF(tbl_Partenaires_Conventions[ID Partenaire],A65))</f>
        <v>0</v>
      </c>
      <c r="AV65" s="61" t="n">
        <f aca="false">IF(A65="",0,COUNTIFS(tbl_Partenaires_Conventions[ID Partenaire],A65,tbl_Partenaires_Conventions[Statut],"Active"))</f>
        <v>0</v>
      </c>
      <c r="AW65" s="61" t="str">
        <f aca="false">IF(A65="","",IF(COUNTIFS(tbl_Partenaires_Conventions[ID Partenaire],A65,tbl_Partenaires_Conventions[Statut],"Active")=0,"NON",IF(_xlfn.MINIFS(tbl_Partenaires_Conventions[Date fin],tbl_Partenaires_Conventions[ID Partenaire],A65,tbl_Partenaires_Conventions[Statut],"Active")-TODAY()&lt;=60,"OUI","NON")))</f>
        <v/>
      </c>
      <c r="AX65" s="61" t="n">
        <f aca="false">IF(A65="",0,COUNTIF(tbl_Partenaires_Documents[ID Partenaire],A65))</f>
        <v>0</v>
      </c>
      <c r="AY65" s="92" t="str">
        <f aca="false">IFERROR(AVERAGEIFS(tbl_Partenaires_Evaluations[Note globale],tbl_Partenaires_Evaluations[ID Partenaire],A65),"")</f>
        <v/>
      </c>
      <c r="AZ65" s="102" t="n">
        <f aca="false">IFERROR(_xlfn.MAXIFS(tbl_Partenaires_Evaluations[Date evaluation],tbl_Partenaires_Evaluations[ID Partenaire],A65),"")</f>
        <v>0</v>
      </c>
      <c r="BA65" s="61" t="n">
        <f aca="false">IF(A65="",0,COUNTIF(tbl_Partenaires_Risques[ID Partenaire],A65))</f>
        <v>0</v>
      </c>
      <c r="BB65" s="61" t="str">
        <f aca="false">IF(A65="","",IF(COUNTIFS(tbl_Partenaires_Risques[ID Partenaire],A65,tbl_Partenaires_Risques[Niveau],"Eleve")+COUNTIFS(tbl_Partenaires_Risques[ID Partenaire],A65,tbl_Partenaires_Risques[Niveau],"Critique")&gt;0,"OUI","NON"))</f>
        <v/>
      </c>
      <c r="BC65" s="61" t="n">
        <f aca="false">IF(A65="",0,COUNTIF(tbl_Partenaires_Contacts[ID Partenaire],A65))</f>
        <v>0</v>
      </c>
      <c r="BD65" s="61" t="n">
        <f aca="false">IF(A65="",0,COUNTIFS(tbl_Partenaires_Opportunites[ID Partenaire],A65,tbl_Partenaires_Opportunites[Statut],"&lt;&gt;Cloturee"))</f>
        <v>0</v>
      </c>
      <c r="BE65" s="61" t="n">
        <f aca="false">IF(A65="",0,COUNTIF(tbl_Partenaires_Prospection[ID Partenaire],A65))</f>
        <v>0</v>
      </c>
      <c r="BF65" s="86"/>
      <c r="BG65" s="86"/>
      <c r="BH65" s="86"/>
      <c r="BI65" s="86"/>
      <c r="BJ65" s="86"/>
      <c r="BK65" s="86"/>
      <c r="BL65" s="86"/>
      <c r="BM65" s="86"/>
      <c r="BN65" s="86"/>
      <c r="BO65" s="86"/>
      <c r="BP65" s="86"/>
      <c r="BQ65" s="86"/>
      <c r="BR65" s="61" t="str">
        <f aca="false">IF(C65="","",IF(OR(COUNTIF(C56:C115,C65)&gt;1,AND(E65&lt;&gt;"",COUNTIF(E56:E115,E65)&gt;1),AND(S65&lt;&gt;"",COUNTIF(S56:S115,S65)&gt;1),AND(U65&lt;&gt;"",COUNTIF(U56:U115,U65)&gt;1)),"OUI","NON"))</f>
        <v/>
      </c>
      <c r="BS65" s="86"/>
    </row>
    <row r="66" customFormat="false" ht="15" hidden="false" customHeight="true" outlineLevel="0" collapsed="false">
      <c r="A66" s="61" t="str">
        <f aca="false">IF(C66="","","PART"&amp;TEXT(ROW()-55,"00000"))</f>
        <v/>
      </c>
      <c r="B66" s="86"/>
      <c r="C66" s="86"/>
      <c r="D66" s="86"/>
      <c r="E66" s="86"/>
      <c r="F66" s="86"/>
      <c r="G66" s="86"/>
      <c r="H66" s="86"/>
      <c r="I66" s="86"/>
      <c r="J66" s="101"/>
      <c r="K66" s="86"/>
      <c r="L66" s="86"/>
      <c r="M66" s="86"/>
      <c r="N66" s="61" t="str">
        <f aca="false">IFERROR(INDEX(PARAMETRES!$B$536:$B$586,MATCH(M66,PARAMETRES!$J$536:$J$586,0)),"")</f>
        <v/>
      </c>
      <c r="O66" s="61" t="str">
        <f aca="false">IFERROR(INDEX(PARAMETRES!$D$536:$D$586,MATCH(M66,PARAMETRES!$J$536:$J$586,0)),"")</f>
        <v/>
      </c>
      <c r="P66" s="61" t="str">
        <f aca="false">IFERROR(INDEX(PARAMETRES!$F$536:$F$586,MATCH(M66,PARAMETRES!$J$536:$J$586,0)),"")</f>
        <v/>
      </c>
      <c r="Q66" s="61" t="str">
        <f aca="false">IFERROR(INDEX(PARAMETRES!$H$536:$H$586,MATCH(M66,PARAMETRES!$J$536:$J$586,0)),"")</f>
        <v/>
      </c>
      <c r="R66" s="86"/>
      <c r="S66" s="86"/>
      <c r="T66" s="86"/>
      <c r="U66" s="86"/>
      <c r="V66" s="86"/>
      <c r="W66" s="86"/>
      <c r="X66" s="86"/>
      <c r="Y66" s="86"/>
      <c r="Z66" s="86"/>
      <c r="AA66" s="86"/>
      <c r="AB66" s="86"/>
      <c r="AC66" s="79"/>
      <c r="AD66" s="86"/>
      <c r="AE66" s="86"/>
      <c r="AF66" s="86"/>
      <c r="AG66" s="86"/>
      <c r="AH66" s="61" t="str">
        <f aca="false">IFERROR(INDEX(PARAMETRES!$B$536:$B$586,MATCH(AG66,PARAMETRES!$J$536:$J$586,0)),"")</f>
        <v/>
      </c>
      <c r="AI66" s="61" t="str">
        <f aca="false">IFERROR(INDEX(PARAMETRES!$D$536:$D$586,MATCH(AG66,PARAMETRES!$J$536:$J$586,0)),"")</f>
        <v/>
      </c>
      <c r="AJ66" s="61" t="str">
        <f aca="false">IFERROR(INDEX(PARAMETRES!$F$536:$F$586,MATCH(AG66,PARAMETRES!$J$536:$J$586,0)),"")</f>
        <v/>
      </c>
      <c r="AK66" s="61" t="str">
        <f aca="false">IFERROR(INDEX(PARAMETRES!$H$536:$H$586,MATCH(AG66,PARAMETRES!$J$536:$J$586,0)),"")</f>
        <v/>
      </c>
      <c r="AL66" s="79"/>
      <c r="AM66" s="79"/>
      <c r="AN66" s="86"/>
      <c r="AO66" s="86"/>
      <c r="AP66" s="80"/>
      <c r="AQ66" s="80"/>
      <c r="AR66" s="81" t="str">
        <f aca="false">IF(OR(AP66="",AQ66=""),"",AP66-AQ66)</f>
        <v/>
      </c>
      <c r="AS66" s="86"/>
      <c r="AT66" s="61" t="n">
        <f aca="false">IF(A66="",0,COUNTIF(tbl_Partenaires_Projets[ID Partenaire],A66))</f>
        <v>0</v>
      </c>
      <c r="AU66" s="61" t="n">
        <f aca="false">IF(A66="",0,COUNTIF(tbl_Partenaires_Conventions[ID Partenaire],A66))</f>
        <v>0</v>
      </c>
      <c r="AV66" s="61" t="n">
        <f aca="false">IF(A66="",0,COUNTIFS(tbl_Partenaires_Conventions[ID Partenaire],A66,tbl_Partenaires_Conventions[Statut],"Active"))</f>
        <v>0</v>
      </c>
      <c r="AW66" s="61" t="str">
        <f aca="false">IF(A66="","",IF(COUNTIFS(tbl_Partenaires_Conventions[ID Partenaire],A66,tbl_Partenaires_Conventions[Statut],"Active")=0,"NON",IF(_xlfn.MINIFS(tbl_Partenaires_Conventions[Date fin],tbl_Partenaires_Conventions[ID Partenaire],A66,tbl_Partenaires_Conventions[Statut],"Active")-TODAY()&lt;=60,"OUI","NON")))</f>
        <v/>
      </c>
      <c r="AX66" s="61" t="n">
        <f aca="false">IF(A66="",0,COUNTIF(tbl_Partenaires_Documents[ID Partenaire],A66))</f>
        <v>0</v>
      </c>
      <c r="AY66" s="92" t="str">
        <f aca="false">IFERROR(AVERAGEIFS(tbl_Partenaires_Evaluations[Note globale],tbl_Partenaires_Evaluations[ID Partenaire],A66),"")</f>
        <v/>
      </c>
      <c r="AZ66" s="102" t="n">
        <f aca="false">IFERROR(_xlfn.MAXIFS(tbl_Partenaires_Evaluations[Date evaluation],tbl_Partenaires_Evaluations[ID Partenaire],A66),"")</f>
        <v>0</v>
      </c>
      <c r="BA66" s="61" t="n">
        <f aca="false">IF(A66="",0,COUNTIF(tbl_Partenaires_Risques[ID Partenaire],A66))</f>
        <v>0</v>
      </c>
      <c r="BB66" s="61" t="str">
        <f aca="false">IF(A66="","",IF(COUNTIFS(tbl_Partenaires_Risques[ID Partenaire],A66,tbl_Partenaires_Risques[Niveau],"Eleve")+COUNTIFS(tbl_Partenaires_Risques[ID Partenaire],A66,tbl_Partenaires_Risques[Niveau],"Critique")&gt;0,"OUI","NON"))</f>
        <v/>
      </c>
      <c r="BC66" s="61" t="n">
        <f aca="false">IF(A66="",0,COUNTIF(tbl_Partenaires_Contacts[ID Partenaire],A66))</f>
        <v>0</v>
      </c>
      <c r="BD66" s="61" t="n">
        <f aca="false">IF(A66="",0,COUNTIFS(tbl_Partenaires_Opportunites[ID Partenaire],A66,tbl_Partenaires_Opportunites[Statut],"&lt;&gt;Cloturee"))</f>
        <v>0</v>
      </c>
      <c r="BE66" s="61" t="n">
        <f aca="false">IF(A66="",0,COUNTIF(tbl_Partenaires_Prospection[ID Partenaire],A66))</f>
        <v>0</v>
      </c>
      <c r="BF66" s="86"/>
      <c r="BG66" s="86"/>
      <c r="BH66" s="86"/>
      <c r="BI66" s="86"/>
      <c r="BJ66" s="86"/>
      <c r="BK66" s="86"/>
      <c r="BL66" s="86"/>
      <c r="BM66" s="86"/>
      <c r="BN66" s="86"/>
      <c r="BO66" s="86"/>
      <c r="BP66" s="86"/>
      <c r="BQ66" s="86"/>
      <c r="BR66" s="61" t="str">
        <f aca="false">IF(C66="","",IF(OR(COUNTIF(C56:C115,C66)&gt;1,AND(E66&lt;&gt;"",COUNTIF(E56:E115,E66)&gt;1),AND(S66&lt;&gt;"",COUNTIF(S56:S115,S66)&gt;1),AND(U66&lt;&gt;"",COUNTIF(U56:U115,U66)&gt;1)),"OUI","NON"))</f>
        <v/>
      </c>
      <c r="BS66" s="86"/>
    </row>
    <row r="67" customFormat="false" ht="15" hidden="false" customHeight="true" outlineLevel="0" collapsed="false">
      <c r="A67" s="61" t="str">
        <f aca="false">IF(C67="","","PART"&amp;TEXT(ROW()-55,"00000"))</f>
        <v/>
      </c>
      <c r="B67" s="86"/>
      <c r="C67" s="86"/>
      <c r="D67" s="86"/>
      <c r="E67" s="86"/>
      <c r="F67" s="86"/>
      <c r="G67" s="86"/>
      <c r="H67" s="86"/>
      <c r="I67" s="86"/>
      <c r="J67" s="101"/>
      <c r="K67" s="86"/>
      <c r="L67" s="86"/>
      <c r="M67" s="86"/>
      <c r="N67" s="61" t="str">
        <f aca="false">IFERROR(INDEX(PARAMETRES!$B$536:$B$586,MATCH(M67,PARAMETRES!$J$536:$J$586,0)),"")</f>
        <v/>
      </c>
      <c r="O67" s="61" t="str">
        <f aca="false">IFERROR(INDEX(PARAMETRES!$D$536:$D$586,MATCH(M67,PARAMETRES!$J$536:$J$586,0)),"")</f>
        <v/>
      </c>
      <c r="P67" s="61" t="str">
        <f aca="false">IFERROR(INDEX(PARAMETRES!$F$536:$F$586,MATCH(M67,PARAMETRES!$J$536:$J$586,0)),"")</f>
        <v/>
      </c>
      <c r="Q67" s="61" t="str">
        <f aca="false">IFERROR(INDEX(PARAMETRES!$H$536:$H$586,MATCH(M67,PARAMETRES!$J$536:$J$586,0)),"")</f>
        <v/>
      </c>
      <c r="R67" s="86"/>
      <c r="S67" s="86"/>
      <c r="T67" s="86"/>
      <c r="U67" s="86"/>
      <c r="V67" s="86"/>
      <c r="W67" s="86"/>
      <c r="X67" s="86"/>
      <c r="Y67" s="86"/>
      <c r="Z67" s="86"/>
      <c r="AA67" s="86"/>
      <c r="AB67" s="86"/>
      <c r="AC67" s="79"/>
      <c r="AD67" s="86"/>
      <c r="AE67" s="86"/>
      <c r="AF67" s="86"/>
      <c r="AG67" s="86"/>
      <c r="AH67" s="61" t="str">
        <f aca="false">IFERROR(INDEX(PARAMETRES!$B$536:$B$586,MATCH(AG67,PARAMETRES!$J$536:$J$586,0)),"")</f>
        <v/>
      </c>
      <c r="AI67" s="61" t="str">
        <f aca="false">IFERROR(INDEX(PARAMETRES!$D$536:$D$586,MATCH(AG67,PARAMETRES!$J$536:$J$586,0)),"")</f>
        <v/>
      </c>
      <c r="AJ67" s="61" t="str">
        <f aca="false">IFERROR(INDEX(PARAMETRES!$F$536:$F$586,MATCH(AG67,PARAMETRES!$J$536:$J$586,0)),"")</f>
        <v/>
      </c>
      <c r="AK67" s="61" t="str">
        <f aca="false">IFERROR(INDEX(PARAMETRES!$H$536:$H$586,MATCH(AG67,PARAMETRES!$J$536:$J$586,0)),"")</f>
        <v/>
      </c>
      <c r="AL67" s="79"/>
      <c r="AM67" s="79"/>
      <c r="AN67" s="86"/>
      <c r="AO67" s="86"/>
      <c r="AP67" s="80"/>
      <c r="AQ67" s="80"/>
      <c r="AR67" s="81" t="str">
        <f aca="false">IF(OR(AP67="",AQ67=""),"",AP67-AQ67)</f>
        <v/>
      </c>
      <c r="AS67" s="86"/>
      <c r="AT67" s="61" t="n">
        <f aca="false">IF(A67="",0,COUNTIF(tbl_Partenaires_Projets[ID Partenaire],A67))</f>
        <v>0</v>
      </c>
      <c r="AU67" s="61" t="n">
        <f aca="false">IF(A67="",0,COUNTIF(tbl_Partenaires_Conventions[ID Partenaire],A67))</f>
        <v>0</v>
      </c>
      <c r="AV67" s="61" t="n">
        <f aca="false">IF(A67="",0,COUNTIFS(tbl_Partenaires_Conventions[ID Partenaire],A67,tbl_Partenaires_Conventions[Statut],"Active"))</f>
        <v>0</v>
      </c>
      <c r="AW67" s="61" t="str">
        <f aca="false">IF(A67="","",IF(COUNTIFS(tbl_Partenaires_Conventions[ID Partenaire],A67,tbl_Partenaires_Conventions[Statut],"Active")=0,"NON",IF(_xlfn.MINIFS(tbl_Partenaires_Conventions[Date fin],tbl_Partenaires_Conventions[ID Partenaire],A67,tbl_Partenaires_Conventions[Statut],"Active")-TODAY()&lt;=60,"OUI","NON")))</f>
        <v/>
      </c>
      <c r="AX67" s="61" t="n">
        <f aca="false">IF(A67="",0,COUNTIF(tbl_Partenaires_Documents[ID Partenaire],A67))</f>
        <v>0</v>
      </c>
      <c r="AY67" s="92" t="str">
        <f aca="false">IFERROR(AVERAGEIFS(tbl_Partenaires_Evaluations[Note globale],tbl_Partenaires_Evaluations[ID Partenaire],A67),"")</f>
        <v/>
      </c>
      <c r="AZ67" s="102" t="n">
        <f aca="false">IFERROR(_xlfn.MAXIFS(tbl_Partenaires_Evaluations[Date evaluation],tbl_Partenaires_Evaluations[ID Partenaire],A67),"")</f>
        <v>0</v>
      </c>
      <c r="BA67" s="61" t="n">
        <f aca="false">IF(A67="",0,COUNTIF(tbl_Partenaires_Risques[ID Partenaire],A67))</f>
        <v>0</v>
      </c>
      <c r="BB67" s="61" t="str">
        <f aca="false">IF(A67="","",IF(COUNTIFS(tbl_Partenaires_Risques[ID Partenaire],A67,tbl_Partenaires_Risques[Niveau],"Eleve")+COUNTIFS(tbl_Partenaires_Risques[ID Partenaire],A67,tbl_Partenaires_Risques[Niveau],"Critique")&gt;0,"OUI","NON"))</f>
        <v/>
      </c>
      <c r="BC67" s="61" t="n">
        <f aca="false">IF(A67="",0,COUNTIF(tbl_Partenaires_Contacts[ID Partenaire],A67))</f>
        <v>0</v>
      </c>
      <c r="BD67" s="61" t="n">
        <f aca="false">IF(A67="",0,COUNTIFS(tbl_Partenaires_Opportunites[ID Partenaire],A67,tbl_Partenaires_Opportunites[Statut],"&lt;&gt;Cloturee"))</f>
        <v>0</v>
      </c>
      <c r="BE67" s="61" t="n">
        <f aca="false">IF(A67="",0,COUNTIF(tbl_Partenaires_Prospection[ID Partenaire],A67))</f>
        <v>0</v>
      </c>
      <c r="BF67" s="86"/>
      <c r="BG67" s="86"/>
      <c r="BH67" s="86"/>
      <c r="BI67" s="86"/>
      <c r="BJ67" s="86"/>
      <c r="BK67" s="86"/>
      <c r="BL67" s="86"/>
      <c r="BM67" s="86"/>
      <c r="BN67" s="86"/>
      <c r="BO67" s="86"/>
      <c r="BP67" s="86"/>
      <c r="BQ67" s="86"/>
      <c r="BR67" s="61" t="str">
        <f aca="false">IF(C67="","",IF(OR(COUNTIF(C56:C115,C67)&gt;1,AND(E67&lt;&gt;"",COUNTIF(E56:E115,E67)&gt;1),AND(S67&lt;&gt;"",COUNTIF(S56:S115,S67)&gt;1),AND(U67&lt;&gt;"",COUNTIF(U56:U115,U67)&gt;1)),"OUI","NON"))</f>
        <v/>
      </c>
      <c r="BS67" s="86"/>
    </row>
    <row r="68" customFormat="false" ht="15" hidden="false" customHeight="true" outlineLevel="0" collapsed="false">
      <c r="A68" s="61" t="str">
        <f aca="false">IF(C68="","","PART"&amp;TEXT(ROW()-55,"00000"))</f>
        <v/>
      </c>
      <c r="B68" s="86"/>
      <c r="C68" s="86"/>
      <c r="D68" s="86"/>
      <c r="E68" s="86"/>
      <c r="F68" s="86"/>
      <c r="G68" s="86"/>
      <c r="H68" s="86"/>
      <c r="I68" s="86"/>
      <c r="J68" s="101"/>
      <c r="K68" s="86"/>
      <c r="L68" s="86"/>
      <c r="M68" s="86"/>
      <c r="N68" s="61" t="str">
        <f aca="false">IFERROR(INDEX(PARAMETRES!$B$536:$B$586,MATCH(M68,PARAMETRES!$J$536:$J$586,0)),"")</f>
        <v/>
      </c>
      <c r="O68" s="61" t="str">
        <f aca="false">IFERROR(INDEX(PARAMETRES!$D$536:$D$586,MATCH(M68,PARAMETRES!$J$536:$J$586,0)),"")</f>
        <v/>
      </c>
      <c r="P68" s="61" t="str">
        <f aca="false">IFERROR(INDEX(PARAMETRES!$F$536:$F$586,MATCH(M68,PARAMETRES!$J$536:$J$586,0)),"")</f>
        <v/>
      </c>
      <c r="Q68" s="61" t="str">
        <f aca="false">IFERROR(INDEX(PARAMETRES!$H$536:$H$586,MATCH(M68,PARAMETRES!$J$536:$J$586,0)),"")</f>
        <v/>
      </c>
      <c r="R68" s="86"/>
      <c r="S68" s="86"/>
      <c r="T68" s="86"/>
      <c r="U68" s="86"/>
      <c r="V68" s="86"/>
      <c r="W68" s="86"/>
      <c r="X68" s="86"/>
      <c r="Y68" s="86"/>
      <c r="Z68" s="86"/>
      <c r="AA68" s="86"/>
      <c r="AB68" s="86"/>
      <c r="AC68" s="79"/>
      <c r="AD68" s="86"/>
      <c r="AE68" s="86"/>
      <c r="AF68" s="86"/>
      <c r="AG68" s="86"/>
      <c r="AH68" s="61" t="str">
        <f aca="false">IFERROR(INDEX(PARAMETRES!$B$536:$B$586,MATCH(AG68,PARAMETRES!$J$536:$J$586,0)),"")</f>
        <v/>
      </c>
      <c r="AI68" s="61" t="str">
        <f aca="false">IFERROR(INDEX(PARAMETRES!$D$536:$D$586,MATCH(AG68,PARAMETRES!$J$536:$J$586,0)),"")</f>
        <v/>
      </c>
      <c r="AJ68" s="61" t="str">
        <f aca="false">IFERROR(INDEX(PARAMETRES!$F$536:$F$586,MATCH(AG68,PARAMETRES!$J$536:$J$586,0)),"")</f>
        <v/>
      </c>
      <c r="AK68" s="61" t="str">
        <f aca="false">IFERROR(INDEX(PARAMETRES!$H$536:$H$586,MATCH(AG68,PARAMETRES!$J$536:$J$586,0)),"")</f>
        <v/>
      </c>
      <c r="AL68" s="79"/>
      <c r="AM68" s="79"/>
      <c r="AN68" s="86"/>
      <c r="AO68" s="86"/>
      <c r="AP68" s="80"/>
      <c r="AQ68" s="80"/>
      <c r="AR68" s="81" t="str">
        <f aca="false">IF(OR(AP68="",AQ68=""),"",AP68-AQ68)</f>
        <v/>
      </c>
      <c r="AS68" s="86"/>
      <c r="AT68" s="61" t="n">
        <f aca="false">IF(A68="",0,COUNTIF(tbl_Partenaires_Projets[ID Partenaire],A68))</f>
        <v>0</v>
      </c>
      <c r="AU68" s="61" t="n">
        <f aca="false">IF(A68="",0,COUNTIF(tbl_Partenaires_Conventions[ID Partenaire],A68))</f>
        <v>0</v>
      </c>
      <c r="AV68" s="61" t="n">
        <f aca="false">IF(A68="",0,COUNTIFS(tbl_Partenaires_Conventions[ID Partenaire],A68,tbl_Partenaires_Conventions[Statut],"Active"))</f>
        <v>0</v>
      </c>
      <c r="AW68" s="61" t="str">
        <f aca="false">IF(A68="","",IF(COUNTIFS(tbl_Partenaires_Conventions[ID Partenaire],A68,tbl_Partenaires_Conventions[Statut],"Active")=0,"NON",IF(_xlfn.MINIFS(tbl_Partenaires_Conventions[Date fin],tbl_Partenaires_Conventions[ID Partenaire],A68,tbl_Partenaires_Conventions[Statut],"Active")-TODAY()&lt;=60,"OUI","NON")))</f>
        <v/>
      </c>
      <c r="AX68" s="61" t="n">
        <f aca="false">IF(A68="",0,COUNTIF(tbl_Partenaires_Documents[ID Partenaire],A68))</f>
        <v>0</v>
      </c>
      <c r="AY68" s="92" t="str">
        <f aca="false">IFERROR(AVERAGEIFS(tbl_Partenaires_Evaluations[Note globale],tbl_Partenaires_Evaluations[ID Partenaire],A68),"")</f>
        <v/>
      </c>
      <c r="AZ68" s="102" t="n">
        <f aca="false">IFERROR(_xlfn.MAXIFS(tbl_Partenaires_Evaluations[Date evaluation],tbl_Partenaires_Evaluations[ID Partenaire],A68),"")</f>
        <v>0</v>
      </c>
      <c r="BA68" s="61" t="n">
        <f aca="false">IF(A68="",0,COUNTIF(tbl_Partenaires_Risques[ID Partenaire],A68))</f>
        <v>0</v>
      </c>
      <c r="BB68" s="61" t="str">
        <f aca="false">IF(A68="","",IF(COUNTIFS(tbl_Partenaires_Risques[ID Partenaire],A68,tbl_Partenaires_Risques[Niveau],"Eleve")+COUNTIFS(tbl_Partenaires_Risques[ID Partenaire],A68,tbl_Partenaires_Risques[Niveau],"Critique")&gt;0,"OUI","NON"))</f>
        <v/>
      </c>
      <c r="BC68" s="61" t="n">
        <f aca="false">IF(A68="",0,COUNTIF(tbl_Partenaires_Contacts[ID Partenaire],A68))</f>
        <v>0</v>
      </c>
      <c r="BD68" s="61" t="n">
        <f aca="false">IF(A68="",0,COUNTIFS(tbl_Partenaires_Opportunites[ID Partenaire],A68,tbl_Partenaires_Opportunites[Statut],"&lt;&gt;Cloturee"))</f>
        <v>0</v>
      </c>
      <c r="BE68" s="61" t="n">
        <f aca="false">IF(A68="",0,COUNTIF(tbl_Partenaires_Prospection[ID Partenaire],A68))</f>
        <v>0</v>
      </c>
      <c r="BF68" s="86"/>
      <c r="BG68" s="86"/>
      <c r="BH68" s="86"/>
      <c r="BI68" s="86"/>
      <c r="BJ68" s="86"/>
      <c r="BK68" s="86"/>
      <c r="BL68" s="86"/>
      <c r="BM68" s="86"/>
      <c r="BN68" s="86"/>
      <c r="BO68" s="86"/>
      <c r="BP68" s="86"/>
      <c r="BQ68" s="86"/>
      <c r="BR68" s="61" t="str">
        <f aca="false">IF(C68="","",IF(OR(COUNTIF(C56:C115,C68)&gt;1,AND(E68&lt;&gt;"",COUNTIF(E56:E115,E68)&gt;1),AND(S68&lt;&gt;"",COUNTIF(S56:S115,S68)&gt;1),AND(U68&lt;&gt;"",COUNTIF(U56:U115,U68)&gt;1)),"OUI","NON"))</f>
        <v/>
      </c>
      <c r="BS68" s="86"/>
    </row>
    <row r="69" customFormat="false" ht="15" hidden="false" customHeight="true" outlineLevel="0" collapsed="false">
      <c r="A69" s="61" t="str">
        <f aca="false">IF(C69="","","PART"&amp;TEXT(ROW()-55,"00000"))</f>
        <v/>
      </c>
      <c r="B69" s="86"/>
      <c r="C69" s="86"/>
      <c r="D69" s="86"/>
      <c r="E69" s="86"/>
      <c r="F69" s="86"/>
      <c r="G69" s="86"/>
      <c r="H69" s="86"/>
      <c r="I69" s="86"/>
      <c r="J69" s="101"/>
      <c r="K69" s="86"/>
      <c r="L69" s="86"/>
      <c r="M69" s="86"/>
      <c r="N69" s="61" t="str">
        <f aca="false">IFERROR(INDEX(PARAMETRES!$B$536:$B$586,MATCH(M69,PARAMETRES!$J$536:$J$586,0)),"")</f>
        <v/>
      </c>
      <c r="O69" s="61" t="str">
        <f aca="false">IFERROR(INDEX(PARAMETRES!$D$536:$D$586,MATCH(M69,PARAMETRES!$J$536:$J$586,0)),"")</f>
        <v/>
      </c>
      <c r="P69" s="61" t="str">
        <f aca="false">IFERROR(INDEX(PARAMETRES!$F$536:$F$586,MATCH(M69,PARAMETRES!$J$536:$J$586,0)),"")</f>
        <v/>
      </c>
      <c r="Q69" s="61" t="str">
        <f aca="false">IFERROR(INDEX(PARAMETRES!$H$536:$H$586,MATCH(M69,PARAMETRES!$J$536:$J$586,0)),"")</f>
        <v/>
      </c>
      <c r="R69" s="86"/>
      <c r="S69" s="86"/>
      <c r="T69" s="86"/>
      <c r="U69" s="86"/>
      <c r="V69" s="86"/>
      <c r="W69" s="86"/>
      <c r="X69" s="86"/>
      <c r="Y69" s="86"/>
      <c r="Z69" s="86"/>
      <c r="AA69" s="86"/>
      <c r="AB69" s="86"/>
      <c r="AC69" s="79"/>
      <c r="AD69" s="86"/>
      <c r="AE69" s="86"/>
      <c r="AF69" s="86"/>
      <c r="AG69" s="86"/>
      <c r="AH69" s="61" t="str">
        <f aca="false">IFERROR(INDEX(PARAMETRES!$B$536:$B$586,MATCH(AG69,PARAMETRES!$J$536:$J$586,0)),"")</f>
        <v/>
      </c>
      <c r="AI69" s="61" t="str">
        <f aca="false">IFERROR(INDEX(PARAMETRES!$D$536:$D$586,MATCH(AG69,PARAMETRES!$J$536:$J$586,0)),"")</f>
        <v/>
      </c>
      <c r="AJ69" s="61" t="str">
        <f aca="false">IFERROR(INDEX(PARAMETRES!$F$536:$F$586,MATCH(AG69,PARAMETRES!$J$536:$J$586,0)),"")</f>
        <v/>
      </c>
      <c r="AK69" s="61" t="str">
        <f aca="false">IFERROR(INDEX(PARAMETRES!$H$536:$H$586,MATCH(AG69,PARAMETRES!$J$536:$J$586,0)),"")</f>
        <v/>
      </c>
      <c r="AL69" s="79"/>
      <c r="AM69" s="79"/>
      <c r="AN69" s="86"/>
      <c r="AO69" s="86"/>
      <c r="AP69" s="80"/>
      <c r="AQ69" s="80"/>
      <c r="AR69" s="81" t="str">
        <f aca="false">IF(OR(AP69="",AQ69=""),"",AP69-AQ69)</f>
        <v/>
      </c>
      <c r="AS69" s="86"/>
      <c r="AT69" s="61" t="n">
        <f aca="false">IF(A69="",0,COUNTIF(tbl_Partenaires_Projets[ID Partenaire],A69))</f>
        <v>0</v>
      </c>
      <c r="AU69" s="61" t="n">
        <f aca="false">IF(A69="",0,COUNTIF(tbl_Partenaires_Conventions[ID Partenaire],A69))</f>
        <v>0</v>
      </c>
      <c r="AV69" s="61" t="n">
        <f aca="false">IF(A69="",0,COUNTIFS(tbl_Partenaires_Conventions[ID Partenaire],A69,tbl_Partenaires_Conventions[Statut],"Active"))</f>
        <v>0</v>
      </c>
      <c r="AW69" s="61" t="str">
        <f aca="false">IF(A69="","",IF(COUNTIFS(tbl_Partenaires_Conventions[ID Partenaire],A69,tbl_Partenaires_Conventions[Statut],"Active")=0,"NON",IF(_xlfn.MINIFS(tbl_Partenaires_Conventions[Date fin],tbl_Partenaires_Conventions[ID Partenaire],A69,tbl_Partenaires_Conventions[Statut],"Active")-TODAY()&lt;=60,"OUI","NON")))</f>
        <v/>
      </c>
      <c r="AX69" s="61" t="n">
        <f aca="false">IF(A69="",0,COUNTIF(tbl_Partenaires_Documents[ID Partenaire],A69))</f>
        <v>0</v>
      </c>
      <c r="AY69" s="92" t="str">
        <f aca="false">IFERROR(AVERAGEIFS(tbl_Partenaires_Evaluations[Note globale],tbl_Partenaires_Evaluations[ID Partenaire],A69),"")</f>
        <v/>
      </c>
      <c r="AZ69" s="102" t="n">
        <f aca="false">IFERROR(_xlfn.MAXIFS(tbl_Partenaires_Evaluations[Date evaluation],tbl_Partenaires_Evaluations[ID Partenaire],A69),"")</f>
        <v>0</v>
      </c>
      <c r="BA69" s="61" t="n">
        <f aca="false">IF(A69="",0,COUNTIF(tbl_Partenaires_Risques[ID Partenaire],A69))</f>
        <v>0</v>
      </c>
      <c r="BB69" s="61" t="str">
        <f aca="false">IF(A69="","",IF(COUNTIFS(tbl_Partenaires_Risques[ID Partenaire],A69,tbl_Partenaires_Risques[Niveau],"Eleve")+COUNTIFS(tbl_Partenaires_Risques[ID Partenaire],A69,tbl_Partenaires_Risques[Niveau],"Critique")&gt;0,"OUI","NON"))</f>
        <v/>
      </c>
      <c r="BC69" s="61" t="n">
        <f aca="false">IF(A69="",0,COUNTIF(tbl_Partenaires_Contacts[ID Partenaire],A69))</f>
        <v>0</v>
      </c>
      <c r="BD69" s="61" t="n">
        <f aca="false">IF(A69="",0,COUNTIFS(tbl_Partenaires_Opportunites[ID Partenaire],A69,tbl_Partenaires_Opportunites[Statut],"&lt;&gt;Cloturee"))</f>
        <v>0</v>
      </c>
      <c r="BE69" s="61" t="n">
        <f aca="false">IF(A69="",0,COUNTIF(tbl_Partenaires_Prospection[ID Partenaire],A69))</f>
        <v>0</v>
      </c>
      <c r="BF69" s="86"/>
      <c r="BG69" s="86"/>
      <c r="BH69" s="86"/>
      <c r="BI69" s="86"/>
      <c r="BJ69" s="86"/>
      <c r="BK69" s="86"/>
      <c r="BL69" s="86"/>
      <c r="BM69" s="86"/>
      <c r="BN69" s="86"/>
      <c r="BO69" s="86"/>
      <c r="BP69" s="86"/>
      <c r="BQ69" s="86"/>
      <c r="BR69" s="61" t="str">
        <f aca="false">IF(C69="","",IF(OR(COUNTIF(C56:C115,C69)&gt;1,AND(E69&lt;&gt;"",COUNTIF(E56:E115,E69)&gt;1),AND(S69&lt;&gt;"",COUNTIF(S56:S115,S69)&gt;1),AND(U69&lt;&gt;"",COUNTIF(U56:U115,U69)&gt;1)),"OUI","NON"))</f>
        <v/>
      </c>
      <c r="BS69" s="86"/>
    </row>
    <row r="70" customFormat="false" ht="15" hidden="false" customHeight="true" outlineLevel="0" collapsed="false">
      <c r="A70" s="61" t="str">
        <f aca="false">IF(C70="","","PART"&amp;TEXT(ROW()-55,"00000"))</f>
        <v/>
      </c>
      <c r="B70" s="86"/>
      <c r="C70" s="86"/>
      <c r="D70" s="86"/>
      <c r="E70" s="86"/>
      <c r="F70" s="86"/>
      <c r="G70" s="86"/>
      <c r="H70" s="86"/>
      <c r="I70" s="86"/>
      <c r="J70" s="101"/>
      <c r="K70" s="86"/>
      <c r="L70" s="86"/>
      <c r="M70" s="86"/>
      <c r="N70" s="61" t="str">
        <f aca="false">IFERROR(INDEX(PARAMETRES!$B$536:$B$586,MATCH(M70,PARAMETRES!$J$536:$J$586,0)),"")</f>
        <v/>
      </c>
      <c r="O70" s="61" t="str">
        <f aca="false">IFERROR(INDEX(PARAMETRES!$D$536:$D$586,MATCH(M70,PARAMETRES!$J$536:$J$586,0)),"")</f>
        <v/>
      </c>
      <c r="P70" s="61" t="str">
        <f aca="false">IFERROR(INDEX(PARAMETRES!$F$536:$F$586,MATCH(M70,PARAMETRES!$J$536:$J$586,0)),"")</f>
        <v/>
      </c>
      <c r="Q70" s="61" t="str">
        <f aca="false">IFERROR(INDEX(PARAMETRES!$H$536:$H$586,MATCH(M70,PARAMETRES!$J$536:$J$586,0)),"")</f>
        <v/>
      </c>
      <c r="R70" s="86"/>
      <c r="S70" s="86"/>
      <c r="T70" s="86"/>
      <c r="U70" s="86"/>
      <c r="V70" s="86"/>
      <c r="W70" s="86"/>
      <c r="X70" s="86"/>
      <c r="Y70" s="86"/>
      <c r="Z70" s="86"/>
      <c r="AA70" s="86"/>
      <c r="AB70" s="86"/>
      <c r="AC70" s="79"/>
      <c r="AD70" s="86"/>
      <c r="AE70" s="86"/>
      <c r="AF70" s="86"/>
      <c r="AG70" s="86"/>
      <c r="AH70" s="61" t="str">
        <f aca="false">IFERROR(INDEX(PARAMETRES!$B$536:$B$586,MATCH(AG70,PARAMETRES!$J$536:$J$586,0)),"")</f>
        <v/>
      </c>
      <c r="AI70" s="61" t="str">
        <f aca="false">IFERROR(INDEX(PARAMETRES!$D$536:$D$586,MATCH(AG70,PARAMETRES!$J$536:$J$586,0)),"")</f>
        <v/>
      </c>
      <c r="AJ70" s="61" t="str">
        <f aca="false">IFERROR(INDEX(PARAMETRES!$F$536:$F$586,MATCH(AG70,PARAMETRES!$J$536:$J$586,0)),"")</f>
        <v/>
      </c>
      <c r="AK70" s="61" t="str">
        <f aca="false">IFERROR(INDEX(PARAMETRES!$H$536:$H$586,MATCH(AG70,PARAMETRES!$J$536:$J$586,0)),"")</f>
        <v/>
      </c>
      <c r="AL70" s="79"/>
      <c r="AM70" s="79"/>
      <c r="AN70" s="86"/>
      <c r="AO70" s="86"/>
      <c r="AP70" s="80"/>
      <c r="AQ70" s="80"/>
      <c r="AR70" s="81" t="str">
        <f aca="false">IF(OR(AP70="",AQ70=""),"",AP70-AQ70)</f>
        <v/>
      </c>
      <c r="AS70" s="86"/>
      <c r="AT70" s="61" t="n">
        <f aca="false">IF(A70="",0,COUNTIF(tbl_Partenaires_Projets[ID Partenaire],A70))</f>
        <v>0</v>
      </c>
      <c r="AU70" s="61" t="n">
        <f aca="false">IF(A70="",0,COUNTIF(tbl_Partenaires_Conventions[ID Partenaire],A70))</f>
        <v>0</v>
      </c>
      <c r="AV70" s="61" t="n">
        <f aca="false">IF(A70="",0,COUNTIFS(tbl_Partenaires_Conventions[ID Partenaire],A70,tbl_Partenaires_Conventions[Statut],"Active"))</f>
        <v>0</v>
      </c>
      <c r="AW70" s="61" t="str">
        <f aca="false">IF(A70="","",IF(COUNTIFS(tbl_Partenaires_Conventions[ID Partenaire],A70,tbl_Partenaires_Conventions[Statut],"Active")=0,"NON",IF(_xlfn.MINIFS(tbl_Partenaires_Conventions[Date fin],tbl_Partenaires_Conventions[ID Partenaire],A70,tbl_Partenaires_Conventions[Statut],"Active")-TODAY()&lt;=60,"OUI","NON")))</f>
        <v/>
      </c>
      <c r="AX70" s="61" t="n">
        <f aca="false">IF(A70="",0,COUNTIF(tbl_Partenaires_Documents[ID Partenaire],A70))</f>
        <v>0</v>
      </c>
      <c r="AY70" s="92" t="str">
        <f aca="false">IFERROR(AVERAGEIFS(tbl_Partenaires_Evaluations[Note globale],tbl_Partenaires_Evaluations[ID Partenaire],A70),"")</f>
        <v/>
      </c>
      <c r="AZ70" s="102" t="n">
        <f aca="false">IFERROR(_xlfn.MAXIFS(tbl_Partenaires_Evaluations[Date evaluation],tbl_Partenaires_Evaluations[ID Partenaire],A70),"")</f>
        <v>0</v>
      </c>
      <c r="BA70" s="61" t="n">
        <f aca="false">IF(A70="",0,COUNTIF(tbl_Partenaires_Risques[ID Partenaire],A70))</f>
        <v>0</v>
      </c>
      <c r="BB70" s="61" t="str">
        <f aca="false">IF(A70="","",IF(COUNTIFS(tbl_Partenaires_Risques[ID Partenaire],A70,tbl_Partenaires_Risques[Niveau],"Eleve")+COUNTIFS(tbl_Partenaires_Risques[ID Partenaire],A70,tbl_Partenaires_Risques[Niveau],"Critique")&gt;0,"OUI","NON"))</f>
        <v/>
      </c>
      <c r="BC70" s="61" t="n">
        <f aca="false">IF(A70="",0,COUNTIF(tbl_Partenaires_Contacts[ID Partenaire],A70))</f>
        <v>0</v>
      </c>
      <c r="BD70" s="61" t="n">
        <f aca="false">IF(A70="",0,COUNTIFS(tbl_Partenaires_Opportunites[ID Partenaire],A70,tbl_Partenaires_Opportunites[Statut],"&lt;&gt;Cloturee"))</f>
        <v>0</v>
      </c>
      <c r="BE70" s="61" t="n">
        <f aca="false">IF(A70="",0,COUNTIF(tbl_Partenaires_Prospection[ID Partenaire],A70))</f>
        <v>0</v>
      </c>
      <c r="BF70" s="86"/>
      <c r="BG70" s="86"/>
      <c r="BH70" s="86"/>
      <c r="BI70" s="86"/>
      <c r="BJ70" s="86"/>
      <c r="BK70" s="86"/>
      <c r="BL70" s="86"/>
      <c r="BM70" s="86"/>
      <c r="BN70" s="86"/>
      <c r="BO70" s="86"/>
      <c r="BP70" s="86"/>
      <c r="BQ70" s="86"/>
      <c r="BR70" s="61" t="str">
        <f aca="false">IF(C70="","",IF(OR(COUNTIF(C56:C115,C70)&gt;1,AND(E70&lt;&gt;"",COUNTIF(E56:E115,E70)&gt;1),AND(S70&lt;&gt;"",COUNTIF(S56:S115,S70)&gt;1),AND(U70&lt;&gt;"",COUNTIF(U56:U115,U70)&gt;1)),"OUI","NON"))</f>
        <v/>
      </c>
      <c r="BS70" s="86"/>
    </row>
    <row r="71" customFormat="false" ht="15" hidden="false" customHeight="true" outlineLevel="0" collapsed="false">
      <c r="A71" s="61" t="str">
        <f aca="false">IF(C71="","","PART"&amp;TEXT(ROW()-55,"00000"))</f>
        <v/>
      </c>
      <c r="B71" s="86"/>
      <c r="C71" s="86"/>
      <c r="D71" s="86"/>
      <c r="E71" s="86"/>
      <c r="F71" s="86"/>
      <c r="G71" s="86"/>
      <c r="H71" s="86"/>
      <c r="I71" s="86"/>
      <c r="J71" s="101"/>
      <c r="K71" s="86"/>
      <c r="L71" s="86"/>
      <c r="M71" s="86"/>
      <c r="N71" s="61" t="str">
        <f aca="false">IFERROR(INDEX(PARAMETRES!$B$536:$B$586,MATCH(M71,PARAMETRES!$J$536:$J$586,0)),"")</f>
        <v/>
      </c>
      <c r="O71" s="61" t="str">
        <f aca="false">IFERROR(INDEX(PARAMETRES!$D$536:$D$586,MATCH(M71,PARAMETRES!$J$536:$J$586,0)),"")</f>
        <v/>
      </c>
      <c r="P71" s="61" t="str">
        <f aca="false">IFERROR(INDEX(PARAMETRES!$F$536:$F$586,MATCH(M71,PARAMETRES!$J$536:$J$586,0)),"")</f>
        <v/>
      </c>
      <c r="Q71" s="61" t="str">
        <f aca="false">IFERROR(INDEX(PARAMETRES!$H$536:$H$586,MATCH(M71,PARAMETRES!$J$536:$J$586,0)),"")</f>
        <v/>
      </c>
      <c r="R71" s="86"/>
      <c r="S71" s="86"/>
      <c r="T71" s="86"/>
      <c r="U71" s="86"/>
      <c r="V71" s="86"/>
      <c r="W71" s="86"/>
      <c r="X71" s="86"/>
      <c r="Y71" s="86"/>
      <c r="Z71" s="86"/>
      <c r="AA71" s="86"/>
      <c r="AB71" s="86"/>
      <c r="AC71" s="79"/>
      <c r="AD71" s="86"/>
      <c r="AE71" s="86"/>
      <c r="AF71" s="86"/>
      <c r="AG71" s="86"/>
      <c r="AH71" s="61" t="str">
        <f aca="false">IFERROR(INDEX(PARAMETRES!$B$536:$B$586,MATCH(AG71,PARAMETRES!$J$536:$J$586,0)),"")</f>
        <v/>
      </c>
      <c r="AI71" s="61" t="str">
        <f aca="false">IFERROR(INDEX(PARAMETRES!$D$536:$D$586,MATCH(AG71,PARAMETRES!$J$536:$J$586,0)),"")</f>
        <v/>
      </c>
      <c r="AJ71" s="61" t="str">
        <f aca="false">IFERROR(INDEX(PARAMETRES!$F$536:$F$586,MATCH(AG71,PARAMETRES!$J$536:$J$586,0)),"")</f>
        <v/>
      </c>
      <c r="AK71" s="61" t="str">
        <f aca="false">IFERROR(INDEX(PARAMETRES!$H$536:$H$586,MATCH(AG71,PARAMETRES!$J$536:$J$586,0)),"")</f>
        <v/>
      </c>
      <c r="AL71" s="79"/>
      <c r="AM71" s="79"/>
      <c r="AN71" s="86"/>
      <c r="AO71" s="86"/>
      <c r="AP71" s="80"/>
      <c r="AQ71" s="80"/>
      <c r="AR71" s="81" t="str">
        <f aca="false">IF(OR(AP71="",AQ71=""),"",AP71-AQ71)</f>
        <v/>
      </c>
      <c r="AS71" s="86"/>
      <c r="AT71" s="61" t="n">
        <f aca="false">IF(A71="",0,COUNTIF(tbl_Partenaires_Projets[ID Partenaire],A71))</f>
        <v>0</v>
      </c>
      <c r="AU71" s="61" t="n">
        <f aca="false">IF(A71="",0,COUNTIF(tbl_Partenaires_Conventions[ID Partenaire],A71))</f>
        <v>0</v>
      </c>
      <c r="AV71" s="61" t="n">
        <f aca="false">IF(A71="",0,COUNTIFS(tbl_Partenaires_Conventions[ID Partenaire],A71,tbl_Partenaires_Conventions[Statut],"Active"))</f>
        <v>0</v>
      </c>
      <c r="AW71" s="61" t="str">
        <f aca="false">IF(A71="","",IF(COUNTIFS(tbl_Partenaires_Conventions[ID Partenaire],A71,tbl_Partenaires_Conventions[Statut],"Active")=0,"NON",IF(_xlfn.MINIFS(tbl_Partenaires_Conventions[Date fin],tbl_Partenaires_Conventions[ID Partenaire],A71,tbl_Partenaires_Conventions[Statut],"Active")-TODAY()&lt;=60,"OUI","NON")))</f>
        <v/>
      </c>
      <c r="AX71" s="61" t="n">
        <f aca="false">IF(A71="",0,COUNTIF(tbl_Partenaires_Documents[ID Partenaire],A71))</f>
        <v>0</v>
      </c>
      <c r="AY71" s="92" t="str">
        <f aca="false">IFERROR(AVERAGEIFS(tbl_Partenaires_Evaluations[Note globale],tbl_Partenaires_Evaluations[ID Partenaire],A71),"")</f>
        <v/>
      </c>
      <c r="AZ71" s="102" t="n">
        <f aca="false">IFERROR(_xlfn.MAXIFS(tbl_Partenaires_Evaluations[Date evaluation],tbl_Partenaires_Evaluations[ID Partenaire],A71),"")</f>
        <v>0</v>
      </c>
      <c r="BA71" s="61" t="n">
        <f aca="false">IF(A71="",0,COUNTIF(tbl_Partenaires_Risques[ID Partenaire],A71))</f>
        <v>0</v>
      </c>
      <c r="BB71" s="61" t="str">
        <f aca="false">IF(A71="","",IF(COUNTIFS(tbl_Partenaires_Risques[ID Partenaire],A71,tbl_Partenaires_Risques[Niveau],"Eleve")+COUNTIFS(tbl_Partenaires_Risques[ID Partenaire],A71,tbl_Partenaires_Risques[Niveau],"Critique")&gt;0,"OUI","NON"))</f>
        <v/>
      </c>
      <c r="BC71" s="61" t="n">
        <f aca="false">IF(A71="",0,COUNTIF(tbl_Partenaires_Contacts[ID Partenaire],A71))</f>
        <v>0</v>
      </c>
      <c r="BD71" s="61" t="n">
        <f aca="false">IF(A71="",0,COUNTIFS(tbl_Partenaires_Opportunites[ID Partenaire],A71,tbl_Partenaires_Opportunites[Statut],"&lt;&gt;Cloturee"))</f>
        <v>0</v>
      </c>
      <c r="BE71" s="61" t="n">
        <f aca="false">IF(A71="",0,COUNTIF(tbl_Partenaires_Prospection[ID Partenaire],A71))</f>
        <v>0</v>
      </c>
      <c r="BF71" s="86"/>
      <c r="BG71" s="86"/>
      <c r="BH71" s="86"/>
      <c r="BI71" s="86"/>
      <c r="BJ71" s="86"/>
      <c r="BK71" s="86"/>
      <c r="BL71" s="86"/>
      <c r="BM71" s="86"/>
      <c r="BN71" s="86"/>
      <c r="BO71" s="86"/>
      <c r="BP71" s="86"/>
      <c r="BQ71" s="86"/>
      <c r="BR71" s="61" t="str">
        <f aca="false">IF(C71="","",IF(OR(COUNTIF(C56:C115,C71)&gt;1,AND(E71&lt;&gt;"",COUNTIF(E56:E115,E71)&gt;1),AND(S71&lt;&gt;"",COUNTIF(S56:S115,S71)&gt;1),AND(U71&lt;&gt;"",COUNTIF(U56:U115,U71)&gt;1)),"OUI","NON"))</f>
        <v/>
      </c>
      <c r="BS71" s="86"/>
    </row>
    <row r="72" customFormat="false" ht="15" hidden="false" customHeight="true" outlineLevel="0" collapsed="false">
      <c r="A72" s="61" t="str">
        <f aca="false">IF(C72="","","PART"&amp;TEXT(ROW()-55,"00000"))</f>
        <v/>
      </c>
      <c r="B72" s="86"/>
      <c r="C72" s="86"/>
      <c r="D72" s="86"/>
      <c r="E72" s="86"/>
      <c r="F72" s="86"/>
      <c r="G72" s="86"/>
      <c r="H72" s="86"/>
      <c r="I72" s="86"/>
      <c r="J72" s="101"/>
      <c r="K72" s="86"/>
      <c r="L72" s="86"/>
      <c r="M72" s="86"/>
      <c r="N72" s="61" t="str">
        <f aca="false">IFERROR(INDEX(PARAMETRES!$B$536:$B$586,MATCH(M72,PARAMETRES!$J$536:$J$586,0)),"")</f>
        <v/>
      </c>
      <c r="O72" s="61" t="str">
        <f aca="false">IFERROR(INDEX(PARAMETRES!$D$536:$D$586,MATCH(M72,PARAMETRES!$J$536:$J$586,0)),"")</f>
        <v/>
      </c>
      <c r="P72" s="61" t="str">
        <f aca="false">IFERROR(INDEX(PARAMETRES!$F$536:$F$586,MATCH(M72,PARAMETRES!$J$536:$J$586,0)),"")</f>
        <v/>
      </c>
      <c r="Q72" s="61" t="str">
        <f aca="false">IFERROR(INDEX(PARAMETRES!$H$536:$H$586,MATCH(M72,PARAMETRES!$J$536:$J$586,0)),"")</f>
        <v/>
      </c>
      <c r="R72" s="86"/>
      <c r="S72" s="86"/>
      <c r="T72" s="86"/>
      <c r="U72" s="86"/>
      <c r="V72" s="86"/>
      <c r="W72" s="86"/>
      <c r="X72" s="86"/>
      <c r="Y72" s="86"/>
      <c r="Z72" s="86"/>
      <c r="AA72" s="86"/>
      <c r="AB72" s="86"/>
      <c r="AC72" s="79"/>
      <c r="AD72" s="86"/>
      <c r="AE72" s="86"/>
      <c r="AF72" s="86"/>
      <c r="AG72" s="86"/>
      <c r="AH72" s="61" t="str">
        <f aca="false">IFERROR(INDEX(PARAMETRES!$B$536:$B$586,MATCH(AG72,PARAMETRES!$J$536:$J$586,0)),"")</f>
        <v/>
      </c>
      <c r="AI72" s="61" t="str">
        <f aca="false">IFERROR(INDEX(PARAMETRES!$D$536:$D$586,MATCH(AG72,PARAMETRES!$J$536:$J$586,0)),"")</f>
        <v/>
      </c>
      <c r="AJ72" s="61" t="str">
        <f aca="false">IFERROR(INDEX(PARAMETRES!$F$536:$F$586,MATCH(AG72,PARAMETRES!$J$536:$J$586,0)),"")</f>
        <v/>
      </c>
      <c r="AK72" s="61" t="str">
        <f aca="false">IFERROR(INDEX(PARAMETRES!$H$536:$H$586,MATCH(AG72,PARAMETRES!$J$536:$J$586,0)),"")</f>
        <v/>
      </c>
      <c r="AL72" s="79"/>
      <c r="AM72" s="79"/>
      <c r="AN72" s="86"/>
      <c r="AO72" s="86"/>
      <c r="AP72" s="80"/>
      <c r="AQ72" s="80"/>
      <c r="AR72" s="81" t="str">
        <f aca="false">IF(OR(AP72="",AQ72=""),"",AP72-AQ72)</f>
        <v/>
      </c>
      <c r="AS72" s="86"/>
      <c r="AT72" s="61" t="n">
        <f aca="false">IF(A72="",0,COUNTIF(tbl_Partenaires_Projets[ID Partenaire],A72))</f>
        <v>0</v>
      </c>
      <c r="AU72" s="61" t="n">
        <f aca="false">IF(A72="",0,COUNTIF(tbl_Partenaires_Conventions[ID Partenaire],A72))</f>
        <v>0</v>
      </c>
      <c r="AV72" s="61" t="n">
        <f aca="false">IF(A72="",0,COUNTIFS(tbl_Partenaires_Conventions[ID Partenaire],A72,tbl_Partenaires_Conventions[Statut],"Active"))</f>
        <v>0</v>
      </c>
      <c r="AW72" s="61" t="str">
        <f aca="false">IF(A72="","",IF(COUNTIFS(tbl_Partenaires_Conventions[ID Partenaire],A72,tbl_Partenaires_Conventions[Statut],"Active")=0,"NON",IF(_xlfn.MINIFS(tbl_Partenaires_Conventions[Date fin],tbl_Partenaires_Conventions[ID Partenaire],A72,tbl_Partenaires_Conventions[Statut],"Active")-TODAY()&lt;=60,"OUI","NON")))</f>
        <v/>
      </c>
      <c r="AX72" s="61" t="n">
        <f aca="false">IF(A72="",0,COUNTIF(tbl_Partenaires_Documents[ID Partenaire],A72))</f>
        <v>0</v>
      </c>
      <c r="AY72" s="92" t="str">
        <f aca="false">IFERROR(AVERAGEIFS(tbl_Partenaires_Evaluations[Note globale],tbl_Partenaires_Evaluations[ID Partenaire],A72),"")</f>
        <v/>
      </c>
      <c r="AZ72" s="102" t="n">
        <f aca="false">IFERROR(_xlfn.MAXIFS(tbl_Partenaires_Evaluations[Date evaluation],tbl_Partenaires_Evaluations[ID Partenaire],A72),"")</f>
        <v>0</v>
      </c>
      <c r="BA72" s="61" t="n">
        <f aca="false">IF(A72="",0,COUNTIF(tbl_Partenaires_Risques[ID Partenaire],A72))</f>
        <v>0</v>
      </c>
      <c r="BB72" s="61" t="str">
        <f aca="false">IF(A72="","",IF(COUNTIFS(tbl_Partenaires_Risques[ID Partenaire],A72,tbl_Partenaires_Risques[Niveau],"Eleve")+COUNTIFS(tbl_Partenaires_Risques[ID Partenaire],A72,tbl_Partenaires_Risques[Niveau],"Critique")&gt;0,"OUI","NON"))</f>
        <v/>
      </c>
      <c r="BC72" s="61" t="n">
        <f aca="false">IF(A72="",0,COUNTIF(tbl_Partenaires_Contacts[ID Partenaire],A72))</f>
        <v>0</v>
      </c>
      <c r="BD72" s="61" t="n">
        <f aca="false">IF(A72="",0,COUNTIFS(tbl_Partenaires_Opportunites[ID Partenaire],A72,tbl_Partenaires_Opportunites[Statut],"&lt;&gt;Cloturee"))</f>
        <v>0</v>
      </c>
      <c r="BE72" s="61" t="n">
        <f aca="false">IF(A72="",0,COUNTIF(tbl_Partenaires_Prospection[ID Partenaire],A72))</f>
        <v>0</v>
      </c>
      <c r="BF72" s="86"/>
      <c r="BG72" s="86"/>
      <c r="BH72" s="86"/>
      <c r="BI72" s="86"/>
      <c r="BJ72" s="86"/>
      <c r="BK72" s="86"/>
      <c r="BL72" s="86"/>
      <c r="BM72" s="86"/>
      <c r="BN72" s="86"/>
      <c r="BO72" s="86"/>
      <c r="BP72" s="86"/>
      <c r="BQ72" s="86"/>
      <c r="BR72" s="61" t="str">
        <f aca="false">IF(C72="","",IF(OR(COUNTIF(C56:C115,C72)&gt;1,AND(E72&lt;&gt;"",COUNTIF(E56:E115,E72)&gt;1),AND(S72&lt;&gt;"",COUNTIF(S56:S115,S72)&gt;1),AND(U72&lt;&gt;"",COUNTIF(U56:U115,U72)&gt;1)),"OUI","NON"))</f>
        <v/>
      </c>
      <c r="BS72" s="86"/>
    </row>
    <row r="73" customFormat="false" ht="15" hidden="false" customHeight="true" outlineLevel="0" collapsed="false">
      <c r="A73" s="61" t="str">
        <f aca="false">IF(C73="","","PART"&amp;TEXT(ROW()-55,"00000"))</f>
        <v/>
      </c>
      <c r="B73" s="86"/>
      <c r="C73" s="86"/>
      <c r="D73" s="86"/>
      <c r="E73" s="86"/>
      <c r="F73" s="86"/>
      <c r="G73" s="86"/>
      <c r="H73" s="86"/>
      <c r="I73" s="86"/>
      <c r="J73" s="101"/>
      <c r="K73" s="86"/>
      <c r="L73" s="86"/>
      <c r="M73" s="86"/>
      <c r="N73" s="61" t="str">
        <f aca="false">IFERROR(INDEX(PARAMETRES!$B$536:$B$586,MATCH(M73,PARAMETRES!$J$536:$J$586,0)),"")</f>
        <v/>
      </c>
      <c r="O73" s="61" t="str">
        <f aca="false">IFERROR(INDEX(PARAMETRES!$D$536:$D$586,MATCH(M73,PARAMETRES!$J$536:$J$586,0)),"")</f>
        <v/>
      </c>
      <c r="P73" s="61" t="str">
        <f aca="false">IFERROR(INDEX(PARAMETRES!$F$536:$F$586,MATCH(M73,PARAMETRES!$J$536:$J$586,0)),"")</f>
        <v/>
      </c>
      <c r="Q73" s="61" t="str">
        <f aca="false">IFERROR(INDEX(PARAMETRES!$H$536:$H$586,MATCH(M73,PARAMETRES!$J$536:$J$586,0)),"")</f>
        <v/>
      </c>
      <c r="R73" s="86"/>
      <c r="S73" s="86"/>
      <c r="T73" s="86"/>
      <c r="U73" s="86"/>
      <c r="V73" s="86"/>
      <c r="W73" s="86"/>
      <c r="X73" s="86"/>
      <c r="Y73" s="86"/>
      <c r="Z73" s="86"/>
      <c r="AA73" s="86"/>
      <c r="AB73" s="86"/>
      <c r="AC73" s="79"/>
      <c r="AD73" s="86"/>
      <c r="AE73" s="86"/>
      <c r="AF73" s="86"/>
      <c r="AG73" s="86"/>
      <c r="AH73" s="61" t="str">
        <f aca="false">IFERROR(INDEX(PARAMETRES!$B$536:$B$586,MATCH(AG73,PARAMETRES!$J$536:$J$586,0)),"")</f>
        <v/>
      </c>
      <c r="AI73" s="61" t="str">
        <f aca="false">IFERROR(INDEX(PARAMETRES!$D$536:$D$586,MATCH(AG73,PARAMETRES!$J$536:$J$586,0)),"")</f>
        <v/>
      </c>
      <c r="AJ73" s="61" t="str">
        <f aca="false">IFERROR(INDEX(PARAMETRES!$F$536:$F$586,MATCH(AG73,PARAMETRES!$J$536:$J$586,0)),"")</f>
        <v/>
      </c>
      <c r="AK73" s="61" t="str">
        <f aca="false">IFERROR(INDEX(PARAMETRES!$H$536:$H$586,MATCH(AG73,PARAMETRES!$J$536:$J$586,0)),"")</f>
        <v/>
      </c>
      <c r="AL73" s="79"/>
      <c r="AM73" s="79"/>
      <c r="AN73" s="86"/>
      <c r="AO73" s="86"/>
      <c r="AP73" s="80"/>
      <c r="AQ73" s="80"/>
      <c r="AR73" s="81" t="str">
        <f aca="false">IF(OR(AP73="",AQ73=""),"",AP73-AQ73)</f>
        <v/>
      </c>
      <c r="AS73" s="86"/>
      <c r="AT73" s="61" t="n">
        <f aca="false">IF(A73="",0,COUNTIF(tbl_Partenaires_Projets[ID Partenaire],A73))</f>
        <v>0</v>
      </c>
      <c r="AU73" s="61" t="n">
        <f aca="false">IF(A73="",0,COUNTIF(tbl_Partenaires_Conventions[ID Partenaire],A73))</f>
        <v>0</v>
      </c>
      <c r="AV73" s="61" t="n">
        <f aca="false">IF(A73="",0,COUNTIFS(tbl_Partenaires_Conventions[ID Partenaire],A73,tbl_Partenaires_Conventions[Statut],"Active"))</f>
        <v>0</v>
      </c>
      <c r="AW73" s="61" t="str">
        <f aca="false">IF(A73="","",IF(COUNTIFS(tbl_Partenaires_Conventions[ID Partenaire],A73,tbl_Partenaires_Conventions[Statut],"Active")=0,"NON",IF(_xlfn.MINIFS(tbl_Partenaires_Conventions[Date fin],tbl_Partenaires_Conventions[ID Partenaire],A73,tbl_Partenaires_Conventions[Statut],"Active")-TODAY()&lt;=60,"OUI","NON")))</f>
        <v/>
      </c>
      <c r="AX73" s="61" t="n">
        <f aca="false">IF(A73="",0,COUNTIF(tbl_Partenaires_Documents[ID Partenaire],A73))</f>
        <v>0</v>
      </c>
      <c r="AY73" s="92" t="str">
        <f aca="false">IFERROR(AVERAGEIFS(tbl_Partenaires_Evaluations[Note globale],tbl_Partenaires_Evaluations[ID Partenaire],A73),"")</f>
        <v/>
      </c>
      <c r="AZ73" s="102" t="n">
        <f aca="false">IFERROR(_xlfn.MAXIFS(tbl_Partenaires_Evaluations[Date evaluation],tbl_Partenaires_Evaluations[ID Partenaire],A73),"")</f>
        <v>0</v>
      </c>
      <c r="BA73" s="61" t="n">
        <f aca="false">IF(A73="",0,COUNTIF(tbl_Partenaires_Risques[ID Partenaire],A73))</f>
        <v>0</v>
      </c>
      <c r="BB73" s="61" t="str">
        <f aca="false">IF(A73="","",IF(COUNTIFS(tbl_Partenaires_Risques[ID Partenaire],A73,tbl_Partenaires_Risques[Niveau],"Eleve")+COUNTIFS(tbl_Partenaires_Risques[ID Partenaire],A73,tbl_Partenaires_Risques[Niveau],"Critique")&gt;0,"OUI","NON"))</f>
        <v/>
      </c>
      <c r="BC73" s="61" t="n">
        <f aca="false">IF(A73="",0,COUNTIF(tbl_Partenaires_Contacts[ID Partenaire],A73))</f>
        <v>0</v>
      </c>
      <c r="BD73" s="61" t="n">
        <f aca="false">IF(A73="",0,COUNTIFS(tbl_Partenaires_Opportunites[ID Partenaire],A73,tbl_Partenaires_Opportunites[Statut],"&lt;&gt;Cloturee"))</f>
        <v>0</v>
      </c>
      <c r="BE73" s="61" t="n">
        <f aca="false">IF(A73="",0,COUNTIF(tbl_Partenaires_Prospection[ID Partenaire],A73))</f>
        <v>0</v>
      </c>
      <c r="BF73" s="86"/>
      <c r="BG73" s="86"/>
      <c r="BH73" s="86"/>
      <c r="BI73" s="86"/>
      <c r="BJ73" s="86"/>
      <c r="BK73" s="86"/>
      <c r="BL73" s="86"/>
      <c r="BM73" s="86"/>
      <c r="BN73" s="86"/>
      <c r="BO73" s="86"/>
      <c r="BP73" s="86"/>
      <c r="BQ73" s="86"/>
      <c r="BR73" s="61" t="str">
        <f aca="false">IF(C73="","",IF(OR(COUNTIF(C56:C115,C73)&gt;1,AND(E73&lt;&gt;"",COUNTIF(E56:E115,E73)&gt;1),AND(S73&lt;&gt;"",COUNTIF(S56:S115,S73)&gt;1),AND(U73&lt;&gt;"",COUNTIF(U56:U115,U73)&gt;1)),"OUI","NON"))</f>
        <v/>
      </c>
      <c r="BS73" s="86"/>
    </row>
    <row r="74" customFormat="false" ht="15" hidden="false" customHeight="true" outlineLevel="0" collapsed="false">
      <c r="A74" s="61" t="str">
        <f aca="false">IF(C74="","","PART"&amp;TEXT(ROW()-55,"00000"))</f>
        <v/>
      </c>
      <c r="B74" s="86"/>
      <c r="C74" s="86"/>
      <c r="D74" s="86"/>
      <c r="E74" s="86"/>
      <c r="F74" s="86"/>
      <c r="G74" s="86"/>
      <c r="H74" s="86"/>
      <c r="I74" s="86"/>
      <c r="J74" s="101"/>
      <c r="K74" s="86"/>
      <c r="L74" s="86"/>
      <c r="M74" s="86"/>
      <c r="N74" s="61" t="str">
        <f aca="false">IFERROR(INDEX(PARAMETRES!$B$536:$B$586,MATCH(M74,PARAMETRES!$J$536:$J$586,0)),"")</f>
        <v/>
      </c>
      <c r="O74" s="61" t="str">
        <f aca="false">IFERROR(INDEX(PARAMETRES!$D$536:$D$586,MATCH(M74,PARAMETRES!$J$536:$J$586,0)),"")</f>
        <v/>
      </c>
      <c r="P74" s="61" t="str">
        <f aca="false">IFERROR(INDEX(PARAMETRES!$F$536:$F$586,MATCH(M74,PARAMETRES!$J$536:$J$586,0)),"")</f>
        <v/>
      </c>
      <c r="Q74" s="61" t="str">
        <f aca="false">IFERROR(INDEX(PARAMETRES!$H$536:$H$586,MATCH(M74,PARAMETRES!$J$536:$J$586,0)),"")</f>
        <v/>
      </c>
      <c r="R74" s="86"/>
      <c r="S74" s="86"/>
      <c r="T74" s="86"/>
      <c r="U74" s="86"/>
      <c r="V74" s="86"/>
      <c r="W74" s="86"/>
      <c r="X74" s="86"/>
      <c r="Y74" s="86"/>
      <c r="Z74" s="86"/>
      <c r="AA74" s="86"/>
      <c r="AB74" s="86"/>
      <c r="AC74" s="79"/>
      <c r="AD74" s="86"/>
      <c r="AE74" s="86"/>
      <c r="AF74" s="86"/>
      <c r="AG74" s="86"/>
      <c r="AH74" s="61" t="str">
        <f aca="false">IFERROR(INDEX(PARAMETRES!$B$536:$B$586,MATCH(AG74,PARAMETRES!$J$536:$J$586,0)),"")</f>
        <v/>
      </c>
      <c r="AI74" s="61" t="str">
        <f aca="false">IFERROR(INDEX(PARAMETRES!$D$536:$D$586,MATCH(AG74,PARAMETRES!$J$536:$J$586,0)),"")</f>
        <v/>
      </c>
      <c r="AJ74" s="61" t="str">
        <f aca="false">IFERROR(INDEX(PARAMETRES!$F$536:$F$586,MATCH(AG74,PARAMETRES!$J$536:$J$586,0)),"")</f>
        <v/>
      </c>
      <c r="AK74" s="61" t="str">
        <f aca="false">IFERROR(INDEX(PARAMETRES!$H$536:$H$586,MATCH(AG74,PARAMETRES!$J$536:$J$586,0)),"")</f>
        <v/>
      </c>
      <c r="AL74" s="79"/>
      <c r="AM74" s="79"/>
      <c r="AN74" s="86"/>
      <c r="AO74" s="86"/>
      <c r="AP74" s="80"/>
      <c r="AQ74" s="80"/>
      <c r="AR74" s="81" t="str">
        <f aca="false">IF(OR(AP74="",AQ74=""),"",AP74-AQ74)</f>
        <v/>
      </c>
      <c r="AS74" s="86"/>
      <c r="AT74" s="61" t="n">
        <f aca="false">IF(A74="",0,COUNTIF(tbl_Partenaires_Projets[ID Partenaire],A74))</f>
        <v>0</v>
      </c>
      <c r="AU74" s="61" t="n">
        <f aca="false">IF(A74="",0,COUNTIF(tbl_Partenaires_Conventions[ID Partenaire],A74))</f>
        <v>0</v>
      </c>
      <c r="AV74" s="61" t="n">
        <f aca="false">IF(A74="",0,COUNTIFS(tbl_Partenaires_Conventions[ID Partenaire],A74,tbl_Partenaires_Conventions[Statut],"Active"))</f>
        <v>0</v>
      </c>
      <c r="AW74" s="61" t="str">
        <f aca="false">IF(A74="","",IF(COUNTIFS(tbl_Partenaires_Conventions[ID Partenaire],A74,tbl_Partenaires_Conventions[Statut],"Active")=0,"NON",IF(_xlfn.MINIFS(tbl_Partenaires_Conventions[Date fin],tbl_Partenaires_Conventions[ID Partenaire],A74,tbl_Partenaires_Conventions[Statut],"Active")-TODAY()&lt;=60,"OUI","NON")))</f>
        <v/>
      </c>
      <c r="AX74" s="61" t="n">
        <f aca="false">IF(A74="",0,COUNTIF(tbl_Partenaires_Documents[ID Partenaire],A74))</f>
        <v>0</v>
      </c>
      <c r="AY74" s="92" t="str">
        <f aca="false">IFERROR(AVERAGEIFS(tbl_Partenaires_Evaluations[Note globale],tbl_Partenaires_Evaluations[ID Partenaire],A74),"")</f>
        <v/>
      </c>
      <c r="AZ74" s="102" t="n">
        <f aca="false">IFERROR(_xlfn.MAXIFS(tbl_Partenaires_Evaluations[Date evaluation],tbl_Partenaires_Evaluations[ID Partenaire],A74),"")</f>
        <v>0</v>
      </c>
      <c r="BA74" s="61" t="n">
        <f aca="false">IF(A74="",0,COUNTIF(tbl_Partenaires_Risques[ID Partenaire],A74))</f>
        <v>0</v>
      </c>
      <c r="BB74" s="61" t="str">
        <f aca="false">IF(A74="","",IF(COUNTIFS(tbl_Partenaires_Risques[ID Partenaire],A74,tbl_Partenaires_Risques[Niveau],"Eleve")+COUNTIFS(tbl_Partenaires_Risques[ID Partenaire],A74,tbl_Partenaires_Risques[Niveau],"Critique")&gt;0,"OUI","NON"))</f>
        <v/>
      </c>
      <c r="BC74" s="61" t="n">
        <f aca="false">IF(A74="",0,COUNTIF(tbl_Partenaires_Contacts[ID Partenaire],A74))</f>
        <v>0</v>
      </c>
      <c r="BD74" s="61" t="n">
        <f aca="false">IF(A74="",0,COUNTIFS(tbl_Partenaires_Opportunites[ID Partenaire],A74,tbl_Partenaires_Opportunites[Statut],"&lt;&gt;Cloturee"))</f>
        <v>0</v>
      </c>
      <c r="BE74" s="61" t="n">
        <f aca="false">IF(A74="",0,COUNTIF(tbl_Partenaires_Prospection[ID Partenaire],A74))</f>
        <v>0</v>
      </c>
      <c r="BF74" s="86"/>
      <c r="BG74" s="86"/>
      <c r="BH74" s="86"/>
      <c r="BI74" s="86"/>
      <c r="BJ74" s="86"/>
      <c r="BK74" s="86"/>
      <c r="BL74" s="86"/>
      <c r="BM74" s="86"/>
      <c r="BN74" s="86"/>
      <c r="BO74" s="86"/>
      <c r="BP74" s="86"/>
      <c r="BQ74" s="86"/>
      <c r="BR74" s="61" t="str">
        <f aca="false">IF(C74="","",IF(OR(COUNTIF(C56:C115,C74)&gt;1,AND(E74&lt;&gt;"",COUNTIF(E56:E115,E74)&gt;1),AND(S74&lt;&gt;"",COUNTIF(S56:S115,S74)&gt;1),AND(U74&lt;&gt;"",COUNTIF(U56:U115,U74)&gt;1)),"OUI","NON"))</f>
        <v/>
      </c>
      <c r="BS74" s="86"/>
    </row>
    <row r="75" customFormat="false" ht="15" hidden="false" customHeight="true" outlineLevel="0" collapsed="false">
      <c r="A75" s="61" t="str">
        <f aca="false">IF(C75="","","PART"&amp;TEXT(ROW()-55,"00000"))</f>
        <v/>
      </c>
      <c r="B75" s="86"/>
      <c r="C75" s="86"/>
      <c r="D75" s="86"/>
      <c r="E75" s="86"/>
      <c r="F75" s="86"/>
      <c r="G75" s="86"/>
      <c r="H75" s="86"/>
      <c r="I75" s="86"/>
      <c r="J75" s="101"/>
      <c r="K75" s="86"/>
      <c r="L75" s="86"/>
      <c r="M75" s="86"/>
      <c r="N75" s="61" t="str">
        <f aca="false">IFERROR(INDEX(PARAMETRES!$B$536:$B$586,MATCH(M75,PARAMETRES!$J$536:$J$586,0)),"")</f>
        <v/>
      </c>
      <c r="O75" s="61" t="str">
        <f aca="false">IFERROR(INDEX(PARAMETRES!$D$536:$D$586,MATCH(M75,PARAMETRES!$J$536:$J$586,0)),"")</f>
        <v/>
      </c>
      <c r="P75" s="61" t="str">
        <f aca="false">IFERROR(INDEX(PARAMETRES!$F$536:$F$586,MATCH(M75,PARAMETRES!$J$536:$J$586,0)),"")</f>
        <v/>
      </c>
      <c r="Q75" s="61" t="str">
        <f aca="false">IFERROR(INDEX(PARAMETRES!$H$536:$H$586,MATCH(M75,PARAMETRES!$J$536:$J$586,0)),"")</f>
        <v/>
      </c>
      <c r="R75" s="86"/>
      <c r="S75" s="86"/>
      <c r="T75" s="86"/>
      <c r="U75" s="86"/>
      <c r="V75" s="86"/>
      <c r="W75" s="86"/>
      <c r="X75" s="86"/>
      <c r="Y75" s="86"/>
      <c r="Z75" s="86"/>
      <c r="AA75" s="86"/>
      <c r="AB75" s="86"/>
      <c r="AC75" s="79"/>
      <c r="AD75" s="86"/>
      <c r="AE75" s="86"/>
      <c r="AF75" s="86"/>
      <c r="AG75" s="86"/>
      <c r="AH75" s="61" t="str">
        <f aca="false">IFERROR(INDEX(PARAMETRES!$B$536:$B$586,MATCH(AG75,PARAMETRES!$J$536:$J$586,0)),"")</f>
        <v/>
      </c>
      <c r="AI75" s="61" t="str">
        <f aca="false">IFERROR(INDEX(PARAMETRES!$D$536:$D$586,MATCH(AG75,PARAMETRES!$J$536:$J$586,0)),"")</f>
        <v/>
      </c>
      <c r="AJ75" s="61" t="str">
        <f aca="false">IFERROR(INDEX(PARAMETRES!$F$536:$F$586,MATCH(AG75,PARAMETRES!$J$536:$J$586,0)),"")</f>
        <v/>
      </c>
      <c r="AK75" s="61" t="str">
        <f aca="false">IFERROR(INDEX(PARAMETRES!$H$536:$H$586,MATCH(AG75,PARAMETRES!$J$536:$J$586,0)),"")</f>
        <v/>
      </c>
      <c r="AL75" s="79"/>
      <c r="AM75" s="79"/>
      <c r="AN75" s="86"/>
      <c r="AO75" s="86"/>
      <c r="AP75" s="80"/>
      <c r="AQ75" s="80"/>
      <c r="AR75" s="81" t="str">
        <f aca="false">IF(OR(AP75="",AQ75=""),"",AP75-AQ75)</f>
        <v/>
      </c>
      <c r="AS75" s="86"/>
      <c r="AT75" s="61" t="n">
        <f aca="false">IF(A75="",0,COUNTIF(tbl_Partenaires_Projets[ID Partenaire],A75))</f>
        <v>0</v>
      </c>
      <c r="AU75" s="61" t="n">
        <f aca="false">IF(A75="",0,COUNTIF(tbl_Partenaires_Conventions[ID Partenaire],A75))</f>
        <v>0</v>
      </c>
      <c r="AV75" s="61" t="n">
        <f aca="false">IF(A75="",0,COUNTIFS(tbl_Partenaires_Conventions[ID Partenaire],A75,tbl_Partenaires_Conventions[Statut],"Active"))</f>
        <v>0</v>
      </c>
      <c r="AW75" s="61" t="str">
        <f aca="false">IF(A75="","",IF(COUNTIFS(tbl_Partenaires_Conventions[ID Partenaire],A75,tbl_Partenaires_Conventions[Statut],"Active")=0,"NON",IF(_xlfn.MINIFS(tbl_Partenaires_Conventions[Date fin],tbl_Partenaires_Conventions[ID Partenaire],A75,tbl_Partenaires_Conventions[Statut],"Active")-TODAY()&lt;=60,"OUI","NON")))</f>
        <v/>
      </c>
      <c r="AX75" s="61" t="n">
        <f aca="false">IF(A75="",0,COUNTIF(tbl_Partenaires_Documents[ID Partenaire],A75))</f>
        <v>0</v>
      </c>
      <c r="AY75" s="92" t="str">
        <f aca="false">IFERROR(AVERAGEIFS(tbl_Partenaires_Evaluations[Note globale],tbl_Partenaires_Evaluations[ID Partenaire],A75),"")</f>
        <v/>
      </c>
      <c r="AZ75" s="102" t="n">
        <f aca="false">IFERROR(_xlfn.MAXIFS(tbl_Partenaires_Evaluations[Date evaluation],tbl_Partenaires_Evaluations[ID Partenaire],A75),"")</f>
        <v>0</v>
      </c>
      <c r="BA75" s="61" t="n">
        <f aca="false">IF(A75="",0,COUNTIF(tbl_Partenaires_Risques[ID Partenaire],A75))</f>
        <v>0</v>
      </c>
      <c r="BB75" s="61" t="str">
        <f aca="false">IF(A75="","",IF(COUNTIFS(tbl_Partenaires_Risques[ID Partenaire],A75,tbl_Partenaires_Risques[Niveau],"Eleve")+COUNTIFS(tbl_Partenaires_Risques[ID Partenaire],A75,tbl_Partenaires_Risques[Niveau],"Critique")&gt;0,"OUI","NON"))</f>
        <v/>
      </c>
      <c r="BC75" s="61" t="n">
        <f aca="false">IF(A75="",0,COUNTIF(tbl_Partenaires_Contacts[ID Partenaire],A75))</f>
        <v>0</v>
      </c>
      <c r="BD75" s="61" t="n">
        <f aca="false">IF(A75="",0,COUNTIFS(tbl_Partenaires_Opportunites[ID Partenaire],A75,tbl_Partenaires_Opportunites[Statut],"&lt;&gt;Cloturee"))</f>
        <v>0</v>
      </c>
      <c r="BE75" s="61" t="n">
        <f aca="false">IF(A75="",0,COUNTIF(tbl_Partenaires_Prospection[ID Partenaire],A75))</f>
        <v>0</v>
      </c>
      <c r="BF75" s="86"/>
      <c r="BG75" s="86"/>
      <c r="BH75" s="86"/>
      <c r="BI75" s="86"/>
      <c r="BJ75" s="86"/>
      <c r="BK75" s="86"/>
      <c r="BL75" s="86"/>
      <c r="BM75" s="86"/>
      <c r="BN75" s="86"/>
      <c r="BO75" s="86"/>
      <c r="BP75" s="86"/>
      <c r="BQ75" s="86"/>
      <c r="BR75" s="61" t="str">
        <f aca="false">IF(C75="","",IF(OR(COUNTIF(C56:C115,C75)&gt;1,AND(E75&lt;&gt;"",COUNTIF(E56:E115,E75)&gt;1),AND(S75&lt;&gt;"",COUNTIF(S56:S115,S75)&gt;1),AND(U75&lt;&gt;"",COUNTIF(U56:U115,U75)&gt;1)),"OUI","NON"))</f>
        <v/>
      </c>
      <c r="BS75" s="86"/>
    </row>
    <row r="76" customFormat="false" ht="15" hidden="false" customHeight="true" outlineLevel="0" collapsed="false">
      <c r="A76" s="61" t="str">
        <f aca="false">IF(C76="","","PART"&amp;TEXT(ROW()-55,"00000"))</f>
        <v/>
      </c>
      <c r="B76" s="86"/>
      <c r="C76" s="86"/>
      <c r="D76" s="86"/>
      <c r="E76" s="86"/>
      <c r="F76" s="86"/>
      <c r="G76" s="86"/>
      <c r="H76" s="86"/>
      <c r="I76" s="86"/>
      <c r="J76" s="101"/>
      <c r="K76" s="86"/>
      <c r="L76" s="86"/>
      <c r="M76" s="86"/>
      <c r="N76" s="61" t="str">
        <f aca="false">IFERROR(INDEX(PARAMETRES!$B$536:$B$586,MATCH(M76,PARAMETRES!$J$536:$J$586,0)),"")</f>
        <v/>
      </c>
      <c r="O76" s="61" t="str">
        <f aca="false">IFERROR(INDEX(PARAMETRES!$D$536:$D$586,MATCH(M76,PARAMETRES!$J$536:$J$586,0)),"")</f>
        <v/>
      </c>
      <c r="P76" s="61" t="str">
        <f aca="false">IFERROR(INDEX(PARAMETRES!$F$536:$F$586,MATCH(M76,PARAMETRES!$J$536:$J$586,0)),"")</f>
        <v/>
      </c>
      <c r="Q76" s="61" t="str">
        <f aca="false">IFERROR(INDEX(PARAMETRES!$H$536:$H$586,MATCH(M76,PARAMETRES!$J$536:$J$586,0)),"")</f>
        <v/>
      </c>
      <c r="R76" s="86"/>
      <c r="S76" s="86"/>
      <c r="T76" s="86"/>
      <c r="U76" s="86"/>
      <c r="V76" s="86"/>
      <c r="W76" s="86"/>
      <c r="X76" s="86"/>
      <c r="Y76" s="86"/>
      <c r="Z76" s="86"/>
      <c r="AA76" s="86"/>
      <c r="AB76" s="86"/>
      <c r="AC76" s="79"/>
      <c r="AD76" s="86"/>
      <c r="AE76" s="86"/>
      <c r="AF76" s="86"/>
      <c r="AG76" s="86"/>
      <c r="AH76" s="61" t="str">
        <f aca="false">IFERROR(INDEX(PARAMETRES!$B$536:$B$586,MATCH(AG76,PARAMETRES!$J$536:$J$586,0)),"")</f>
        <v/>
      </c>
      <c r="AI76" s="61" t="str">
        <f aca="false">IFERROR(INDEX(PARAMETRES!$D$536:$D$586,MATCH(AG76,PARAMETRES!$J$536:$J$586,0)),"")</f>
        <v/>
      </c>
      <c r="AJ76" s="61" t="str">
        <f aca="false">IFERROR(INDEX(PARAMETRES!$F$536:$F$586,MATCH(AG76,PARAMETRES!$J$536:$J$586,0)),"")</f>
        <v/>
      </c>
      <c r="AK76" s="61" t="str">
        <f aca="false">IFERROR(INDEX(PARAMETRES!$H$536:$H$586,MATCH(AG76,PARAMETRES!$J$536:$J$586,0)),"")</f>
        <v/>
      </c>
      <c r="AL76" s="79"/>
      <c r="AM76" s="79"/>
      <c r="AN76" s="86"/>
      <c r="AO76" s="86"/>
      <c r="AP76" s="80"/>
      <c r="AQ76" s="80"/>
      <c r="AR76" s="81" t="str">
        <f aca="false">IF(OR(AP76="",AQ76=""),"",AP76-AQ76)</f>
        <v/>
      </c>
      <c r="AS76" s="86"/>
      <c r="AT76" s="61" t="n">
        <f aca="false">IF(A76="",0,COUNTIF(tbl_Partenaires_Projets[ID Partenaire],A76))</f>
        <v>0</v>
      </c>
      <c r="AU76" s="61" t="n">
        <f aca="false">IF(A76="",0,COUNTIF(tbl_Partenaires_Conventions[ID Partenaire],A76))</f>
        <v>0</v>
      </c>
      <c r="AV76" s="61" t="n">
        <f aca="false">IF(A76="",0,COUNTIFS(tbl_Partenaires_Conventions[ID Partenaire],A76,tbl_Partenaires_Conventions[Statut],"Active"))</f>
        <v>0</v>
      </c>
      <c r="AW76" s="61" t="str">
        <f aca="false">IF(A76="","",IF(COUNTIFS(tbl_Partenaires_Conventions[ID Partenaire],A76,tbl_Partenaires_Conventions[Statut],"Active")=0,"NON",IF(_xlfn.MINIFS(tbl_Partenaires_Conventions[Date fin],tbl_Partenaires_Conventions[ID Partenaire],A76,tbl_Partenaires_Conventions[Statut],"Active")-TODAY()&lt;=60,"OUI","NON")))</f>
        <v/>
      </c>
      <c r="AX76" s="61" t="n">
        <f aca="false">IF(A76="",0,COUNTIF(tbl_Partenaires_Documents[ID Partenaire],A76))</f>
        <v>0</v>
      </c>
      <c r="AY76" s="92" t="str">
        <f aca="false">IFERROR(AVERAGEIFS(tbl_Partenaires_Evaluations[Note globale],tbl_Partenaires_Evaluations[ID Partenaire],A76),"")</f>
        <v/>
      </c>
      <c r="AZ76" s="102" t="n">
        <f aca="false">IFERROR(_xlfn.MAXIFS(tbl_Partenaires_Evaluations[Date evaluation],tbl_Partenaires_Evaluations[ID Partenaire],A76),"")</f>
        <v>0</v>
      </c>
      <c r="BA76" s="61" t="n">
        <f aca="false">IF(A76="",0,COUNTIF(tbl_Partenaires_Risques[ID Partenaire],A76))</f>
        <v>0</v>
      </c>
      <c r="BB76" s="61" t="str">
        <f aca="false">IF(A76="","",IF(COUNTIFS(tbl_Partenaires_Risques[ID Partenaire],A76,tbl_Partenaires_Risques[Niveau],"Eleve")+COUNTIFS(tbl_Partenaires_Risques[ID Partenaire],A76,tbl_Partenaires_Risques[Niveau],"Critique")&gt;0,"OUI","NON"))</f>
        <v/>
      </c>
      <c r="BC76" s="61" t="n">
        <f aca="false">IF(A76="",0,COUNTIF(tbl_Partenaires_Contacts[ID Partenaire],A76))</f>
        <v>0</v>
      </c>
      <c r="BD76" s="61" t="n">
        <f aca="false">IF(A76="",0,COUNTIFS(tbl_Partenaires_Opportunites[ID Partenaire],A76,tbl_Partenaires_Opportunites[Statut],"&lt;&gt;Cloturee"))</f>
        <v>0</v>
      </c>
      <c r="BE76" s="61" t="n">
        <f aca="false">IF(A76="",0,COUNTIF(tbl_Partenaires_Prospection[ID Partenaire],A76))</f>
        <v>0</v>
      </c>
      <c r="BF76" s="86"/>
      <c r="BG76" s="86"/>
      <c r="BH76" s="86"/>
      <c r="BI76" s="86"/>
      <c r="BJ76" s="86"/>
      <c r="BK76" s="86"/>
      <c r="BL76" s="86"/>
      <c r="BM76" s="86"/>
      <c r="BN76" s="86"/>
      <c r="BO76" s="86"/>
      <c r="BP76" s="86"/>
      <c r="BQ76" s="86"/>
      <c r="BR76" s="61" t="str">
        <f aca="false">IF(C76="","",IF(OR(COUNTIF(C56:C115,C76)&gt;1,AND(E76&lt;&gt;"",COUNTIF(E56:E115,E76)&gt;1),AND(S76&lt;&gt;"",COUNTIF(S56:S115,S76)&gt;1),AND(U76&lt;&gt;"",COUNTIF(U56:U115,U76)&gt;1)),"OUI","NON"))</f>
        <v/>
      </c>
      <c r="BS76" s="86"/>
    </row>
    <row r="77" customFormat="false" ht="15" hidden="false" customHeight="true" outlineLevel="0" collapsed="false">
      <c r="A77" s="61" t="str">
        <f aca="false">IF(C77="","","PART"&amp;TEXT(ROW()-55,"00000"))</f>
        <v/>
      </c>
      <c r="B77" s="86"/>
      <c r="C77" s="86"/>
      <c r="D77" s="86"/>
      <c r="E77" s="86"/>
      <c r="F77" s="86"/>
      <c r="G77" s="86"/>
      <c r="H77" s="86"/>
      <c r="I77" s="86"/>
      <c r="J77" s="101"/>
      <c r="K77" s="86"/>
      <c r="L77" s="86"/>
      <c r="M77" s="86"/>
      <c r="N77" s="61" t="str">
        <f aca="false">IFERROR(INDEX(PARAMETRES!$B$536:$B$586,MATCH(M77,PARAMETRES!$J$536:$J$586,0)),"")</f>
        <v/>
      </c>
      <c r="O77" s="61" t="str">
        <f aca="false">IFERROR(INDEX(PARAMETRES!$D$536:$D$586,MATCH(M77,PARAMETRES!$J$536:$J$586,0)),"")</f>
        <v/>
      </c>
      <c r="P77" s="61" t="str">
        <f aca="false">IFERROR(INDEX(PARAMETRES!$F$536:$F$586,MATCH(M77,PARAMETRES!$J$536:$J$586,0)),"")</f>
        <v/>
      </c>
      <c r="Q77" s="61" t="str">
        <f aca="false">IFERROR(INDEX(PARAMETRES!$H$536:$H$586,MATCH(M77,PARAMETRES!$J$536:$J$586,0)),"")</f>
        <v/>
      </c>
      <c r="R77" s="86"/>
      <c r="S77" s="86"/>
      <c r="T77" s="86"/>
      <c r="U77" s="86"/>
      <c r="V77" s="86"/>
      <c r="W77" s="86"/>
      <c r="X77" s="86"/>
      <c r="Y77" s="86"/>
      <c r="Z77" s="86"/>
      <c r="AA77" s="86"/>
      <c r="AB77" s="86"/>
      <c r="AC77" s="79"/>
      <c r="AD77" s="86"/>
      <c r="AE77" s="86"/>
      <c r="AF77" s="86"/>
      <c r="AG77" s="86"/>
      <c r="AH77" s="61" t="str">
        <f aca="false">IFERROR(INDEX(PARAMETRES!$B$536:$B$586,MATCH(AG77,PARAMETRES!$J$536:$J$586,0)),"")</f>
        <v/>
      </c>
      <c r="AI77" s="61" t="str">
        <f aca="false">IFERROR(INDEX(PARAMETRES!$D$536:$D$586,MATCH(AG77,PARAMETRES!$J$536:$J$586,0)),"")</f>
        <v/>
      </c>
      <c r="AJ77" s="61" t="str">
        <f aca="false">IFERROR(INDEX(PARAMETRES!$F$536:$F$586,MATCH(AG77,PARAMETRES!$J$536:$J$586,0)),"")</f>
        <v/>
      </c>
      <c r="AK77" s="61" t="str">
        <f aca="false">IFERROR(INDEX(PARAMETRES!$H$536:$H$586,MATCH(AG77,PARAMETRES!$J$536:$J$586,0)),"")</f>
        <v/>
      </c>
      <c r="AL77" s="79"/>
      <c r="AM77" s="79"/>
      <c r="AN77" s="86"/>
      <c r="AO77" s="86"/>
      <c r="AP77" s="80"/>
      <c r="AQ77" s="80"/>
      <c r="AR77" s="81" t="str">
        <f aca="false">IF(OR(AP77="",AQ77=""),"",AP77-AQ77)</f>
        <v/>
      </c>
      <c r="AS77" s="86"/>
      <c r="AT77" s="61" t="n">
        <f aca="false">IF(A77="",0,COUNTIF(tbl_Partenaires_Projets[ID Partenaire],A77))</f>
        <v>0</v>
      </c>
      <c r="AU77" s="61" t="n">
        <f aca="false">IF(A77="",0,COUNTIF(tbl_Partenaires_Conventions[ID Partenaire],A77))</f>
        <v>0</v>
      </c>
      <c r="AV77" s="61" t="n">
        <f aca="false">IF(A77="",0,COUNTIFS(tbl_Partenaires_Conventions[ID Partenaire],A77,tbl_Partenaires_Conventions[Statut],"Active"))</f>
        <v>0</v>
      </c>
      <c r="AW77" s="61" t="str">
        <f aca="false">IF(A77="","",IF(COUNTIFS(tbl_Partenaires_Conventions[ID Partenaire],A77,tbl_Partenaires_Conventions[Statut],"Active")=0,"NON",IF(_xlfn.MINIFS(tbl_Partenaires_Conventions[Date fin],tbl_Partenaires_Conventions[ID Partenaire],A77,tbl_Partenaires_Conventions[Statut],"Active")-TODAY()&lt;=60,"OUI","NON")))</f>
        <v/>
      </c>
      <c r="AX77" s="61" t="n">
        <f aca="false">IF(A77="",0,COUNTIF(tbl_Partenaires_Documents[ID Partenaire],A77))</f>
        <v>0</v>
      </c>
      <c r="AY77" s="92" t="str">
        <f aca="false">IFERROR(AVERAGEIFS(tbl_Partenaires_Evaluations[Note globale],tbl_Partenaires_Evaluations[ID Partenaire],A77),"")</f>
        <v/>
      </c>
      <c r="AZ77" s="102" t="n">
        <f aca="false">IFERROR(_xlfn.MAXIFS(tbl_Partenaires_Evaluations[Date evaluation],tbl_Partenaires_Evaluations[ID Partenaire],A77),"")</f>
        <v>0</v>
      </c>
      <c r="BA77" s="61" t="n">
        <f aca="false">IF(A77="",0,COUNTIF(tbl_Partenaires_Risques[ID Partenaire],A77))</f>
        <v>0</v>
      </c>
      <c r="BB77" s="61" t="str">
        <f aca="false">IF(A77="","",IF(COUNTIFS(tbl_Partenaires_Risques[ID Partenaire],A77,tbl_Partenaires_Risques[Niveau],"Eleve")+COUNTIFS(tbl_Partenaires_Risques[ID Partenaire],A77,tbl_Partenaires_Risques[Niveau],"Critique")&gt;0,"OUI","NON"))</f>
        <v/>
      </c>
      <c r="BC77" s="61" t="n">
        <f aca="false">IF(A77="",0,COUNTIF(tbl_Partenaires_Contacts[ID Partenaire],A77))</f>
        <v>0</v>
      </c>
      <c r="BD77" s="61" t="n">
        <f aca="false">IF(A77="",0,COUNTIFS(tbl_Partenaires_Opportunites[ID Partenaire],A77,tbl_Partenaires_Opportunites[Statut],"&lt;&gt;Cloturee"))</f>
        <v>0</v>
      </c>
      <c r="BE77" s="61" t="n">
        <f aca="false">IF(A77="",0,COUNTIF(tbl_Partenaires_Prospection[ID Partenaire],A77))</f>
        <v>0</v>
      </c>
      <c r="BF77" s="86"/>
      <c r="BG77" s="86"/>
      <c r="BH77" s="86"/>
      <c r="BI77" s="86"/>
      <c r="BJ77" s="86"/>
      <c r="BK77" s="86"/>
      <c r="BL77" s="86"/>
      <c r="BM77" s="86"/>
      <c r="BN77" s="86"/>
      <c r="BO77" s="86"/>
      <c r="BP77" s="86"/>
      <c r="BQ77" s="86"/>
      <c r="BR77" s="61" t="str">
        <f aca="false">IF(C77="","",IF(OR(COUNTIF(C56:C115,C77)&gt;1,AND(E77&lt;&gt;"",COUNTIF(E56:E115,E77)&gt;1),AND(S77&lt;&gt;"",COUNTIF(S56:S115,S77)&gt;1),AND(U77&lt;&gt;"",COUNTIF(U56:U115,U77)&gt;1)),"OUI","NON"))</f>
        <v/>
      </c>
      <c r="BS77" s="86"/>
    </row>
    <row r="78" customFormat="false" ht="15" hidden="false" customHeight="true" outlineLevel="0" collapsed="false">
      <c r="A78" s="61" t="str">
        <f aca="false">IF(C78="","","PART"&amp;TEXT(ROW()-55,"00000"))</f>
        <v/>
      </c>
      <c r="B78" s="86"/>
      <c r="C78" s="86"/>
      <c r="D78" s="86"/>
      <c r="E78" s="86"/>
      <c r="F78" s="86"/>
      <c r="G78" s="86"/>
      <c r="H78" s="86"/>
      <c r="I78" s="86"/>
      <c r="J78" s="101"/>
      <c r="K78" s="86"/>
      <c r="L78" s="86"/>
      <c r="M78" s="86"/>
      <c r="N78" s="61" t="str">
        <f aca="false">IFERROR(INDEX(PARAMETRES!$B$536:$B$586,MATCH(M78,PARAMETRES!$J$536:$J$586,0)),"")</f>
        <v/>
      </c>
      <c r="O78" s="61" t="str">
        <f aca="false">IFERROR(INDEX(PARAMETRES!$D$536:$D$586,MATCH(M78,PARAMETRES!$J$536:$J$586,0)),"")</f>
        <v/>
      </c>
      <c r="P78" s="61" t="str">
        <f aca="false">IFERROR(INDEX(PARAMETRES!$F$536:$F$586,MATCH(M78,PARAMETRES!$J$536:$J$586,0)),"")</f>
        <v/>
      </c>
      <c r="Q78" s="61" t="str">
        <f aca="false">IFERROR(INDEX(PARAMETRES!$H$536:$H$586,MATCH(M78,PARAMETRES!$J$536:$J$586,0)),"")</f>
        <v/>
      </c>
      <c r="R78" s="86"/>
      <c r="S78" s="86"/>
      <c r="T78" s="86"/>
      <c r="U78" s="86"/>
      <c r="V78" s="86"/>
      <c r="W78" s="86"/>
      <c r="X78" s="86"/>
      <c r="Y78" s="86"/>
      <c r="Z78" s="86"/>
      <c r="AA78" s="86"/>
      <c r="AB78" s="86"/>
      <c r="AC78" s="79"/>
      <c r="AD78" s="86"/>
      <c r="AE78" s="86"/>
      <c r="AF78" s="86"/>
      <c r="AG78" s="86"/>
      <c r="AH78" s="61" t="str">
        <f aca="false">IFERROR(INDEX(PARAMETRES!$B$536:$B$586,MATCH(AG78,PARAMETRES!$J$536:$J$586,0)),"")</f>
        <v/>
      </c>
      <c r="AI78" s="61" t="str">
        <f aca="false">IFERROR(INDEX(PARAMETRES!$D$536:$D$586,MATCH(AG78,PARAMETRES!$J$536:$J$586,0)),"")</f>
        <v/>
      </c>
      <c r="AJ78" s="61" t="str">
        <f aca="false">IFERROR(INDEX(PARAMETRES!$F$536:$F$586,MATCH(AG78,PARAMETRES!$J$536:$J$586,0)),"")</f>
        <v/>
      </c>
      <c r="AK78" s="61" t="str">
        <f aca="false">IFERROR(INDEX(PARAMETRES!$H$536:$H$586,MATCH(AG78,PARAMETRES!$J$536:$J$586,0)),"")</f>
        <v/>
      </c>
      <c r="AL78" s="79"/>
      <c r="AM78" s="79"/>
      <c r="AN78" s="86"/>
      <c r="AO78" s="86"/>
      <c r="AP78" s="80"/>
      <c r="AQ78" s="80"/>
      <c r="AR78" s="81" t="str">
        <f aca="false">IF(OR(AP78="",AQ78=""),"",AP78-AQ78)</f>
        <v/>
      </c>
      <c r="AS78" s="86"/>
      <c r="AT78" s="61" t="n">
        <f aca="false">IF(A78="",0,COUNTIF(tbl_Partenaires_Projets[ID Partenaire],A78))</f>
        <v>0</v>
      </c>
      <c r="AU78" s="61" t="n">
        <f aca="false">IF(A78="",0,COUNTIF(tbl_Partenaires_Conventions[ID Partenaire],A78))</f>
        <v>0</v>
      </c>
      <c r="AV78" s="61" t="n">
        <f aca="false">IF(A78="",0,COUNTIFS(tbl_Partenaires_Conventions[ID Partenaire],A78,tbl_Partenaires_Conventions[Statut],"Active"))</f>
        <v>0</v>
      </c>
      <c r="AW78" s="61" t="str">
        <f aca="false">IF(A78="","",IF(COUNTIFS(tbl_Partenaires_Conventions[ID Partenaire],A78,tbl_Partenaires_Conventions[Statut],"Active")=0,"NON",IF(_xlfn.MINIFS(tbl_Partenaires_Conventions[Date fin],tbl_Partenaires_Conventions[ID Partenaire],A78,tbl_Partenaires_Conventions[Statut],"Active")-TODAY()&lt;=60,"OUI","NON")))</f>
        <v/>
      </c>
      <c r="AX78" s="61" t="n">
        <f aca="false">IF(A78="",0,COUNTIF(tbl_Partenaires_Documents[ID Partenaire],A78))</f>
        <v>0</v>
      </c>
      <c r="AY78" s="92" t="str">
        <f aca="false">IFERROR(AVERAGEIFS(tbl_Partenaires_Evaluations[Note globale],tbl_Partenaires_Evaluations[ID Partenaire],A78),"")</f>
        <v/>
      </c>
      <c r="AZ78" s="102" t="n">
        <f aca="false">IFERROR(_xlfn.MAXIFS(tbl_Partenaires_Evaluations[Date evaluation],tbl_Partenaires_Evaluations[ID Partenaire],A78),"")</f>
        <v>0</v>
      </c>
      <c r="BA78" s="61" t="n">
        <f aca="false">IF(A78="",0,COUNTIF(tbl_Partenaires_Risques[ID Partenaire],A78))</f>
        <v>0</v>
      </c>
      <c r="BB78" s="61" t="str">
        <f aca="false">IF(A78="","",IF(COUNTIFS(tbl_Partenaires_Risques[ID Partenaire],A78,tbl_Partenaires_Risques[Niveau],"Eleve")+COUNTIFS(tbl_Partenaires_Risques[ID Partenaire],A78,tbl_Partenaires_Risques[Niveau],"Critique")&gt;0,"OUI","NON"))</f>
        <v/>
      </c>
      <c r="BC78" s="61" t="n">
        <f aca="false">IF(A78="",0,COUNTIF(tbl_Partenaires_Contacts[ID Partenaire],A78))</f>
        <v>0</v>
      </c>
      <c r="BD78" s="61" t="n">
        <f aca="false">IF(A78="",0,COUNTIFS(tbl_Partenaires_Opportunites[ID Partenaire],A78,tbl_Partenaires_Opportunites[Statut],"&lt;&gt;Cloturee"))</f>
        <v>0</v>
      </c>
      <c r="BE78" s="61" t="n">
        <f aca="false">IF(A78="",0,COUNTIF(tbl_Partenaires_Prospection[ID Partenaire],A78))</f>
        <v>0</v>
      </c>
      <c r="BF78" s="86"/>
      <c r="BG78" s="86"/>
      <c r="BH78" s="86"/>
      <c r="BI78" s="86"/>
      <c r="BJ78" s="86"/>
      <c r="BK78" s="86"/>
      <c r="BL78" s="86"/>
      <c r="BM78" s="86"/>
      <c r="BN78" s="86"/>
      <c r="BO78" s="86"/>
      <c r="BP78" s="86"/>
      <c r="BQ78" s="86"/>
      <c r="BR78" s="61" t="str">
        <f aca="false">IF(C78="","",IF(OR(COUNTIF(C56:C115,C78)&gt;1,AND(E78&lt;&gt;"",COUNTIF(E56:E115,E78)&gt;1),AND(S78&lt;&gt;"",COUNTIF(S56:S115,S78)&gt;1),AND(U78&lt;&gt;"",COUNTIF(U56:U115,U78)&gt;1)),"OUI","NON"))</f>
        <v/>
      </c>
      <c r="BS78" s="86"/>
    </row>
    <row r="79" customFormat="false" ht="15" hidden="false" customHeight="true" outlineLevel="0" collapsed="false">
      <c r="A79" s="61" t="str">
        <f aca="false">IF(C79="","","PART"&amp;TEXT(ROW()-55,"00000"))</f>
        <v/>
      </c>
      <c r="B79" s="86"/>
      <c r="C79" s="86"/>
      <c r="D79" s="86"/>
      <c r="E79" s="86"/>
      <c r="F79" s="86"/>
      <c r="G79" s="86"/>
      <c r="H79" s="86"/>
      <c r="I79" s="86"/>
      <c r="J79" s="101"/>
      <c r="K79" s="86"/>
      <c r="L79" s="86"/>
      <c r="M79" s="86"/>
      <c r="N79" s="61" t="str">
        <f aca="false">IFERROR(INDEX(PARAMETRES!$B$536:$B$586,MATCH(M79,PARAMETRES!$J$536:$J$586,0)),"")</f>
        <v/>
      </c>
      <c r="O79" s="61" t="str">
        <f aca="false">IFERROR(INDEX(PARAMETRES!$D$536:$D$586,MATCH(M79,PARAMETRES!$J$536:$J$586,0)),"")</f>
        <v/>
      </c>
      <c r="P79" s="61" t="str">
        <f aca="false">IFERROR(INDEX(PARAMETRES!$F$536:$F$586,MATCH(M79,PARAMETRES!$J$536:$J$586,0)),"")</f>
        <v/>
      </c>
      <c r="Q79" s="61" t="str">
        <f aca="false">IFERROR(INDEX(PARAMETRES!$H$536:$H$586,MATCH(M79,PARAMETRES!$J$536:$J$586,0)),"")</f>
        <v/>
      </c>
      <c r="R79" s="86"/>
      <c r="S79" s="86"/>
      <c r="T79" s="86"/>
      <c r="U79" s="86"/>
      <c r="V79" s="86"/>
      <c r="W79" s="86"/>
      <c r="X79" s="86"/>
      <c r="Y79" s="86"/>
      <c r="Z79" s="86"/>
      <c r="AA79" s="86"/>
      <c r="AB79" s="86"/>
      <c r="AC79" s="79"/>
      <c r="AD79" s="86"/>
      <c r="AE79" s="86"/>
      <c r="AF79" s="86"/>
      <c r="AG79" s="86"/>
      <c r="AH79" s="61" t="str">
        <f aca="false">IFERROR(INDEX(PARAMETRES!$B$536:$B$586,MATCH(AG79,PARAMETRES!$J$536:$J$586,0)),"")</f>
        <v/>
      </c>
      <c r="AI79" s="61" t="str">
        <f aca="false">IFERROR(INDEX(PARAMETRES!$D$536:$D$586,MATCH(AG79,PARAMETRES!$J$536:$J$586,0)),"")</f>
        <v/>
      </c>
      <c r="AJ79" s="61" t="str">
        <f aca="false">IFERROR(INDEX(PARAMETRES!$F$536:$F$586,MATCH(AG79,PARAMETRES!$J$536:$J$586,0)),"")</f>
        <v/>
      </c>
      <c r="AK79" s="61" t="str">
        <f aca="false">IFERROR(INDEX(PARAMETRES!$H$536:$H$586,MATCH(AG79,PARAMETRES!$J$536:$J$586,0)),"")</f>
        <v/>
      </c>
      <c r="AL79" s="79"/>
      <c r="AM79" s="79"/>
      <c r="AN79" s="86"/>
      <c r="AO79" s="86"/>
      <c r="AP79" s="80"/>
      <c r="AQ79" s="80"/>
      <c r="AR79" s="81" t="str">
        <f aca="false">IF(OR(AP79="",AQ79=""),"",AP79-AQ79)</f>
        <v/>
      </c>
      <c r="AS79" s="86"/>
      <c r="AT79" s="61" t="n">
        <f aca="false">IF(A79="",0,COUNTIF(tbl_Partenaires_Projets[ID Partenaire],A79))</f>
        <v>0</v>
      </c>
      <c r="AU79" s="61" t="n">
        <f aca="false">IF(A79="",0,COUNTIF(tbl_Partenaires_Conventions[ID Partenaire],A79))</f>
        <v>0</v>
      </c>
      <c r="AV79" s="61" t="n">
        <f aca="false">IF(A79="",0,COUNTIFS(tbl_Partenaires_Conventions[ID Partenaire],A79,tbl_Partenaires_Conventions[Statut],"Active"))</f>
        <v>0</v>
      </c>
      <c r="AW79" s="61" t="str">
        <f aca="false">IF(A79="","",IF(COUNTIFS(tbl_Partenaires_Conventions[ID Partenaire],A79,tbl_Partenaires_Conventions[Statut],"Active")=0,"NON",IF(_xlfn.MINIFS(tbl_Partenaires_Conventions[Date fin],tbl_Partenaires_Conventions[ID Partenaire],A79,tbl_Partenaires_Conventions[Statut],"Active")-TODAY()&lt;=60,"OUI","NON")))</f>
        <v/>
      </c>
      <c r="AX79" s="61" t="n">
        <f aca="false">IF(A79="",0,COUNTIF(tbl_Partenaires_Documents[ID Partenaire],A79))</f>
        <v>0</v>
      </c>
      <c r="AY79" s="92" t="str">
        <f aca="false">IFERROR(AVERAGEIFS(tbl_Partenaires_Evaluations[Note globale],tbl_Partenaires_Evaluations[ID Partenaire],A79),"")</f>
        <v/>
      </c>
      <c r="AZ79" s="102" t="n">
        <f aca="false">IFERROR(_xlfn.MAXIFS(tbl_Partenaires_Evaluations[Date evaluation],tbl_Partenaires_Evaluations[ID Partenaire],A79),"")</f>
        <v>0</v>
      </c>
      <c r="BA79" s="61" t="n">
        <f aca="false">IF(A79="",0,COUNTIF(tbl_Partenaires_Risques[ID Partenaire],A79))</f>
        <v>0</v>
      </c>
      <c r="BB79" s="61" t="str">
        <f aca="false">IF(A79="","",IF(COUNTIFS(tbl_Partenaires_Risques[ID Partenaire],A79,tbl_Partenaires_Risques[Niveau],"Eleve")+COUNTIFS(tbl_Partenaires_Risques[ID Partenaire],A79,tbl_Partenaires_Risques[Niveau],"Critique")&gt;0,"OUI","NON"))</f>
        <v/>
      </c>
      <c r="BC79" s="61" t="n">
        <f aca="false">IF(A79="",0,COUNTIF(tbl_Partenaires_Contacts[ID Partenaire],A79))</f>
        <v>0</v>
      </c>
      <c r="BD79" s="61" t="n">
        <f aca="false">IF(A79="",0,COUNTIFS(tbl_Partenaires_Opportunites[ID Partenaire],A79,tbl_Partenaires_Opportunites[Statut],"&lt;&gt;Cloturee"))</f>
        <v>0</v>
      </c>
      <c r="BE79" s="61" t="n">
        <f aca="false">IF(A79="",0,COUNTIF(tbl_Partenaires_Prospection[ID Partenaire],A79))</f>
        <v>0</v>
      </c>
      <c r="BF79" s="86"/>
      <c r="BG79" s="86"/>
      <c r="BH79" s="86"/>
      <c r="BI79" s="86"/>
      <c r="BJ79" s="86"/>
      <c r="BK79" s="86"/>
      <c r="BL79" s="86"/>
      <c r="BM79" s="86"/>
      <c r="BN79" s="86"/>
      <c r="BO79" s="86"/>
      <c r="BP79" s="86"/>
      <c r="BQ79" s="86"/>
      <c r="BR79" s="61" t="str">
        <f aca="false">IF(C79="","",IF(OR(COUNTIF(C56:C115,C79)&gt;1,AND(E79&lt;&gt;"",COUNTIF(E56:E115,E79)&gt;1),AND(S79&lt;&gt;"",COUNTIF(S56:S115,S79)&gt;1),AND(U79&lt;&gt;"",COUNTIF(U56:U115,U79)&gt;1)),"OUI","NON"))</f>
        <v/>
      </c>
      <c r="BS79" s="86"/>
    </row>
    <row r="80" customFormat="false" ht="15" hidden="false" customHeight="true" outlineLevel="0" collapsed="false">
      <c r="A80" s="61" t="str">
        <f aca="false">IF(C80="","","PART"&amp;TEXT(ROW()-55,"00000"))</f>
        <v/>
      </c>
      <c r="B80" s="86"/>
      <c r="C80" s="86"/>
      <c r="D80" s="86"/>
      <c r="E80" s="86"/>
      <c r="F80" s="86"/>
      <c r="G80" s="86"/>
      <c r="H80" s="86"/>
      <c r="I80" s="86"/>
      <c r="J80" s="101"/>
      <c r="K80" s="86"/>
      <c r="L80" s="86"/>
      <c r="M80" s="86"/>
      <c r="N80" s="61" t="str">
        <f aca="false">IFERROR(INDEX(PARAMETRES!$B$536:$B$586,MATCH(M80,PARAMETRES!$J$536:$J$586,0)),"")</f>
        <v/>
      </c>
      <c r="O80" s="61" t="str">
        <f aca="false">IFERROR(INDEX(PARAMETRES!$D$536:$D$586,MATCH(M80,PARAMETRES!$J$536:$J$586,0)),"")</f>
        <v/>
      </c>
      <c r="P80" s="61" t="str">
        <f aca="false">IFERROR(INDEX(PARAMETRES!$F$536:$F$586,MATCH(M80,PARAMETRES!$J$536:$J$586,0)),"")</f>
        <v/>
      </c>
      <c r="Q80" s="61" t="str">
        <f aca="false">IFERROR(INDEX(PARAMETRES!$H$536:$H$586,MATCH(M80,PARAMETRES!$J$536:$J$586,0)),"")</f>
        <v/>
      </c>
      <c r="R80" s="86"/>
      <c r="S80" s="86"/>
      <c r="T80" s="86"/>
      <c r="U80" s="86"/>
      <c r="V80" s="86"/>
      <c r="W80" s="86"/>
      <c r="X80" s="86"/>
      <c r="Y80" s="86"/>
      <c r="Z80" s="86"/>
      <c r="AA80" s="86"/>
      <c r="AB80" s="86"/>
      <c r="AC80" s="79"/>
      <c r="AD80" s="86"/>
      <c r="AE80" s="86"/>
      <c r="AF80" s="86"/>
      <c r="AG80" s="86"/>
      <c r="AH80" s="61" t="str">
        <f aca="false">IFERROR(INDEX(PARAMETRES!$B$536:$B$586,MATCH(AG80,PARAMETRES!$J$536:$J$586,0)),"")</f>
        <v/>
      </c>
      <c r="AI80" s="61" t="str">
        <f aca="false">IFERROR(INDEX(PARAMETRES!$D$536:$D$586,MATCH(AG80,PARAMETRES!$J$536:$J$586,0)),"")</f>
        <v/>
      </c>
      <c r="AJ80" s="61" t="str">
        <f aca="false">IFERROR(INDEX(PARAMETRES!$F$536:$F$586,MATCH(AG80,PARAMETRES!$J$536:$J$586,0)),"")</f>
        <v/>
      </c>
      <c r="AK80" s="61" t="str">
        <f aca="false">IFERROR(INDEX(PARAMETRES!$H$536:$H$586,MATCH(AG80,PARAMETRES!$J$536:$J$586,0)),"")</f>
        <v/>
      </c>
      <c r="AL80" s="79"/>
      <c r="AM80" s="79"/>
      <c r="AN80" s="86"/>
      <c r="AO80" s="86"/>
      <c r="AP80" s="80"/>
      <c r="AQ80" s="80"/>
      <c r="AR80" s="81" t="str">
        <f aca="false">IF(OR(AP80="",AQ80=""),"",AP80-AQ80)</f>
        <v/>
      </c>
      <c r="AS80" s="86"/>
      <c r="AT80" s="61" t="n">
        <f aca="false">IF(A80="",0,COUNTIF(tbl_Partenaires_Projets[ID Partenaire],A80))</f>
        <v>0</v>
      </c>
      <c r="AU80" s="61" t="n">
        <f aca="false">IF(A80="",0,COUNTIF(tbl_Partenaires_Conventions[ID Partenaire],A80))</f>
        <v>0</v>
      </c>
      <c r="AV80" s="61" t="n">
        <f aca="false">IF(A80="",0,COUNTIFS(tbl_Partenaires_Conventions[ID Partenaire],A80,tbl_Partenaires_Conventions[Statut],"Active"))</f>
        <v>0</v>
      </c>
      <c r="AW80" s="61" t="str">
        <f aca="false">IF(A80="","",IF(COUNTIFS(tbl_Partenaires_Conventions[ID Partenaire],A80,tbl_Partenaires_Conventions[Statut],"Active")=0,"NON",IF(_xlfn.MINIFS(tbl_Partenaires_Conventions[Date fin],tbl_Partenaires_Conventions[ID Partenaire],A80,tbl_Partenaires_Conventions[Statut],"Active")-TODAY()&lt;=60,"OUI","NON")))</f>
        <v/>
      </c>
      <c r="AX80" s="61" t="n">
        <f aca="false">IF(A80="",0,COUNTIF(tbl_Partenaires_Documents[ID Partenaire],A80))</f>
        <v>0</v>
      </c>
      <c r="AY80" s="92" t="str">
        <f aca="false">IFERROR(AVERAGEIFS(tbl_Partenaires_Evaluations[Note globale],tbl_Partenaires_Evaluations[ID Partenaire],A80),"")</f>
        <v/>
      </c>
      <c r="AZ80" s="102" t="n">
        <f aca="false">IFERROR(_xlfn.MAXIFS(tbl_Partenaires_Evaluations[Date evaluation],tbl_Partenaires_Evaluations[ID Partenaire],A80),"")</f>
        <v>0</v>
      </c>
      <c r="BA80" s="61" t="n">
        <f aca="false">IF(A80="",0,COUNTIF(tbl_Partenaires_Risques[ID Partenaire],A80))</f>
        <v>0</v>
      </c>
      <c r="BB80" s="61" t="str">
        <f aca="false">IF(A80="","",IF(COUNTIFS(tbl_Partenaires_Risques[ID Partenaire],A80,tbl_Partenaires_Risques[Niveau],"Eleve")+COUNTIFS(tbl_Partenaires_Risques[ID Partenaire],A80,tbl_Partenaires_Risques[Niveau],"Critique")&gt;0,"OUI","NON"))</f>
        <v/>
      </c>
      <c r="BC80" s="61" t="n">
        <f aca="false">IF(A80="",0,COUNTIF(tbl_Partenaires_Contacts[ID Partenaire],A80))</f>
        <v>0</v>
      </c>
      <c r="BD80" s="61" t="n">
        <f aca="false">IF(A80="",0,COUNTIFS(tbl_Partenaires_Opportunites[ID Partenaire],A80,tbl_Partenaires_Opportunites[Statut],"&lt;&gt;Cloturee"))</f>
        <v>0</v>
      </c>
      <c r="BE80" s="61" t="n">
        <f aca="false">IF(A80="",0,COUNTIF(tbl_Partenaires_Prospection[ID Partenaire],A80))</f>
        <v>0</v>
      </c>
      <c r="BF80" s="86"/>
      <c r="BG80" s="86"/>
      <c r="BH80" s="86"/>
      <c r="BI80" s="86"/>
      <c r="BJ80" s="86"/>
      <c r="BK80" s="86"/>
      <c r="BL80" s="86"/>
      <c r="BM80" s="86"/>
      <c r="BN80" s="86"/>
      <c r="BO80" s="86"/>
      <c r="BP80" s="86"/>
      <c r="BQ80" s="86"/>
      <c r="BR80" s="61" t="str">
        <f aca="false">IF(C80="","",IF(OR(COUNTIF(C56:C115,C80)&gt;1,AND(E80&lt;&gt;"",COUNTIF(E56:E115,E80)&gt;1),AND(S80&lt;&gt;"",COUNTIF(S56:S115,S80)&gt;1),AND(U80&lt;&gt;"",COUNTIF(U56:U115,U80)&gt;1)),"OUI","NON"))</f>
        <v/>
      </c>
      <c r="BS80" s="86"/>
    </row>
    <row r="81" customFormat="false" ht="15" hidden="false" customHeight="true" outlineLevel="0" collapsed="false">
      <c r="A81" s="61" t="str">
        <f aca="false">IF(C81="","","PART"&amp;TEXT(ROW()-55,"00000"))</f>
        <v/>
      </c>
      <c r="B81" s="86"/>
      <c r="C81" s="86"/>
      <c r="D81" s="86"/>
      <c r="E81" s="86"/>
      <c r="F81" s="86"/>
      <c r="G81" s="86"/>
      <c r="H81" s="86"/>
      <c r="I81" s="86"/>
      <c r="J81" s="101"/>
      <c r="K81" s="86"/>
      <c r="L81" s="86"/>
      <c r="M81" s="86"/>
      <c r="N81" s="61" t="str">
        <f aca="false">IFERROR(INDEX(PARAMETRES!$B$536:$B$586,MATCH(M81,PARAMETRES!$J$536:$J$586,0)),"")</f>
        <v/>
      </c>
      <c r="O81" s="61" t="str">
        <f aca="false">IFERROR(INDEX(PARAMETRES!$D$536:$D$586,MATCH(M81,PARAMETRES!$J$536:$J$586,0)),"")</f>
        <v/>
      </c>
      <c r="P81" s="61" t="str">
        <f aca="false">IFERROR(INDEX(PARAMETRES!$F$536:$F$586,MATCH(M81,PARAMETRES!$J$536:$J$586,0)),"")</f>
        <v/>
      </c>
      <c r="Q81" s="61" t="str">
        <f aca="false">IFERROR(INDEX(PARAMETRES!$H$536:$H$586,MATCH(M81,PARAMETRES!$J$536:$J$586,0)),"")</f>
        <v/>
      </c>
      <c r="R81" s="86"/>
      <c r="S81" s="86"/>
      <c r="T81" s="86"/>
      <c r="U81" s="86"/>
      <c r="V81" s="86"/>
      <c r="W81" s="86"/>
      <c r="X81" s="86"/>
      <c r="Y81" s="86"/>
      <c r="Z81" s="86"/>
      <c r="AA81" s="86"/>
      <c r="AB81" s="86"/>
      <c r="AC81" s="79"/>
      <c r="AD81" s="86"/>
      <c r="AE81" s="86"/>
      <c r="AF81" s="86"/>
      <c r="AG81" s="86"/>
      <c r="AH81" s="61" t="str">
        <f aca="false">IFERROR(INDEX(PARAMETRES!$B$536:$B$586,MATCH(AG81,PARAMETRES!$J$536:$J$586,0)),"")</f>
        <v/>
      </c>
      <c r="AI81" s="61" t="str">
        <f aca="false">IFERROR(INDEX(PARAMETRES!$D$536:$D$586,MATCH(AG81,PARAMETRES!$J$536:$J$586,0)),"")</f>
        <v/>
      </c>
      <c r="AJ81" s="61" t="str">
        <f aca="false">IFERROR(INDEX(PARAMETRES!$F$536:$F$586,MATCH(AG81,PARAMETRES!$J$536:$J$586,0)),"")</f>
        <v/>
      </c>
      <c r="AK81" s="61" t="str">
        <f aca="false">IFERROR(INDEX(PARAMETRES!$H$536:$H$586,MATCH(AG81,PARAMETRES!$J$536:$J$586,0)),"")</f>
        <v/>
      </c>
      <c r="AL81" s="79"/>
      <c r="AM81" s="79"/>
      <c r="AN81" s="86"/>
      <c r="AO81" s="86"/>
      <c r="AP81" s="80"/>
      <c r="AQ81" s="80"/>
      <c r="AR81" s="81" t="str">
        <f aca="false">IF(OR(AP81="",AQ81=""),"",AP81-AQ81)</f>
        <v/>
      </c>
      <c r="AS81" s="86"/>
      <c r="AT81" s="61" t="n">
        <f aca="false">IF(A81="",0,COUNTIF(tbl_Partenaires_Projets[ID Partenaire],A81))</f>
        <v>0</v>
      </c>
      <c r="AU81" s="61" t="n">
        <f aca="false">IF(A81="",0,COUNTIF(tbl_Partenaires_Conventions[ID Partenaire],A81))</f>
        <v>0</v>
      </c>
      <c r="AV81" s="61" t="n">
        <f aca="false">IF(A81="",0,COUNTIFS(tbl_Partenaires_Conventions[ID Partenaire],A81,tbl_Partenaires_Conventions[Statut],"Active"))</f>
        <v>0</v>
      </c>
      <c r="AW81" s="61" t="str">
        <f aca="false">IF(A81="","",IF(COUNTIFS(tbl_Partenaires_Conventions[ID Partenaire],A81,tbl_Partenaires_Conventions[Statut],"Active")=0,"NON",IF(_xlfn.MINIFS(tbl_Partenaires_Conventions[Date fin],tbl_Partenaires_Conventions[ID Partenaire],A81,tbl_Partenaires_Conventions[Statut],"Active")-TODAY()&lt;=60,"OUI","NON")))</f>
        <v/>
      </c>
      <c r="AX81" s="61" t="n">
        <f aca="false">IF(A81="",0,COUNTIF(tbl_Partenaires_Documents[ID Partenaire],A81))</f>
        <v>0</v>
      </c>
      <c r="AY81" s="92" t="str">
        <f aca="false">IFERROR(AVERAGEIFS(tbl_Partenaires_Evaluations[Note globale],tbl_Partenaires_Evaluations[ID Partenaire],A81),"")</f>
        <v/>
      </c>
      <c r="AZ81" s="102" t="n">
        <f aca="false">IFERROR(_xlfn.MAXIFS(tbl_Partenaires_Evaluations[Date evaluation],tbl_Partenaires_Evaluations[ID Partenaire],A81),"")</f>
        <v>0</v>
      </c>
      <c r="BA81" s="61" t="n">
        <f aca="false">IF(A81="",0,COUNTIF(tbl_Partenaires_Risques[ID Partenaire],A81))</f>
        <v>0</v>
      </c>
      <c r="BB81" s="61" t="str">
        <f aca="false">IF(A81="","",IF(COUNTIFS(tbl_Partenaires_Risques[ID Partenaire],A81,tbl_Partenaires_Risques[Niveau],"Eleve")+COUNTIFS(tbl_Partenaires_Risques[ID Partenaire],A81,tbl_Partenaires_Risques[Niveau],"Critique")&gt;0,"OUI","NON"))</f>
        <v/>
      </c>
      <c r="BC81" s="61" t="n">
        <f aca="false">IF(A81="",0,COUNTIF(tbl_Partenaires_Contacts[ID Partenaire],A81))</f>
        <v>0</v>
      </c>
      <c r="BD81" s="61" t="n">
        <f aca="false">IF(A81="",0,COUNTIFS(tbl_Partenaires_Opportunites[ID Partenaire],A81,tbl_Partenaires_Opportunites[Statut],"&lt;&gt;Cloturee"))</f>
        <v>0</v>
      </c>
      <c r="BE81" s="61" t="n">
        <f aca="false">IF(A81="",0,COUNTIF(tbl_Partenaires_Prospection[ID Partenaire],A81))</f>
        <v>0</v>
      </c>
      <c r="BF81" s="86"/>
      <c r="BG81" s="86"/>
      <c r="BH81" s="86"/>
      <c r="BI81" s="86"/>
      <c r="BJ81" s="86"/>
      <c r="BK81" s="86"/>
      <c r="BL81" s="86"/>
      <c r="BM81" s="86"/>
      <c r="BN81" s="86"/>
      <c r="BO81" s="86"/>
      <c r="BP81" s="86"/>
      <c r="BQ81" s="86"/>
      <c r="BR81" s="61" t="str">
        <f aca="false">IF(C81="","",IF(OR(COUNTIF(C56:C115,C81)&gt;1,AND(E81&lt;&gt;"",COUNTIF(E56:E115,E81)&gt;1),AND(S81&lt;&gt;"",COUNTIF(S56:S115,S81)&gt;1),AND(U81&lt;&gt;"",COUNTIF(U56:U115,U81)&gt;1)),"OUI","NON"))</f>
        <v/>
      </c>
      <c r="BS81" s="86"/>
    </row>
    <row r="82" customFormat="false" ht="15" hidden="false" customHeight="true" outlineLevel="0" collapsed="false">
      <c r="A82" s="61" t="str">
        <f aca="false">IF(C82="","","PART"&amp;TEXT(ROW()-55,"00000"))</f>
        <v/>
      </c>
      <c r="B82" s="86"/>
      <c r="C82" s="86"/>
      <c r="D82" s="86"/>
      <c r="E82" s="86"/>
      <c r="F82" s="86"/>
      <c r="G82" s="86"/>
      <c r="H82" s="86"/>
      <c r="I82" s="86"/>
      <c r="J82" s="101"/>
      <c r="K82" s="86"/>
      <c r="L82" s="86"/>
      <c r="M82" s="86"/>
      <c r="N82" s="61" t="str">
        <f aca="false">IFERROR(INDEX(PARAMETRES!$B$536:$B$586,MATCH(M82,PARAMETRES!$J$536:$J$586,0)),"")</f>
        <v/>
      </c>
      <c r="O82" s="61" t="str">
        <f aca="false">IFERROR(INDEX(PARAMETRES!$D$536:$D$586,MATCH(M82,PARAMETRES!$J$536:$J$586,0)),"")</f>
        <v/>
      </c>
      <c r="P82" s="61" t="str">
        <f aca="false">IFERROR(INDEX(PARAMETRES!$F$536:$F$586,MATCH(M82,PARAMETRES!$J$536:$J$586,0)),"")</f>
        <v/>
      </c>
      <c r="Q82" s="61" t="str">
        <f aca="false">IFERROR(INDEX(PARAMETRES!$H$536:$H$586,MATCH(M82,PARAMETRES!$J$536:$J$586,0)),"")</f>
        <v/>
      </c>
      <c r="R82" s="86"/>
      <c r="S82" s="86"/>
      <c r="T82" s="86"/>
      <c r="U82" s="86"/>
      <c r="V82" s="86"/>
      <c r="W82" s="86"/>
      <c r="X82" s="86"/>
      <c r="Y82" s="86"/>
      <c r="Z82" s="86"/>
      <c r="AA82" s="86"/>
      <c r="AB82" s="86"/>
      <c r="AC82" s="79"/>
      <c r="AD82" s="86"/>
      <c r="AE82" s="86"/>
      <c r="AF82" s="86"/>
      <c r="AG82" s="86"/>
      <c r="AH82" s="61" t="str">
        <f aca="false">IFERROR(INDEX(PARAMETRES!$B$536:$B$586,MATCH(AG82,PARAMETRES!$J$536:$J$586,0)),"")</f>
        <v/>
      </c>
      <c r="AI82" s="61" t="str">
        <f aca="false">IFERROR(INDEX(PARAMETRES!$D$536:$D$586,MATCH(AG82,PARAMETRES!$J$536:$J$586,0)),"")</f>
        <v/>
      </c>
      <c r="AJ82" s="61" t="str">
        <f aca="false">IFERROR(INDEX(PARAMETRES!$F$536:$F$586,MATCH(AG82,PARAMETRES!$J$536:$J$586,0)),"")</f>
        <v/>
      </c>
      <c r="AK82" s="61" t="str">
        <f aca="false">IFERROR(INDEX(PARAMETRES!$H$536:$H$586,MATCH(AG82,PARAMETRES!$J$536:$J$586,0)),"")</f>
        <v/>
      </c>
      <c r="AL82" s="79"/>
      <c r="AM82" s="79"/>
      <c r="AN82" s="86"/>
      <c r="AO82" s="86"/>
      <c r="AP82" s="80"/>
      <c r="AQ82" s="80"/>
      <c r="AR82" s="81" t="str">
        <f aca="false">IF(OR(AP82="",AQ82=""),"",AP82-AQ82)</f>
        <v/>
      </c>
      <c r="AS82" s="86"/>
      <c r="AT82" s="61" t="n">
        <f aca="false">IF(A82="",0,COUNTIF(tbl_Partenaires_Projets[ID Partenaire],A82))</f>
        <v>0</v>
      </c>
      <c r="AU82" s="61" t="n">
        <f aca="false">IF(A82="",0,COUNTIF(tbl_Partenaires_Conventions[ID Partenaire],A82))</f>
        <v>0</v>
      </c>
      <c r="AV82" s="61" t="n">
        <f aca="false">IF(A82="",0,COUNTIFS(tbl_Partenaires_Conventions[ID Partenaire],A82,tbl_Partenaires_Conventions[Statut],"Active"))</f>
        <v>0</v>
      </c>
      <c r="AW82" s="61" t="str">
        <f aca="false">IF(A82="","",IF(COUNTIFS(tbl_Partenaires_Conventions[ID Partenaire],A82,tbl_Partenaires_Conventions[Statut],"Active")=0,"NON",IF(_xlfn.MINIFS(tbl_Partenaires_Conventions[Date fin],tbl_Partenaires_Conventions[ID Partenaire],A82,tbl_Partenaires_Conventions[Statut],"Active")-TODAY()&lt;=60,"OUI","NON")))</f>
        <v/>
      </c>
      <c r="AX82" s="61" t="n">
        <f aca="false">IF(A82="",0,COUNTIF(tbl_Partenaires_Documents[ID Partenaire],A82))</f>
        <v>0</v>
      </c>
      <c r="AY82" s="92" t="str">
        <f aca="false">IFERROR(AVERAGEIFS(tbl_Partenaires_Evaluations[Note globale],tbl_Partenaires_Evaluations[ID Partenaire],A82),"")</f>
        <v/>
      </c>
      <c r="AZ82" s="102" t="n">
        <f aca="false">IFERROR(_xlfn.MAXIFS(tbl_Partenaires_Evaluations[Date evaluation],tbl_Partenaires_Evaluations[ID Partenaire],A82),"")</f>
        <v>0</v>
      </c>
      <c r="BA82" s="61" t="n">
        <f aca="false">IF(A82="",0,COUNTIF(tbl_Partenaires_Risques[ID Partenaire],A82))</f>
        <v>0</v>
      </c>
      <c r="BB82" s="61" t="str">
        <f aca="false">IF(A82="","",IF(COUNTIFS(tbl_Partenaires_Risques[ID Partenaire],A82,tbl_Partenaires_Risques[Niveau],"Eleve")+COUNTIFS(tbl_Partenaires_Risques[ID Partenaire],A82,tbl_Partenaires_Risques[Niveau],"Critique")&gt;0,"OUI","NON"))</f>
        <v/>
      </c>
      <c r="BC82" s="61" t="n">
        <f aca="false">IF(A82="",0,COUNTIF(tbl_Partenaires_Contacts[ID Partenaire],A82))</f>
        <v>0</v>
      </c>
      <c r="BD82" s="61" t="n">
        <f aca="false">IF(A82="",0,COUNTIFS(tbl_Partenaires_Opportunites[ID Partenaire],A82,tbl_Partenaires_Opportunites[Statut],"&lt;&gt;Cloturee"))</f>
        <v>0</v>
      </c>
      <c r="BE82" s="61" t="n">
        <f aca="false">IF(A82="",0,COUNTIF(tbl_Partenaires_Prospection[ID Partenaire],A82))</f>
        <v>0</v>
      </c>
      <c r="BF82" s="86"/>
      <c r="BG82" s="86"/>
      <c r="BH82" s="86"/>
      <c r="BI82" s="86"/>
      <c r="BJ82" s="86"/>
      <c r="BK82" s="86"/>
      <c r="BL82" s="86"/>
      <c r="BM82" s="86"/>
      <c r="BN82" s="86"/>
      <c r="BO82" s="86"/>
      <c r="BP82" s="86"/>
      <c r="BQ82" s="86"/>
      <c r="BR82" s="61" t="str">
        <f aca="false">IF(C82="","",IF(OR(COUNTIF(C56:C115,C82)&gt;1,AND(E82&lt;&gt;"",COUNTIF(E56:E115,E82)&gt;1),AND(S82&lt;&gt;"",COUNTIF(S56:S115,S82)&gt;1),AND(U82&lt;&gt;"",COUNTIF(U56:U115,U82)&gt;1)),"OUI","NON"))</f>
        <v/>
      </c>
      <c r="BS82" s="86"/>
    </row>
    <row r="83" customFormat="false" ht="15" hidden="false" customHeight="true" outlineLevel="0" collapsed="false">
      <c r="A83" s="61" t="str">
        <f aca="false">IF(C83="","","PART"&amp;TEXT(ROW()-55,"00000"))</f>
        <v/>
      </c>
      <c r="B83" s="86"/>
      <c r="C83" s="86"/>
      <c r="D83" s="86"/>
      <c r="E83" s="86"/>
      <c r="F83" s="86"/>
      <c r="G83" s="86"/>
      <c r="H83" s="86"/>
      <c r="I83" s="86"/>
      <c r="J83" s="101"/>
      <c r="K83" s="86"/>
      <c r="L83" s="86"/>
      <c r="M83" s="86"/>
      <c r="N83" s="61" t="str">
        <f aca="false">IFERROR(INDEX(PARAMETRES!$B$536:$B$586,MATCH(M83,PARAMETRES!$J$536:$J$586,0)),"")</f>
        <v/>
      </c>
      <c r="O83" s="61" t="str">
        <f aca="false">IFERROR(INDEX(PARAMETRES!$D$536:$D$586,MATCH(M83,PARAMETRES!$J$536:$J$586,0)),"")</f>
        <v/>
      </c>
      <c r="P83" s="61" t="str">
        <f aca="false">IFERROR(INDEX(PARAMETRES!$F$536:$F$586,MATCH(M83,PARAMETRES!$J$536:$J$586,0)),"")</f>
        <v/>
      </c>
      <c r="Q83" s="61" t="str">
        <f aca="false">IFERROR(INDEX(PARAMETRES!$H$536:$H$586,MATCH(M83,PARAMETRES!$J$536:$J$586,0)),"")</f>
        <v/>
      </c>
      <c r="R83" s="86"/>
      <c r="S83" s="86"/>
      <c r="T83" s="86"/>
      <c r="U83" s="86"/>
      <c r="V83" s="86"/>
      <c r="W83" s="86"/>
      <c r="X83" s="86"/>
      <c r="Y83" s="86"/>
      <c r="Z83" s="86"/>
      <c r="AA83" s="86"/>
      <c r="AB83" s="86"/>
      <c r="AC83" s="79"/>
      <c r="AD83" s="86"/>
      <c r="AE83" s="86"/>
      <c r="AF83" s="86"/>
      <c r="AG83" s="86"/>
      <c r="AH83" s="61" t="str">
        <f aca="false">IFERROR(INDEX(PARAMETRES!$B$536:$B$586,MATCH(AG83,PARAMETRES!$J$536:$J$586,0)),"")</f>
        <v/>
      </c>
      <c r="AI83" s="61" t="str">
        <f aca="false">IFERROR(INDEX(PARAMETRES!$D$536:$D$586,MATCH(AG83,PARAMETRES!$J$536:$J$586,0)),"")</f>
        <v/>
      </c>
      <c r="AJ83" s="61" t="str">
        <f aca="false">IFERROR(INDEX(PARAMETRES!$F$536:$F$586,MATCH(AG83,PARAMETRES!$J$536:$J$586,0)),"")</f>
        <v/>
      </c>
      <c r="AK83" s="61" t="str">
        <f aca="false">IFERROR(INDEX(PARAMETRES!$H$536:$H$586,MATCH(AG83,PARAMETRES!$J$536:$J$586,0)),"")</f>
        <v/>
      </c>
      <c r="AL83" s="79"/>
      <c r="AM83" s="79"/>
      <c r="AN83" s="86"/>
      <c r="AO83" s="86"/>
      <c r="AP83" s="80"/>
      <c r="AQ83" s="80"/>
      <c r="AR83" s="81" t="str">
        <f aca="false">IF(OR(AP83="",AQ83=""),"",AP83-AQ83)</f>
        <v/>
      </c>
      <c r="AS83" s="86"/>
      <c r="AT83" s="61" t="n">
        <f aca="false">IF(A83="",0,COUNTIF(tbl_Partenaires_Projets[ID Partenaire],A83))</f>
        <v>0</v>
      </c>
      <c r="AU83" s="61" t="n">
        <f aca="false">IF(A83="",0,COUNTIF(tbl_Partenaires_Conventions[ID Partenaire],A83))</f>
        <v>0</v>
      </c>
      <c r="AV83" s="61" t="n">
        <f aca="false">IF(A83="",0,COUNTIFS(tbl_Partenaires_Conventions[ID Partenaire],A83,tbl_Partenaires_Conventions[Statut],"Active"))</f>
        <v>0</v>
      </c>
      <c r="AW83" s="61" t="str">
        <f aca="false">IF(A83="","",IF(COUNTIFS(tbl_Partenaires_Conventions[ID Partenaire],A83,tbl_Partenaires_Conventions[Statut],"Active")=0,"NON",IF(_xlfn.MINIFS(tbl_Partenaires_Conventions[Date fin],tbl_Partenaires_Conventions[ID Partenaire],A83,tbl_Partenaires_Conventions[Statut],"Active")-TODAY()&lt;=60,"OUI","NON")))</f>
        <v/>
      </c>
      <c r="AX83" s="61" t="n">
        <f aca="false">IF(A83="",0,COUNTIF(tbl_Partenaires_Documents[ID Partenaire],A83))</f>
        <v>0</v>
      </c>
      <c r="AY83" s="92" t="str">
        <f aca="false">IFERROR(AVERAGEIFS(tbl_Partenaires_Evaluations[Note globale],tbl_Partenaires_Evaluations[ID Partenaire],A83),"")</f>
        <v/>
      </c>
      <c r="AZ83" s="102" t="n">
        <f aca="false">IFERROR(_xlfn.MAXIFS(tbl_Partenaires_Evaluations[Date evaluation],tbl_Partenaires_Evaluations[ID Partenaire],A83),"")</f>
        <v>0</v>
      </c>
      <c r="BA83" s="61" t="n">
        <f aca="false">IF(A83="",0,COUNTIF(tbl_Partenaires_Risques[ID Partenaire],A83))</f>
        <v>0</v>
      </c>
      <c r="BB83" s="61" t="str">
        <f aca="false">IF(A83="","",IF(COUNTIFS(tbl_Partenaires_Risques[ID Partenaire],A83,tbl_Partenaires_Risques[Niveau],"Eleve")+COUNTIFS(tbl_Partenaires_Risques[ID Partenaire],A83,tbl_Partenaires_Risques[Niveau],"Critique")&gt;0,"OUI","NON"))</f>
        <v/>
      </c>
      <c r="BC83" s="61" t="n">
        <f aca="false">IF(A83="",0,COUNTIF(tbl_Partenaires_Contacts[ID Partenaire],A83))</f>
        <v>0</v>
      </c>
      <c r="BD83" s="61" t="n">
        <f aca="false">IF(A83="",0,COUNTIFS(tbl_Partenaires_Opportunites[ID Partenaire],A83,tbl_Partenaires_Opportunites[Statut],"&lt;&gt;Cloturee"))</f>
        <v>0</v>
      </c>
      <c r="BE83" s="61" t="n">
        <f aca="false">IF(A83="",0,COUNTIF(tbl_Partenaires_Prospection[ID Partenaire],A83))</f>
        <v>0</v>
      </c>
      <c r="BF83" s="86"/>
      <c r="BG83" s="86"/>
      <c r="BH83" s="86"/>
      <c r="BI83" s="86"/>
      <c r="BJ83" s="86"/>
      <c r="BK83" s="86"/>
      <c r="BL83" s="86"/>
      <c r="BM83" s="86"/>
      <c r="BN83" s="86"/>
      <c r="BO83" s="86"/>
      <c r="BP83" s="86"/>
      <c r="BQ83" s="86"/>
      <c r="BR83" s="61" t="str">
        <f aca="false">IF(C83="","",IF(OR(COUNTIF(C56:C115,C83)&gt;1,AND(E83&lt;&gt;"",COUNTIF(E56:E115,E83)&gt;1),AND(S83&lt;&gt;"",COUNTIF(S56:S115,S83)&gt;1),AND(U83&lt;&gt;"",COUNTIF(U56:U115,U83)&gt;1)),"OUI","NON"))</f>
        <v/>
      </c>
      <c r="BS83" s="86"/>
    </row>
    <row r="84" customFormat="false" ht="15" hidden="false" customHeight="true" outlineLevel="0" collapsed="false">
      <c r="A84" s="61" t="str">
        <f aca="false">IF(C84="","","PART"&amp;TEXT(ROW()-55,"00000"))</f>
        <v/>
      </c>
      <c r="B84" s="86"/>
      <c r="C84" s="86"/>
      <c r="D84" s="86"/>
      <c r="E84" s="86"/>
      <c r="F84" s="86"/>
      <c r="G84" s="86"/>
      <c r="H84" s="86"/>
      <c r="I84" s="86"/>
      <c r="J84" s="101"/>
      <c r="K84" s="86"/>
      <c r="L84" s="86"/>
      <c r="M84" s="86"/>
      <c r="N84" s="61" t="str">
        <f aca="false">IFERROR(INDEX(PARAMETRES!$B$536:$B$586,MATCH(M84,PARAMETRES!$J$536:$J$586,0)),"")</f>
        <v/>
      </c>
      <c r="O84" s="61" t="str">
        <f aca="false">IFERROR(INDEX(PARAMETRES!$D$536:$D$586,MATCH(M84,PARAMETRES!$J$536:$J$586,0)),"")</f>
        <v/>
      </c>
      <c r="P84" s="61" t="str">
        <f aca="false">IFERROR(INDEX(PARAMETRES!$F$536:$F$586,MATCH(M84,PARAMETRES!$J$536:$J$586,0)),"")</f>
        <v/>
      </c>
      <c r="Q84" s="61" t="str">
        <f aca="false">IFERROR(INDEX(PARAMETRES!$H$536:$H$586,MATCH(M84,PARAMETRES!$J$536:$J$586,0)),"")</f>
        <v/>
      </c>
      <c r="R84" s="86"/>
      <c r="S84" s="86"/>
      <c r="T84" s="86"/>
      <c r="U84" s="86"/>
      <c r="V84" s="86"/>
      <c r="W84" s="86"/>
      <c r="X84" s="86"/>
      <c r="Y84" s="86"/>
      <c r="Z84" s="86"/>
      <c r="AA84" s="86"/>
      <c r="AB84" s="86"/>
      <c r="AC84" s="79"/>
      <c r="AD84" s="86"/>
      <c r="AE84" s="86"/>
      <c r="AF84" s="86"/>
      <c r="AG84" s="86"/>
      <c r="AH84" s="61" t="str">
        <f aca="false">IFERROR(INDEX(PARAMETRES!$B$536:$B$586,MATCH(AG84,PARAMETRES!$J$536:$J$586,0)),"")</f>
        <v/>
      </c>
      <c r="AI84" s="61" t="str">
        <f aca="false">IFERROR(INDEX(PARAMETRES!$D$536:$D$586,MATCH(AG84,PARAMETRES!$J$536:$J$586,0)),"")</f>
        <v/>
      </c>
      <c r="AJ84" s="61" t="str">
        <f aca="false">IFERROR(INDEX(PARAMETRES!$F$536:$F$586,MATCH(AG84,PARAMETRES!$J$536:$J$586,0)),"")</f>
        <v/>
      </c>
      <c r="AK84" s="61" t="str">
        <f aca="false">IFERROR(INDEX(PARAMETRES!$H$536:$H$586,MATCH(AG84,PARAMETRES!$J$536:$J$586,0)),"")</f>
        <v/>
      </c>
      <c r="AL84" s="79"/>
      <c r="AM84" s="79"/>
      <c r="AN84" s="86"/>
      <c r="AO84" s="86"/>
      <c r="AP84" s="80"/>
      <c r="AQ84" s="80"/>
      <c r="AR84" s="81" t="str">
        <f aca="false">IF(OR(AP84="",AQ84=""),"",AP84-AQ84)</f>
        <v/>
      </c>
      <c r="AS84" s="86"/>
      <c r="AT84" s="61" t="n">
        <f aca="false">IF(A84="",0,COUNTIF(tbl_Partenaires_Projets[ID Partenaire],A84))</f>
        <v>0</v>
      </c>
      <c r="AU84" s="61" t="n">
        <f aca="false">IF(A84="",0,COUNTIF(tbl_Partenaires_Conventions[ID Partenaire],A84))</f>
        <v>0</v>
      </c>
      <c r="AV84" s="61" t="n">
        <f aca="false">IF(A84="",0,COUNTIFS(tbl_Partenaires_Conventions[ID Partenaire],A84,tbl_Partenaires_Conventions[Statut],"Active"))</f>
        <v>0</v>
      </c>
      <c r="AW84" s="61" t="str">
        <f aca="false">IF(A84="","",IF(COUNTIFS(tbl_Partenaires_Conventions[ID Partenaire],A84,tbl_Partenaires_Conventions[Statut],"Active")=0,"NON",IF(_xlfn.MINIFS(tbl_Partenaires_Conventions[Date fin],tbl_Partenaires_Conventions[ID Partenaire],A84,tbl_Partenaires_Conventions[Statut],"Active")-TODAY()&lt;=60,"OUI","NON")))</f>
        <v/>
      </c>
      <c r="AX84" s="61" t="n">
        <f aca="false">IF(A84="",0,COUNTIF(tbl_Partenaires_Documents[ID Partenaire],A84))</f>
        <v>0</v>
      </c>
      <c r="AY84" s="92" t="str">
        <f aca="false">IFERROR(AVERAGEIFS(tbl_Partenaires_Evaluations[Note globale],tbl_Partenaires_Evaluations[ID Partenaire],A84),"")</f>
        <v/>
      </c>
      <c r="AZ84" s="102" t="n">
        <f aca="false">IFERROR(_xlfn.MAXIFS(tbl_Partenaires_Evaluations[Date evaluation],tbl_Partenaires_Evaluations[ID Partenaire],A84),"")</f>
        <v>0</v>
      </c>
      <c r="BA84" s="61" t="n">
        <f aca="false">IF(A84="",0,COUNTIF(tbl_Partenaires_Risques[ID Partenaire],A84))</f>
        <v>0</v>
      </c>
      <c r="BB84" s="61" t="str">
        <f aca="false">IF(A84="","",IF(COUNTIFS(tbl_Partenaires_Risques[ID Partenaire],A84,tbl_Partenaires_Risques[Niveau],"Eleve")+COUNTIFS(tbl_Partenaires_Risques[ID Partenaire],A84,tbl_Partenaires_Risques[Niveau],"Critique")&gt;0,"OUI","NON"))</f>
        <v/>
      </c>
      <c r="BC84" s="61" t="n">
        <f aca="false">IF(A84="",0,COUNTIF(tbl_Partenaires_Contacts[ID Partenaire],A84))</f>
        <v>0</v>
      </c>
      <c r="BD84" s="61" t="n">
        <f aca="false">IF(A84="",0,COUNTIFS(tbl_Partenaires_Opportunites[ID Partenaire],A84,tbl_Partenaires_Opportunites[Statut],"&lt;&gt;Cloturee"))</f>
        <v>0</v>
      </c>
      <c r="BE84" s="61" t="n">
        <f aca="false">IF(A84="",0,COUNTIF(tbl_Partenaires_Prospection[ID Partenaire],A84))</f>
        <v>0</v>
      </c>
      <c r="BF84" s="86"/>
      <c r="BG84" s="86"/>
      <c r="BH84" s="86"/>
      <c r="BI84" s="86"/>
      <c r="BJ84" s="86"/>
      <c r="BK84" s="86"/>
      <c r="BL84" s="86"/>
      <c r="BM84" s="86"/>
      <c r="BN84" s="86"/>
      <c r="BO84" s="86"/>
      <c r="BP84" s="86"/>
      <c r="BQ84" s="86"/>
      <c r="BR84" s="61" t="str">
        <f aca="false">IF(C84="","",IF(OR(COUNTIF(C56:C115,C84)&gt;1,AND(E84&lt;&gt;"",COUNTIF(E56:E115,E84)&gt;1),AND(S84&lt;&gt;"",COUNTIF(S56:S115,S84)&gt;1),AND(U84&lt;&gt;"",COUNTIF(U56:U115,U84)&gt;1)),"OUI","NON"))</f>
        <v/>
      </c>
      <c r="BS84" s="86"/>
    </row>
    <row r="85" customFormat="false" ht="15" hidden="false" customHeight="true" outlineLevel="0" collapsed="false">
      <c r="A85" s="61" t="str">
        <f aca="false">IF(C85="","","PART"&amp;TEXT(ROW()-55,"00000"))</f>
        <v/>
      </c>
      <c r="B85" s="86"/>
      <c r="C85" s="86"/>
      <c r="D85" s="86"/>
      <c r="E85" s="86"/>
      <c r="F85" s="86"/>
      <c r="G85" s="86"/>
      <c r="H85" s="86"/>
      <c r="I85" s="86"/>
      <c r="J85" s="101"/>
      <c r="K85" s="86"/>
      <c r="L85" s="86"/>
      <c r="M85" s="86"/>
      <c r="N85" s="61" t="str">
        <f aca="false">IFERROR(INDEX(PARAMETRES!$B$536:$B$586,MATCH(M85,PARAMETRES!$J$536:$J$586,0)),"")</f>
        <v/>
      </c>
      <c r="O85" s="61" t="str">
        <f aca="false">IFERROR(INDEX(PARAMETRES!$D$536:$D$586,MATCH(M85,PARAMETRES!$J$536:$J$586,0)),"")</f>
        <v/>
      </c>
      <c r="P85" s="61" t="str">
        <f aca="false">IFERROR(INDEX(PARAMETRES!$F$536:$F$586,MATCH(M85,PARAMETRES!$J$536:$J$586,0)),"")</f>
        <v/>
      </c>
      <c r="Q85" s="61" t="str">
        <f aca="false">IFERROR(INDEX(PARAMETRES!$H$536:$H$586,MATCH(M85,PARAMETRES!$J$536:$J$586,0)),"")</f>
        <v/>
      </c>
      <c r="R85" s="86"/>
      <c r="S85" s="86"/>
      <c r="T85" s="86"/>
      <c r="U85" s="86"/>
      <c r="V85" s="86"/>
      <c r="W85" s="86"/>
      <c r="X85" s="86"/>
      <c r="Y85" s="86"/>
      <c r="Z85" s="86"/>
      <c r="AA85" s="86"/>
      <c r="AB85" s="86"/>
      <c r="AC85" s="79"/>
      <c r="AD85" s="86"/>
      <c r="AE85" s="86"/>
      <c r="AF85" s="86"/>
      <c r="AG85" s="86"/>
      <c r="AH85" s="61" t="str">
        <f aca="false">IFERROR(INDEX(PARAMETRES!$B$536:$B$586,MATCH(AG85,PARAMETRES!$J$536:$J$586,0)),"")</f>
        <v/>
      </c>
      <c r="AI85" s="61" t="str">
        <f aca="false">IFERROR(INDEX(PARAMETRES!$D$536:$D$586,MATCH(AG85,PARAMETRES!$J$536:$J$586,0)),"")</f>
        <v/>
      </c>
      <c r="AJ85" s="61" t="str">
        <f aca="false">IFERROR(INDEX(PARAMETRES!$F$536:$F$586,MATCH(AG85,PARAMETRES!$J$536:$J$586,0)),"")</f>
        <v/>
      </c>
      <c r="AK85" s="61" t="str">
        <f aca="false">IFERROR(INDEX(PARAMETRES!$H$536:$H$586,MATCH(AG85,PARAMETRES!$J$536:$J$586,0)),"")</f>
        <v/>
      </c>
      <c r="AL85" s="79"/>
      <c r="AM85" s="79"/>
      <c r="AN85" s="86"/>
      <c r="AO85" s="86"/>
      <c r="AP85" s="80"/>
      <c r="AQ85" s="80"/>
      <c r="AR85" s="81" t="str">
        <f aca="false">IF(OR(AP85="",AQ85=""),"",AP85-AQ85)</f>
        <v/>
      </c>
      <c r="AS85" s="86"/>
      <c r="AT85" s="61" t="n">
        <f aca="false">IF(A85="",0,COUNTIF(tbl_Partenaires_Projets[ID Partenaire],A85))</f>
        <v>0</v>
      </c>
      <c r="AU85" s="61" t="n">
        <f aca="false">IF(A85="",0,COUNTIF(tbl_Partenaires_Conventions[ID Partenaire],A85))</f>
        <v>0</v>
      </c>
      <c r="AV85" s="61" t="n">
        <f aca="false">IF(A85="",0,COUNTIFS(tbl_Partenaires_Conventions[ID Partenaire],A85,tbl_Partenaires_Conventions[Statut],"Active"))</f>
        <v>0</v>
      </c>
      <c r="AW85" s="61" t="str">
        <f aca="false">IF(A85="","",IF(COUNTIFS(tbl_Partenaires_Conventions[ID Partenaire],A85,tbl_Partenaires_Conventions[Statut],"Active")=0,"NON",IF(_xlfn.MINIFS(tbl_Partenaires_Conventions[Date fin],tbl_Partenaires_Conventions[ID Partenaire],A85,tbl_Partenaires_Conventions[Statut],"Active")-TODAY()&lt;=60,"OUI","NON")))</f>
        <v/>
      </c>
      <c r="AX85" s="61" t="n">
        <f aca="false">IF(A85="",0,COUNTIF(tbl_Partenaires_Documents[ID Partenaire],A85))</f>
        <v>0</v>
      </c>
      <c r="AY85" s="92" t="str">
        <f aca="false">IFERROR(AVERAGEIFS(tbl_Partenaires_Evaluations[Note globale],tbl_Partenaires_Evaluations[ID Partenaire],A85),"")</f>
        <v/>
      </c>
      <c r="AZ85" s="102" t="n">
        <f aca="false">IFERROR(_xlfn.MAXIFS(tbl_Partenaires_Evaluations[Date evaluation],tbl_Partenaires_Evaluations[ID Partenaire],A85),"")</f>
        <v>0</v>
      </c>
      <c r="BA85" s="61" t="n">
        <f aca="false">IF(A85="",0,COUNTIF(tbl_Partenaires_Risques[ID Partenaire],A85))</f>
        <v>0</v>
      </c>
      <c r="BB85" s="61" t="str">
        <f aca="false">IF(A85="","",IF(COUNTIFS(tbl_Partenaires_Risques[ID Partenaire],A85,tbl_Partenaires_Risques[Niveau],"Eleve")+COUNTIFS(tbl_Partenaires_Risques[ID Partenaire],A85,tbl_Partenaires_Risques[Niveau],"Critique")&gt;0,"OUI","NON"))</f>
        <v/>
      </c>
      <c r="BC85" s="61" t="n">
        <f aca="false">IF(A85="",0,COUNTIF(tbl_Partenaires_Contacts[ID Partenaire],A85))</f>
        <v>0</v>
      </c>
      <c r="BD85" s="61" t="n">
        <f aca="false">IF(A85="",0,COUNTIFS(tbl_Partenaires_Opportunites[ID Partenaire],A85,tbl_Partenaires_Opportunites[Statut],"&lt;&gt;Cloturee"))</f>
        <v>0</v>
      </c>
      <c r="BE85" s="61" t="n">
        <f aca="false">IF(A85="",0,COUNTIF(tbl_Partenaires_Prospection[ID Partenaire],A85))</f>
        <v>0</v>
      </c>
      <c r="BF85" s="86"/>
      <c r="BG85" s="86"/>
      <c r="BH85" s="86"/>
      <c r="BI85" s="86"/>
      <c r="BJ85" s="86"/>
      <c r="BK85" s="86"/>
      <c r="BL85" s="86"/>
      <c r="BM85" s="86"/>
      <c r="BN85" s="86"/>
      <c r="BO85" s="86"/>
      <c r="BP85" s="86"/>
      <c r="BQ85" s="86"/>
      <c r="BR85" s="61" t="str">
        <f aca="false">IF(C85="","",IF(OR(COUNTIF(C56:C115,C85)&gt;1,AND(E85&lt;&gt;"",COUNTIF(E56:E115,E85)&gt;1),AND(S85&lt;&gt;"",COUNTIF(S56:S115,S85)&gt;1),AND(U85&lt;&gt;"",COUNTIF(U56:U115,U85)&gt;1)),"OUI","NON"))</f>
        <v/>
      </c>
      <c r="BS85" s="86"/>
    </row>
    <row r="86" customFormat="false" ht="15" hidden="false" customHeight="true" outlineLevel="0" collapsed="false">
      <c r="A86" s="61" t="str">
        <f aca="false">IF(C86="","","PART"&amp;TEXT(ROW()-55,"00000"))</f>
        <v/>
      </c>
      <c r="B86" s="86"/>
      <c r="C86" s="86"/>
      <c r="D86" s="86"/>
      <c r="E86" s="86"/>
      <c r="F86" s="86"/>
      <c r="G86" s="86"/>
      <c r="H86" s="86"/>
      <c r="I86" s="86"/>
      <c r="J86" s="101"/>
      <c r="K86" s="86"/>
      <c r="L86" s="86"/>
      <c r="M86" s="86"/>
      <c r="N86" s="61" t="str">
        <f aca="false">IFERROR(INDEX(PARAMETRES!$B$536:$B$586,MATCH(M86,PARAMETRES!$J$536:$J$586,0)),"")</f>
        <v/>
      </c>
      <c r="O86" s="61" t="str">
        <f aca="false">IFERROR(INDEX(PARAMETRES!$D$536:$D$586,MATCH(M86,PARAMETRES!$J$536:$J$586,0)),"")</f>
        <v/>
      </c>
      <c r="P86" s="61" t="str">
        <f aca="false">IFERROR(INDEX(PARAMETRES!$F$536:$F$586,MATCH(M86,PARAMETRES!$J$536:$J$586,0)),"")</f>
        <v/>
      </c>
      <c r="Q86" s="61" t="str">
        <f aca="false">IFERROR(INDEX(PARAMETRES!$H$536:$H$586,MATCH(M86,PARAMETRES!$J$536:$J$586,0)),"")</f>
        <v/>
      </c>
      <c r="R86" s="86"/>
      <c r="S86" s="86"/>
      <c r="T86" s="86"/>
      <c r="U86" s="86"/>
      <c r="V86" s="86"/>
      <c r="W86" s="86"/>
      <c r="X86" s="86"/>
      <c r="Y86" s="86"/>
      <c r="Z86" s="86"/>
      <c r="AA86" s="86"/>
      <c r="AB86" s="86"/>
      <c r="AC86" s="79"/>
      <c r="AD86" s="86"/>
      <c r="AE86" s="86"/>
      <c r="AF86" s="86"/>
      <c r="AG86" s="86"/>
      <c r="AH86" s="61" t="str">
        <f aca="false">IFERROR(INDEX(PARAMETRES!$B$536:$B$586,MATCH(AG86,PARAMETRES!$J$536:$J$586,0)),"")</f>
        <v/>
      </c>
      <c r="AI86" s="61" t="str">
        <f aca="false">IFERROR(INDEX(PARAMETRES!$D$536:$D$586,MATCH(AG86,PARAMETRES!$J$536:$J$586,0)),"")</f>
        <v/>
      </c>
      <c r="AJ86" s="61" t="str">
        <f aca="false">IFERROR(INDEX(PARAMETRES!$F$536:$F$586,MATCH(AG86,PARAMETRES!$J$536:$J$586,0)),"")</f>
        <v/>
      </c>
      <c r="AK86" s="61" t="str">
        <f aca="false">IFERROR(INDEX(PARAMETRES!$H$536:$H$586,MATCH(AG86,PARAMETRES!$J$536:$J$586,0)),"")</f>
        <v/>
      </c>
      <c r="AL86" s="79"/>
      <c r="AM86" s="79"/>
      <c r="AN86" s="86"/>
      <c r="AO86" s="86"/>
      <c r="AP86" s="80"/>
      <c r="AQ86" s="80"/>
      <c r="AR86" s="81" t="str">
        <f aca="false">IF(OR(AP86="",AQ86=""),"",AP86-AQ86)</f>
        <v/>
      </c>
      <c r="AS86" s="86"/>
      <c r="AT86" s="61" t="n">
        <f aca="false">IF(A86="",0,COUNTIF(tbl_Partenaires_Projets[ID Partenaire],A86))</f>
        <v>0</v>
      </c>
      <c r="AU86" s="61" t="n">
        <f aca="false">IF(A86="",0,COUNTIF(tbl_Partenaires_Conventions[ID Partenaire],A86))</f>
        <v>0</v>
      </c>
      <c r="AV86" s="61" t="n">
        <f aca="false">IF(A86="",0,COUNTIFS(tbl_Partenaires_Conventions[ID Partenaire],A86,tbl_Partenaires_Conventions[Statut],"Active"))</f>
        <v>0</v>
      </c>
      <c r="AW86" s="61" t="str">
        <f aca="false">IF(A86="","",IF(COUNTIFS(tbl_Partenaires_Conventions[ID Partenaire],A86,tbl_Partenaires_Conventions[Statut],"Active")=0,"NON",IF(_xlfn.MINIFS(tbl_Partenaires_Conventions[Date fin],tbl_Partenaires_Conventions[ID Partenaire],A86,tbl_Partenaires_Conventions[Statut],"Active")-TODAY()&lt;=60,"OUI","NON")))</f>
        <v/>
      </c>
      <c r="AX86" s="61" t="n">
        <f aca="false">IF(A86="",0,COUNTIF(tbl_Partenaires_Documents[ID Partenaire],A86))</f>
        <v>0</v>
      </c>
      <c r="AY86" s="92" t="str">
        <f aca="false">IFERROR(AVERAGEIFS(tbl_Partenaires_Evaluations[Note globale],tbl_Partenaires_Evaluations[ID Partenaire],A86),"")</f>
        <v/>
      </c>
      <c r="AZ86" s="102" t="n">
        <f aca="false">IFERROR(_xlfn.MAXIFS(tbl_Partenaires_Evaluations[Date evaluation],tbl_Partenaires_Evaluations[ID Partenaire],A86),"")</f>
        <v>0</v>
      </c>
      <c r="BA86" s="61" t="n">
        <f aca="false">IF(A86="",0,COUNTIF(tbl_Partenaires_Risques[ID Partenaire],A86))</f>
        <v>0</v>
      </c>
      <c r="BB86" s="61" t="str">
        <f aca="false">IF(A86="","",IF(COUNTIFS(tbl_Partenaires_Risques[ID Partenaire],A86,tbl_Partenaires_Risques[Niveau],"Eleve")+COUNTIFS(tbl_Partenaires_Risques[ID Partenaire],A86,tbl_Partenaires_Risques[Niveau],"Critique")&gt;0,"OUI","NON"))</f>
        <v/>
      </c>
      <c r="BC86" s="61" t="n">
        <f aca="false">IF(A86="",0,COUNTIF(tbl_Partenaires_Contacts[ID Partenaire],A86))</f>
        <v>0</v>
      </c>
      <c r="BD86" s="61" t="n">
        <f aca="false">IF(A86="",0,COUNTIFS(tbl_Partenaires_Opportunites[ID Partenaire],A86,tbl_Partenaires_Opportunites[Statut],"&lt;&gt;Cloturee"))</f>
        <v>0</v>
      </c>
      <c r="BE86" s="61" t="n">
        <f aca="false">IF(A86="",0,COUNTIF(tbl_Partenaires_Prospection[ID Partenaire],A86))</f>
        <v>0</v>
      </c>
      <c r="BF86" s="86"/>
      <c r="BG86" s="86"/>
      <c r="BH86" s="86"/>
      <c r="BI86" s="86"/>
      <c r="BJ86" s="86"/>
      <c r="BK86" s="86"/>
      <c r="BL86" s="86"/>
      <c r="BM86" s="86"/>
      <c r="BN86" s="86"/>
      <c r="BO86" s="86"/>
      <c r="BP86" s="86"/>
      <c r="BQ86" s="86"/>
      <c r="BR86" s="61" t="str">
        <f aca="false">IF(C86="","",IF(OR(COUNTIF(C56:C115,C86)&gt;1,AND(E86&lt;&gt;"",COUNTIF(E56:E115,E86)&gt;1),AND(S86&lt;&gt;"",COUNTIF(S56:S115,S86)&gt;1),AND(U86&lt;&gt;"",COUNTIF(U56:U115,U86)&gt;1)),"OUI","NON"))</f>
        <v/>
      </c>
      <c r="BS86" s="86"/>
    </row>
    <row r="87" customFormat="false" ht="15" hidden="false" customHeight="true" outlineLevel="0" collapsed="false">
      <c r="A87" s="61" t="str">
        <f aca="false">IF(C87="","","PART"&amp;TEXT(ROW()-55,"00000"))</f>
        <v/>
      </c>
      <c r="B87" s="86"/>
      <c r="C87" s="86"/>
      <c r="D87" s="86"/>
      <c r="E87" s="86"/>
      <c r="F87" s="86"/>
      <c r="G87" s="86"/>
      <c r="H87" s="86"/>
      <c r="I87" s="86"/>
      <c r="J87" s="101"/>
      <c r="K87" s="86"/>
      <c r="L87" s="86"/>
      <c r="M87" s="86"/>
      <c r="N87" s="61" t="str">
        <f aca="false">IFERROR(INDEX(PARAMETRES!$B$536:$B$586,MATCH(M87,PARAMETRES!$J$536:$J$586,0)),"")</f>
        <v/>
      </c>
      <c r="O87" s="61" t="str">
        <f aca="false">IFERROR(INDEX(PARAMETRES!$D$536:$D$586,MATCH(M87,PARAMETRES!$J$536:$J$586,0)),"")</f>
        <v/>
      </c>
      <c r="P87" s="61" t="str">
        <f aca="false">IFERROR(INDEX(PARAMETRES!$F$536:$F$586,MATCH(M87,PARAMETRES!$J$536:$J$586,0)),"")</f>
        <v/>
      </c>
      <c r="Q87" s="61" t="str">
        <f aca="false">IFERROR(INDEX(PARAMETRES!$H$536:$H$586,MATCH(M87,PARAMETRES!$J$536:$J$586,0)),"")</f>
        <v/>
      </c>
      <c r="R87" s="86"/>
      <c r="S87" s="86"/>
      <c r="T87" s="86"/>
      <c r="U87" s="86"/>
      <c r="V87" s="86"/>
      <c r="W87" s="86"/>
      <c r="X87" s="86"/>
      <c r="Y87" s="86"/>
      <c r="Z87" s="86"/>
      <c r="AA87" s="86"/>
      <c r="AB87" s="86"/>
      <c r="AC87" s="79"/>
      <c r="AD87" s="86"/>
      <c r="AE87" s="86"/>
      <c r="AF87" s="86"/>
      <c r="AG87" s="86"/>
      <c r="AH87" s="61" t="str">
        <f aca="false">IFERROR(INDEX(PARAMETRES!$B$536:$B$586,MATCH(AG87,PARAMETRES!$J$536:$J$586,0)),"")</f>
        <v/>
      </c>
      <c r="AI87" s="61" t="str">
        <f aca="false">IFERROR(INDEX(PARAMETRES!$D$536:$D$586,MATCH(AG87,PARAMETRES!$J$536:$J$586,0)),"")</f>
        <v/>
      </c>
      <c r="AJ87" s="61" t="str">
        <f aca="false">IFERROR(INDEX(PARAMETRES!$F$536:$F$586,MATCH(AG87,PARAMETRES!$J$536:$J$586,0)),"")</f>
        <v/>
      </c>
      <c r="AK87" s="61" t="str">
        <f aca="false">IFERROR(INDEX(PARAMETRES!$H$536:$H$586,MATCH(AG87,PARAMETRES!$J$536:$J$586,0)),"")</f>
        <v/>
      </c>
      <c r="AL87" s="79"/>
      <c r="AM87" s="79"/>
      <c r="AN87" s="86"/>
      <c r="AO87" s="86"/>
      <c r="AP87" s="80"/>
      <c r="AQ87" s="80"/>
      <c r="AR87" s="81" t="str">
        <f aca="false">IF(OR(AP87="",AQ87=""),"",AP87-AQ87)</f>
        <v/>
      </c>
      <c r="AS87" s="86"/>
      <c r="AT87" s="61" t="n">
        <f aca="false">IF(A87="",0,COUNTIF(tbl_Partenaires_Projets[ID Partenaire],A87))</f>
        <v>0</v>
      </c>
      <c r="AU87" s="61" t="n">
        <f aca="false">IF(A87="",0,COUNTIF(tbl_Partenaires_Conventions[ID Partenaire],A87))</f>
        <v>0</v>
      </c>
      <c r="AV87" s="61" t="n">
        <f aca="false">IF(A87="",0,COUNTIFS(tbl_Partenaires_Conventions[ID Partenaire],A87,tbl_Partenaires_Conventions[Statut],"Active"))</f>
        <v>0</v>
      </c>
      <c r="AW87" s="61" t="str">
        <f aca="false">IF(A87="","",IF(COUNTIFS(tbl_Partenaires_Conventions[ID Partenaire],A87,tbl_Partenaires_Conventions[Statut],"Active")=0,"NON",IF(_xlfn.MINIFS(tbl_Partenaires_Conventions[Date fin],tbl_Partenaires_Conventions[ID Partenaire],A87,tbl_Partenaires_Conventions[Statut],"Active")-TODAY()&lt;=60,"OUI","NON")))</f>
        <v/>
      </c>
      <c r="AX87" s="61" t="n">
        <f aca="false">IF(A87="",0,COUNTIF(tbl_Partenaires_Documents[ID Partenaire],A87))</f>
        <v>0</v>
      </c>
      <c r="AY87" s="92" t="str">
        <f aca="false">IFERROR(AVERAGEIFS(tbl_Partenaires_Evaluations[Note globale],tbl_Partenaires_Evaluations[ID Partenaire],A87),"")</f>
        <v/>
      </c>
      <c r="AZ87" s="102" t="n">
        <f aca="false">IFERROR(_xlfn.MAXIFS(tbl_Partenaires_Evaluations[Date evaluation],tbl_Partenaires_Evaluations[ID Partenaire],A87),"")</f>
        <v>0</v>
      </c>
      <c r="BA87" s="61" t="n">
        <f aca="false">IF(A87="",0,COUNTIF(tbl_Partenaires_Risques[ID Partenaire],A87))</f>
        <v>0</v>
      </c>
      <c r="BB87" s="61" t="str">
        <f aca="false">IF(A87="","",IF(COUNTIFS(tbl_Partenaires_Risques[ID Partenaire],A87,tbl_Partenaires_Risques[Niveau],"Eleve")+COUNTIFS(tbl_Partenaires_Risques[ID Partenaire],A87,tbl_Partenaires_Risques[Niveau],"Critique")&gt;0,"OUI","NON"))</f>
        <v/>
      </c>
      <c r="BC87" s="61" t="n">
        <f aca="false">IF(A87="",0,COUNTIF(tbl_Partenaires_Contacts[ID Partenaire],A87))</f>
        <v>0</v>
      </c>
      <c r="BD87" s="61" t="n">
        <f aca="false">IF(A87="",0,COUNTIFS(tbl_Partenaires_Opportunites[ID Partenaire],A87,tbl_Partenaires_Opportunites[Statut],"&lt;&gt;Cloturee"))</f>
        <v>0</v>
      </c>
      <c r="BE87" s="61" t="n">
        <f aca="false">IF(A87="",0,COUNTIF(tbl_Partenaires_Prospection[ID Partenaire],A87))</f>
        <v>0</v>
      </c>
      <c r="BF87" s="86"/>
      <c r="BG87" s="86"/>
      <c r="BH87" s="86"/>
      <c r="BI87" s="86"/>
      <c r="BJ87" s="86"/>
      <c r="BK87" s="86"/>
      <c r="BL87" s="86"/>
      <c r="BM87" s="86"/>
      <c r="BN87" s="86"/>
      <c r="BO87" s="86"/>
      <c r="BP87" s="86"/>
      <c r="BQ87" s="86"/>
      <c r="BR87" s="61" t="str">
        <f aca="false">IF(C87="","",IF(OR(COUNTIF(C56:C115,C87)&gt;1,AND(E87&lt;&gt;"",COUNTIF(E56:E115,E87)&gt;1),AND(S87&lt;&gt;"",COUNTIF(S56:S115,S87)&gt;1),AND(U87&lt;&gt;"",COUNTIF(U56:U115,U87)&gt;1)),"OUI","NON"))</f>
        <v/>
      </c>
      <c r="BS87" s="86"/>
    </row>
    <row r="88" customFormat="false" ht="15" hidden="false" customHeight="true" outlineLevel="0" collapsed="false">
      <c r="A88" s="61" t="str">
        <f aca="false">IF(C88="","","PART"&amp;TEXT(ROW()-55,"00000"))</f>
        <v/>
      </c>
      <c r="B88" s="86"/>
      <c r="C88" s="86"/>
      <c r="D88" s="86"/>
      <c r="E88" s="86"/>
      <c r="F88" s="86"/>
      <c r="G88" s="86"/>
      <c r="H88" s="86"/>
      <c r="I88" s="86"/>
      <c r="J88" s="101"/>
      <c r="K88" s="86"/>
      <c r="L88" s="86"/>
      <c r="M88" s="86"/>
      <c r="N88" s="61" t="str">
        <f aca="false">IFERROR(INDEX(PARAMETRES!$B$536:$B$586,MATCH(M88,PARAMETRES!$J$536:$J$586,0)),"")</f>
        <v/>
      </c>
      <c r="O88" s="61" t="str">
        <f aca="false">IFERROR(INDEX(PARAMETRES!$D$536:$D$586,MATCH(M88,PARAMETRES!$J$536:$J$586,0)),"")</f>
        <v/>
      </c>
      <c r="P88" s="61" t="str">
        <f aca="false">IFERROR(INDEX(PARAMETRES!$F$536:$F$586,MATCH(M88,PARAMETRES!$J$536:$J$586,0)),"")</f>
        <v/>
      </c>
      <c r="Q88" s="61" t="str">
        <f aca="false">IFERROR(INDEX(PARAMETRES!$H$536:$H$586,MATCH(M88,PARAMETRES!$J$536:$J$586,0)),"")</f>
        <v/>
      </c>
      <c r="R88" s="86"/>
      <c r="S88" s="86"/>
      <c r="T88" s="86"/>
      <c r="U88" s="86"/>
      <c r="V88" s="86"/>
      <c r="W88" s="86"/>
      <c r="X88" s="86"/>
      <c r="Y88" s="86"/>
      <c r="Z88" s="86"/>
      <c r="AA88" s="86"/>
      <c r="AB88" s="86"/>
      <c r="AC88" s="79"/>
      <c r="AD88" s="86"/>
      <c r="AE88" s="86"/>
      <c r="AF88" s="86"/>
      <c r="AG88" s="86"/>
      <c r="AH88" s="61" t="str">
        <f aca="false">IFERROR(INDEX(PARAMETRES!$B$536:$B$586,MATCH(AG88,PARAMETRES!$J$536:$J$586,0)),"")</f>
        <v/>
      </c>
      <c r="AI88" s="61" t="str">
        <f aca="false">IFERROR(INDEX(PARAMETRES!$D$536:$D$586,MATCH(AG88,PARAMETRES!$J$536:$J$586,0)),"")</f>
        <v/>
      </c>
      <c r="AJ88" s="61" t="str">
        <f aca="false">IFERROR(INDEX(PARAMETRES!$F$536:$F$586,MATCH(AG88,PARAMETRES!$J$536:$J$586,0)),"")</f>
        <v/>
      </c>
      <c r="AK88" s="61" t="str">
        <f aca="false">IFERROR(INDEX(PARAMETRES!$H$536:$H$586,MATCH(AG88,PARAMETRES!$J$536:$J$586,0)),"")</f>
        <v/>
      </c>
      <c r="AL88" s="79"/>
      <c r="AM88" s="79"/>
      <c r="AN88" s="86"/>
      <c r="AO88" s="86"/>
      <c r="AP88" s="80"/>
      <c r="AQ88" s="80"/>
      <c r="AR88" s="81" t="str">
        <f aca="false">IF(OR(AP88="",AQ88=""),"",AP88-AQ88)</f>
        <v/>
      </c>
      <c r="AS88" s="86"/>
      <c r="AT88" s="61" t="n">
        <f aca="false">IF(A88="",0,COUNTIF(tbl_Partenaires_Projets[ID Partenaire],A88))</f>
        <v>0</v>
      </c>
      <c r="AU88" s="61" t="n">
        <f aca="false">IF(A88="",0,COUNTIF(tbl_Partenaires_Conventions[ID Partenaire],A88))</f>
        <v>0</v>
      </c>
      <c r="AV88" s="61" t="n">
        <f aca="false">IF(A88="",0,COUNTIFS(tbl_Partenaires_Conventions[ID Partenaire],A88,tbl_Partenaires_Conventions[Statut],"Active"))</f>
        <v>0</v>
      </c>
      <c r="AW88" s="61" t="str">
        <f aca="false">IF(A88="","",IF(COUNTIFS(tbl_Partenaires_Conventions[ID Partenaire],A88,tbl_Partenaires_Conventions[Statut],"Active")=0,"NON",IF(_xlfn.MINIFS(tbl_Partenaires_Conventions[Date fin],tbl_Partenaires_Conventions[ID Partenaire],A88,tbl_Partenaires_Conventions[Statut],"Active")-TODAY()&lt;=60,"OUI","NON")))</f>
        <v/>
      </c>
      <c r="AX88" s="61" t="n">
        <f aca="false">IF(A88="",0,COUNTIF(tbl_Partenaires_Documents[ID Partenaire],A88))</f>
        <v>0</v>
      </c>
      <c r="AY88" s="92" t="str">
        <f aca="false">IFERROR(AVERAGEIFS(tbl_Partenaires_Evaluations[Note globale],tbl_Partenaires_Evaluations[ID Partenaire],A88),"")</f>
        <v/>
      </c>
      <c r="AZ88" s="102" t="n">
        <f aca="false">IFERROR(_xlfn.MAXIFS(tbl_Partenaires_Evaluations[Date evaluation],tbl_Partenaires_Evaluations[ID Partenaire],A88),"")</f>
        <v>0</v>
      </c>
      <c r="BA88" s="61" t="n">
        <f aca="false">IF(A88="",0,COUNTIF(tbl_Partenaires_Risques[ID Partenaire],A88))</f>
        <v>0</v>
      </c>
      <c r="BB88" s="61" t="str">
        <f aca="false">IF(A88="","",IF(COUNTIFS(tbl_Partenaires_Risques[ID Partenaire],A88,tbl_Partenaires_Risques[Niveau],"Eleve")+COUNTIFS(tbl_Partenaires_Risques[ID Partenaire],A88,tbl_Partenaires_Risques[Niveau],"Critique")&gt;0,"OUI","NON"))</f>
        <v/>
      </c>
      <c r="BC88" s="61" t="n">
        <f aca="false">IF(A88="",0,COUNTIF(tbl_Partenaires_Contacts[ID Partenaire],A88))</f>
        <v>0</v>
      </c>
      <c r="BD88" s="61" t="n">
        <f aca="false">IF(A88="",0,COUNTIFS(tbl_Partenaires_Opportunites[ID Partenaire],A88,tbl_Partenaires_Opportunites[Statut],"&lt;&gt;Cloturee"))</f>
        <v>0</v>
      </c>
      <c r="BE88" s="61" t="n">
        <f aca="false">IF(A88="",0,COUNTIF(tbl_Partenaires_Prospection[ID Partenaire],A88))</f>
        <v>0</v>
      </c>
      <c r="BF88" s="86"/>
      <c r="BG88" s="86"/>
      <c r="BH88" s="86"/>
      <c r="BI88" s="86"/>
      <c r="BJ88" s="86"/>
      <c r="BK88" s="86"/>
      <c r="BL88" s="86"/>
      <c r="BM88" s="86"/>
      <c r="BN88" s="86"/>
      <c r="BO88" s="86"/>
      <c r="BP88" s="86"/>
      <c r="BQ88" s="86"/>
      <c r="BR88" s="61" t="str">
        <f aca="false">IF(C88="","",IF(OR(COUNTIF(C56:C115,C88)&gt;1,AND(E88&lt;&gt;"",COUNTIF(E56:E115,E88)&gt;1),AND(S88&lt;&gt;"",COUNTIF(S56:S115,S88)&gt;1),AND(U88&lt;&gt;"",COUNTIF(U56:U115,U88)&gt;1)),"OUI","NON"))</f>
        <v/>
      </c>
      <c r="BS88" s="86"/>
    </row>
    <row r="89" customFormat="false" ht="15" hidden="false" customHeight="true" outlineLevel="0" collapsed="false">
      <c r="A89" s="61" t="str">
        <f aca="false">IF(C89="","","PART"&amp;TEXT(ROW()-55,"00000"))</f>
        <v/>
      </c>
      <c r="B89" s="86"/>
      <c r="C89" s="86"/>
      <c r="D89" s="86"/>
      <c r="E89" s="86"/>
      <c r="F89" s="86"/>
      <c r="G89" s="86"/>
      <c r="H89" s="86"/>
      <c r="I89" s="86"/>
      <c r="J89" s="101"/>
      <c r="K89" s="86"/>
      <c r="L89" s="86"/>
      <c r="M89" s="86"/>
      <c r="N89" s="61" t="str">
        <f aca="false">IFERROR(INDEX(PARAMETRES!$B$536:$B$586,MATCH(M89,PARAMETRES!$J$536:$J$586,0)),"")</f>
        <v/>
      </c>
      <c r="O89" s="61" t="str">
        <f aca="false">IFERROR(INDEX(PARAMETRES!$D$536:$D$586,MATCH(M89,PARAMETRES!$J$536:$J$586,0)),"")</f>
        <v/>
      </c>
      <c r="P89" s="61" t="str">
        <f aca="false">IFERROR(INDEX(PARAMETRES!$F$536:$F$586,MATCH(M89,PARAMETRES!$J$536:$J$586,0)),"")</f>
        <v/>
      </c>
      <c r="Q89" s="61" t="str">
        <f aca="false">IFERROR(INDEX(PARAMETRES!$H$536:$H$586,MATCH(M89,PARAMETRES!$J$536:$J$586,0)),"")</f>
        <v/>
      </c>
      <c r="R89" s="86"/>
      <c r="S89" s="86"/>
      <c r="T89" s="86"/>
      <c r="U89" s="86"/>
      <c r="V89" s="86"/>
      <c r="W89" s="86"/>
      <c r="X89" s="86"/>
      <c r="Y89" s="86"/>
      <c r="Z89" s="86"/>
      <c r="AA89" s="86"/>
      <c r="AB89" s="86"/>
      <c r="AC89" s="79"/>
      <c r="AD89" s="86"/>
      <c r="AE89" s="86"/>
      <c r="AF89" s="86"/>
      <c r="AG89" s="86"/>
      <c r="AH89" s="61" t="str">
        <f aca="false">IFERROR(INDEX(PARAMETRES!$B$536:$B$586,MATCH(AG89,PARAMETRES!$J$536:$J$586,0)),"")</f>
        <v/>
      </c>
      <c r="AI89" s="61" t="str">
        <f aca="false">IFERROR(INDEX(PARAMETRES!$D$536:$D$586,MATCH(AG89,PARAMETRES!$J$536:$J$586,0)),"")</f>
        <v/>
      </c>
      <c r="AJ89" s="61" t="str">
        <f aca="false">IFERROR(INDEX(PARAMETRES!$F$536:$F$586,MATCH(AG89,PARAMETRES!$J$536:$J$586,0)),"")</f>
        <v/>
      </c>
      <c r="AK89" s="61" t="str">
        <f aca="false">IFERROR(INDEX(PARAMETRES!$H$536:$H$586,MATCH(AG89,PARAMETRES!$J$536:$J$586,0)),"")</f>
        <v/>
      </c>
      <c r="AL89" s="79"/>
      <c r="AM89" s="79"/>
      <c r="AN89" s="86"/>
      <c r="AO89" s="86"/>
      <c r="AP89" s="80"/>
      <c r="AQ89" s="80"/>
      <c r="AR89" s="81" t="str">
        <f aca="false">IF(OR(AP89="",AQ89=""),"",AP89-AQ89)</f>
        <v/>
      </c>
      <c r="AS89" s="86"/>
      <c r="AT89" s="61" t="n">
        <f aca="false">IF(A89="",0,COUNTIF(tbl_Partenaires_Projets[ID Partenaire],A89))</f>
        <v>0</v>
      </c>
      <c r="AU89" s="61" t="n">
        <f aca="false">IF(A89="",0,COUNTIF(tbl_Partenaires_Conventions[ID Partenaire],A89))</f>
        <v>0</v>
      </c>
      <c r="AV89" s="61" t="n">
        <f aca="false">IF(A89="",0,COUNTIFS(tbl_Partenaires_Conventions[ID Partenaire],A89,tbl_Partenaires_Conventions[Statut],"Active"))</f>
        <v>0</v>
      </c>
      <c r="AW89" s="61" t="str">
        <f aca="false">IF(A89="","",IF(COUNTIFS(tbl_Partenaires_Conventions[ID Partenaire],A89,tbl_Partenaires_Conventions[Statut],"Active")=0,"NON",IF(_xlfn.MINIFS(tbl_Partenaires_Conventions[Date fin],tbl_Partenaires_Conventions[ID Partenaire],A89,tbl_Partenaires_Conventions[Statut],"Active")-TODAY()&lt;=60,"OUI","NON")))</f>
        <v/>
      </c>
      <c r="AX89" s="61" t="n">
        <f aca="false">IF(A89="",0,COUNTIF(tbl_Partenaires_Documents[ID Partenaire],A89))</f>
        <v>0</v>
      </c>
      <c r="AY89" s="92" t="str">
        <f aca="false">IFERROR(AVERAGEIFS(tbl_Partenaires_Evaluations[Note globale],tbl_Partenaires_Evaluations[ID Partenaire],A89),"")</f>
        <v/>
      </c>
      <c r="AZ89" s="102" t="n">
        <f aca="false">IFERROR(_xlfn.MAXIFS(tbl_Partenaires_Evaluations[Date evaluation],tbl_Partenaires_Evaluations[ID Partenaire],A89),"")</f>
        <v>0</v>
      </c>
      <c r="BA89" s="61" t="n">
        <f aca="false">IF(A89="",0,COUNTIF(tbl_Partenaires_Risques[ID Partenaire],A89))</f>
        <v>0</v>
      </c>
      <c r="BB89" s="61" t="str">
        <f aca="false">IF(A89="","",IF(COUNTIFS(tbl_Partenaires_Risques[ID Partenaire],A89,tbl_Partenaires_Risques[Niveau],"Eleve")+COUNTIFS(tbl_Partenaires_Risques[ID Partenaire],A89,tbl_Partenaires_Risques[Niveau],"Critique")&gt;0,"OUI","NON"))</f>
        <v/>
      </c>
      <c r="BC89" s="61" t="n">
        <f aca="false">IF(A89="",0,COUNTIF(tbl_Partenaires_Contacts[ID Partenaire],A89))</f>
        <v>0</v>
      </c>
      <c r="BD89" s="61" t="n">
        <f aca="false">IF(A89="",0,COUNTIFS(tbl_Partenaires_Opportunites[ID Partenaire],A89,tbl_Partenaires_Opportunites[Statut],"&lt;&gt;Cloturee"))</f>
        <v>0</v>
      </c>
      <c r="BE89" s="61" t="n">
        <f aca="false">IF(A89="",0,COUNTIF(tbl_Partenaires_Prospection[ID Partenaire],A89))</f>
        <v>0</v>
      </c>
      <c r="BF89" s="86"/>
      <c r="BG89" s="86"/>
      <c r="BH89" s="86"/>
      <c r="BI89" s="86"/>
      <c r="BJ89" s="86"/>
      <c r="BK89" s="86"/>
      <c r="BL89" s="86"/>
      <c r="BM89" s="86"/>
      <c r="BN89" s="86"/>
      <c r="BO89" s="86"/>
      <c r="BP89" s="86"/>
      <c r="BQ89" s="86"/>
      <c r="BR89" s="61" t="str">
        <f aca="false">IF(C89="","",IF(OR(COUNTIF(C56:C115,C89)&gt;1,AND(E89&lt;&gt;"",COUNTIF(E56:E115,E89)&gt;1),AND(S89&lt;&gt;"",COUNTIF(S56:S115,S89)&gt;1),AND(U89&lt;&gt;"",COUNTIF(U56:U115,U89)&gt;1)),"OUI","NON"))</f>
        <v/>
      </c>
      <c r="BS89" s="86"/>
    </row>
    <row r="90" customFormat="false" ht="15" hidden="false" customHeight="true" outlineLevel="0" collapsed="false">
      <c r="A90" s="61" t="str">
        <f aca="false">IF(C90="","","PART"&amp;TEXT(ROW()-55,"00000"))</f>
        <v/>
      </c>
      <c r="B90" s="86"/>
      <c r="C90" s="86"/>
      <c r="D90" s="86"/>
      <c r="E90" s="86"/>
      <c r="F90" s="86"/>
      <c r="G90" s="86"/>
      <c r="H90" s="86"/>
      <c r="I90" s="86"/>
      <c r="J90" s="101"/>
      <c r="K90" s="86"/>
      <c r="L90" s="86"/>
      <c r="M90" s="86"/>
      <c r="N90" s="61" t="str">
        <f aca="false">IFERROR(INDEX(PARAMETRES!$B$536:$B$586,MATCH(M90,PARAMETRES!$J$536:$J$586,0)),"")</f>
        <v/>
      </c>
      <c r="O90" s="61" t="str">
        <f aca="false">IFERROR(INDEX(PARAMETRES!$D$536:$D$586,MATCH(M90,PARAMETRES!$J$536:$J$586,0)),"")</f>
        <v/>
      </c>
      <c r="P90" s="61" t="str">
        <f aca="false">IFERROR(INDEX(PARAMETRES!$F$536:$F$586,MATCH(M90,PARAMETRES!$J$536:$J$586,0)),"")</f>
        <v/>
      </c>
      <c r="Q90" s="61" t="str">
        <f aca="false">IFERROR(INDEX(PARAMETRES!$H$536:$H$586,MATCH(M90,PARAMETRES!$J$536:$J$586,0)),"")</f>
        <v/>
      </c>
      <c r="R90" s="86"/>
      <c r="S90" s="86"/>
      <c r="T90" s="86"/>
      <c r="U90" s="86"/>
      <c r="V90" s="86"/>
      <c r="W90" s="86"/>
      <c r="X90" s="86"/>
      <c r="Y90" s="86"/>
      <c r="Z90" s="86"/>
      <c r="AA90" s="86"/>
      <c r="AB90" s="86"/>
      <c r="AC90" s="79"/>
      <c r="AD90" s="86"/>
      <c r="AE90" s="86"/>
      <c r="AF90" s="86"/>
      <c r="AG90" s="86"/>
      <c r="AH90" s="61" t="str">
        <f aca="false">IFERROR(INDEX(PARAMETRES!$B$536:$B$586,MATCH(AG90,PARAMETRES!$J$536:$J$586,0)),"")</f>
        <v/>
      </c>
      <c r="AI90" s="61" t="str">
        <f aca="false">IFERROR(INDEX(PARAMETRES!$D$536:$D$586,MATCH(AG90,PARAMETRES!$J$536:$J$586,0)),"")</f>
        <v/>
      </c>
      <c r="AJ90" s="61" t="str">
        <f aca="false">IFERROR(INDEX(PARAMETRES!$F$536:$F$586,MATCH(AG90,PARAMETRES!$J$536:$J$586,0)),"")</f>
        <v/>
      </c>
      <c r="AK90" s="61" t="str">
        <f aca="false">IFERROR(INDEX(PARAMETRES!$H$536:$H$586,MATCH(AG90,PARAMETRES!$J$536:$J$586,0)),"")</f>
        <v/>
      </c>
      <c r="AL90" s="79"/>
      <c r="AM90" s="79"/>
      <c r="AN90" s="86"/>
      <c r="AO90" s="86"/>
      <c r="AP90" s="80"/>
      <c r="AQ90" s="80"/>
      <c r="AR90" s="81" t="str">
        <f aca="false">IF(OR(AP90="",AQ90=""),"",AP90-AQ90)</f>
        <v/>
      </c>
      <c r="AS90" s="86"/>
      <c r="AT90" s="61" t="n">
        <f aca="false">IF(A90="",0,COUNTIF(tbl_Partenaires_Projets[ID Partenaire],A90))</f>
        <v>0</v>
      </c>
      <c r="AU90" s="61" t="n">
        <f aca="false">IF(A90="",0,COUNTIF(tbl_Partenaires_Conventions[ID Partenaire],A90))</f>
        <v>0</v>
      </c>
      <c r="AV90" s="61" t="n">
        <f aca="false">IF(A90="",0,COUNTIFS(tbl_Partenaires_Conventions[ID Partenaire],A90,tbl_Partenaires_Conventions[Statut],"Active"))</f>
        <v>0</v>
      </c>
      <c r="AW90" s="61" t="str">
        <f aca="false">IF(A90="","",IF(COUNTIFS(tbl_Partenaires_Conventions[ID Partenaire],A90,tbl_Partenaires_Conventions[Statut],"Active")=0,"NON",IF(_xlfn.MINIFS(tbl_Partenaires_Conventions[Date fin],tbl_Partenaires_Conventions[ID Partenaire],A90,tbl_Partenaires_Conventions[Statut],"Active")-TODAY()&lt;=60,"OUI","NON")))</f>
        <v/>
      </c>
      <c r="AX90" s="61" t="n">
        <f aca="false">IF(A90="",0,COUNTIF(tbl_Partenaires_Documents[ID Partenaire],A90))</f>
        <v>0</v>
      </c>
      <c r="AY90" s="92" t="str">
        <f aca="false">IFERROR(AVERAGEIFS(tbl_Partenaires_Evaluations[Note globale],tbl_Partenaires_Evaluations[ID Partenaire],A90),"")</f>
        <v/>
      </c>
      <c r="AZ90" s="102" t="n">
        <f aca="false">IFERROR(_xlfn.MAXIFS(tbl_Partenaires_Evaluations[Date evaluation],tbl_Partenaires_Evaluations[ID Partenaire],A90),"")</f>
        <v>0</v>
      </c>
      <c r="BA90" s="61" t="n">
        <f aca="false">IF(A90="",0,COUNTIF(tbl_Partenaires_Risques[ID Partenaire],A90))</f>
        <v>0</v>
      </c>
      <c r="BB90" s="61" t="str">
        <f aca="false">IF(A90="","",IF(COUNTIFS(tbl_Partenaires_Risques[ID Partenaire],A90,tbl_Partenaires_Risques[Niveau],"Eleve")+COUNTIFS(tbl_Partenaires_Risques[ID Partenaire],A90,tbl_Partenaires_Risques[Niveau],"Critique")&gt;0,"OUI","NON"))</f>
        <v/>
      </c>
      <c r="BC90" s="61" t="n">
        <f aca="false">IF(A90="",0,COUNTIF(tbl_Partenaires_Contacts[ID Partenaire],A90))</f>
        <v>0</v>
      </c>
      <c r="BD90" s="61" t="n">
        <f aca="false">IF(A90="",0,COUNTIFS(tbl_Partenaires_Opportunites[ID Partenaire],A90,tbl_Partenaires_Opportunites[Statut],"&lt;&gt;Cloturee"))</f>
        <v>0</v>
      </c>
      <c r="BE90" s="61" t="n">
        <f aca="false">IF(A90="",0,COUNTIF(tbl_Partenaires_Prospection[ID Partenaire],A90))</f>
        <v>0</v>
      </c>
      <c r="BF90" s="86"/>
      <c r="BG90" s="86"/>
      <c r="BH90" s="86"/>
      <c r="BI90" s="86"/>
      <c r="BJ90" s="86"/>
      <c r="BK90" s="86"/>
      <c r="BL90" s="86"/>
      <c r="BM90" s="86"/>
      <c r="BN90" s="86"/>
      <c r="BO90" s="86"/>
      <c r="BP90" s="86"/>
      <c r="BQ90" s="86"/>
      <c r="BR90" s="61" t="str">
        <f aca="false">IF(C90="","",IF(OR(COUNTIF(C56:C115,C90)&gt;1,AND(E90&lt;&gt;"",COUNTIF(E56:E115,E90)&gt;1),AND(S90&lt;&gt;"",COUNTIF(S56:S115,S90)&gt;1),AND(U90&lt;&gt;"",COUNTIF(U56:U115,U90)&gt;1)),"OUI","NON"))</f>
        <v/>
      </c>
      <c r="BS90" s="86"/>
    </row>
    <row r="91" customFormat="false" ht="15" hidden="false" customHeight="true" outlineLevel="0" collapsed="false">
      <c r="A91" s="61" t="str">
        <f aca="false">IF(C91="","","PART"&amp;TEXT(ROW()-55,"00000"))</f>
        <v/>
      </c>
      <c r="B91" s="86"/>
      <c r="C91" s="86"/>
      <c r="D91" s="86"/>
      <c r="E91" s="86"/>
      <c r="F91" s="86"/>
      <c r="G91" s="86"/>
      <c r="H91" s="86"/>
      <c r="I91" s="86"/>
      <c r="J91" s="101"/>
      <c r="K91" s="86"/>
      <c r="L91" s="86"/>
      <c r="M91" s="86"/>
      <c r="N91" s="61" t="str">
        <f aca="false">IFERROR(INDEX(PARAMETRES!$B$536:$B$586,MATCH(M91,PARAMETRES!$J$536:$J$586,0)),"")</f>
        <v/>
      </c>
      <c r="O91" s="61" t="str">
        <f aca="false">IFERROR(INDEX(PARAMETRES!$D$536:$D$586,MATCH(M91,PARAMETRES!$J$536:$J$586,0)),"")</f>
        <v/>
      </c>
      <c r="P91" s="61" t="str">
        <f aca="false">IFERROR(INDEX(PARAMETRES!$F$536:$F$586,MATCH(M91,PARAMETRES!$J$536:$J$586,0)),"")</f>
        <v/>
      </c>
      <c r="Q91" s="61" t="str">
        <f aca="false">IFERROR(INDEX(PARAMETRES!$H$536:$H$586,MATCH(M91,PARAMETRES!$J$536:$J$586,0)),"")</f>
        <v/>
      </c>
      <c r="R91" s="86"/>
      <c r="S91" s="86"/>
      <c r="T91" s="86"/>
      <c r="U91" s="86"/>
      <c r="V91" s="86"/>
      <c r="W91" s="86"/>
      <c r="X91" s="86"/>
      <c r="Y91" s="86"/>
      <c r="Z91" s="86"/>
      <c r="AA91" s="86"/>
      <c r="AB91" s="86"/>
      <c r="AC91" s="79"/>
      <c r="AD91" s="86"/>
      <c r="AE91" s="86"/>
      <c r="AF91" s="86"/>
      <c r="AG91" s="86"/>
      <c r="AH91" s="61" t="str">
        <f aca="false">IFERROR(INDEX(PARAMETRES!$B$536:$B$586,MATCH(AG91,PARAMETRES!$J$536:$J$586,0)),"")</f>
        <v/>
      </c>
      <c r="AI91" s="61" t="str">
        <f aca="false">IFERROR(INDEX(PARAMETRES!$D$536:$D$586,MATCH(AG91,PARAMETRES!$J$536:$J$586,0)),"")</f>
        <v/>
      </c>
      <c r="AJ91" s="61" t="str">
        <f aca="false">IFERROR(INDEX(PARAMETRES!$F$536:$F$586,MATCH(AG91,PARAMETRES!$J$536:$J$586,0)),"")</f>
        <v/>
      </c>
      <c r="AK91" s="61" t="str">
        <f aca="false">IFERROR(INDEX(PARAMETRES!$H$536:$H$586,MATCH(AG91,PARAMETRES!$J$536:$J$586,0)),"")</f>
        <v/>
      </c>
      <c r="AL91" s="79"/>
      <c r="AM91" s="79"/>
      <c r="AN91" s="86"/>
      <c r="AO91" s="86"/>
      <c r="AP91" s="80"/>
      <c r="AQ91" s="80"/>
      <c r="AR91" s="81" t="str">
        <f aca="false">IF(OR(AP91="",AQ91=""),"",AP91-AQ91)</f>
        <v/>
      </c>
      <c r="AS91" s="86"/>
      <c r="AT91" s="61" t="n">
        <f aca="false">IF(A91="",0,COUNTIF(tbl_Partenaires_Projets[ID Partenaire],A91))</f>
        <v>0</v>
      </c>
      <c r="AU91" s="61" t="n">
        <f aca="false">IF(A91="",0,COUNTIF(tbl_Partenaires_Conventions[ID Partenaire],A91))</f>
        <v>0</v>
      </c>
      <c r="AV91" s="61" t="n">
        <f aca="false">IF(A91="",0,COUNTIFS(tbl_Partenaires_Conventions[ID Partenaire],A91,tbl_Partenaires_Conventions[Statut],"Active"))</f>
        <v>0</v>
      </c>
      <c r="AW91" s="61" t="str">
        <f aca="false">IF(A91="","",IF(COUNTIFS(tbl_Partenaires_Conventions[ID Partenaire],A91,tbl_Partenaires_Conventions[Statut],"Active")=0,"NON",IF(_xlfn.MINIFS(tbl_Partenaires_Conventions[Date fin],tbl_Partenaires_Conventions[ID Partenaire],A91,tbl_Partenaires_Conventions[Statut],"Active")-TODAY()&lt;=60,"OUI","NON")))</f>
        <v/>
      </c>
      <c r="AX91" s="61" t="n">
        <f aca="false">IF(A91="",0,COUNTIF(tbl_Partenaires_Documents[ID Partenaire],A91))</f>
        <v>0</v>
      </c>
      <c r="AY91" s="92" t="str">
        <f aca="false">IFERROR(AVERAGEIFS(tbl_Partenaires_Evaluations[Note globale],tbl_Partenaires_Evaluations[ID Partenaire],A91),"")</f>
        <v/>
      </c>
      <c r="AZ91" s="102" t="n">
        <f aca="false">IFERROR(_xlfn.MAXIFS(tbl_Partenaires_Evaluations[Date evaluation],tbl_Partenaires_Evaluations[ID Partenaire],A91),"")</f>
        <v>0</v>
      </c>
      <c r="BA91" s="61" t="n">
        <f aca="false">IF(A91="",0,COUNTIF(tbl_Partenaires_Risques[ID Partenaire],A91))</f>
        <v>0</v>
      </c>
      <c r="BB91" s="61" t="str">
        <f aca="false">IF(A91="","",IF(COUNTIFS(tbl_Partenaires_Risques[ID Partenaire],A91,tbl_Partenaires_Risques[Niveau],"Eleve")+COUNTIFS(tbl_Partenaires_Risques[ID Partenaire],A91,tbl_Partenaires_Risques[Niveau],"Critique")&gt;0,"OUI","NON"))</f>
        <v/>
      </c>
      <c r="BC91" s="61" t="n">
        <f aca="false">IF(A91="",0,COUNTIF(tbl_Partenaires_Contacts[ID Partenaire],A91))</f>
        <v>0</v>
      </c>
      <c r="BD91" s="61" t="n">
        <f aca="false">IF(A91="",0,COUNTIFS(tbl_Partenaires_Opportunites[ID Partenaire],A91,tbl_Partenaires_Opportunites[Statut],"&lt;&gt;Cloturee"))</f>
        <v>0</v>
      </c>
      <c r="BE91" s="61" t="n">
        <f aca="false">IF(A91="",0,COUNTIF(tbl_Partenaires_Prospection[ID Partenaire],A91))</f>
        <v>0</v>
      </c>
      <c r="BF91" s="86"/>
      <c r="BG91" s="86"/>
      <c r="BH91" s="86"/>
      <c r="BI91" s="86"/>
      <c r="BJ91" s="86"/>
      <c r="BK91" s="86"/>
      <c r="BL91" s="86"/>
      <c r="BM91" s="86"/>
      <c r="BN91" s="86"/>
      <c r="BO91" s="86"/>
      <c r="BP91" s="86"/>
      <c r="BQ91" s="86"/>
      <c r="BR91" s="61" t="str">
        <f aca="false">IF(C91="","",IF(OR(COUNTIF(C56:C115,C91)&gt;1,AND(E91&lt;&gt;"",COUNTIF(E56:E115,E91)&gt;1),AND(S91&lt;&gt;"",COUNTIF(S56:S115,S91)&gt;1),AND(U91&lt;&gt;"",COUNTIF(U56:U115,U91)&gt;1)),"OUI","NON"))</f>
        <v/>
      </c>
      <c r="BS91" s="86"/>
    </row>
    <row r="92" customFormat="false" ht="15" hidden="false" customHeight="true" outlineLevel="0" collapsed="false">
      <c r="A92" s="61" t="str">
        <f aca="false">IF(C92="","","PART"&amp;TEXT(ROW()-55,"00000"))</f>
        <v/>
      </c>
      <c r="B92" s="86"/>
      <c r="C92" s="86"/>
      <c r="D92" s="86"/>
      <c r="E92" s="86"/>
      <c r="F92" s="86"/>
      <c r="G92" s="86"/>
      <c r="H92" s="86"/>
      <c r="I92" s="86"/>
      <c r="J92" s="101"/>
      <c r="K92" s="86"/>
      <c r="L92" s="86"/>
      <c r="M92" s="86"/>
      <c r="N92" s="61" t="str">
        <f aca="false">IFERROR(INDEX(PARAMETRES!$B$536:$B$586,MATCH(M92,PARAMETRES!$J$536:$J$586,0)),"")</f>
        <v/>
      </c>
      <c r="O92" s="61" t="str">
        <f aca="false">IFERROR(INDEX(PARAMETRES!$D$536:$D$586,MATCH(M92,PARAMETRES!$J$536:$J$586,0)),"")</f>
        <v/>
      </c>
      <c r="P92" s="61" t="str">
        <f aca="false">IFERROR(INDEX(PARAMETRES!$F$536:$F$586,MATCH(M92,PARAMETRES!$J$536:$J$586,0)),"")</f>
        <v/>
      </c>
      <c r="Q92" s="61" t="str">
        <f aca="false">IFERROR(INDEX(PARAMETRES!$H$536:$H$586,MATCH(M92,PARAMETRES!$J$536:$J$586,0)),"")</f>
        <v/>
      </c>
      <c r="R92" s="86"/>
      <c r="S92" s="86"/>
      <c r="T92" s="86"/>
      <c r="U92" s="86"/>
      <c r="V92" s="86"/>
      <c r="W92" s="86"/>
      <c r="X92" s="86"/>
      <c r="Y92" s="86"/>
      <c r="Z92" s="86"/>
      <c r="AA92" s="86"/>
      <c r="AB92" s="86"/>
      <c r="AC92" s="79"/>
      <c r="AD92" s="86"/>
      <c r="AE92" s="86"/>
      <c r="AF92" s="86"/>
      <c r="AG92" s="86"/>
      <c r="AH92" s="61" t="str">
        <f aca="false">IFERROR(INDEX(PARAMETRES!$B$536:$B$586,MATCH(AG92,PARAMETRES!$J$536:$J$586,0)),"")</f>
        <v/>
      </c>
      <c r="AI92" s="61" t="str">
        <f aca="false">IFERROR(INDEX(PARAMETRES!$D$536:$D$586,MATCH(AG92,PARAMETRES!$J$536:$J$586,0)),"")</f>
        <v/>
      </c>
      <c r="AJ92" s="61" t="str">
        <f aca="false">IFERROR(INDEX(PARAMETRES!$F$536:$F$586,MATCH(AG92,PARAMETRES!$J$536:$J$586,0)),"")</f>
        <v/>
      </c>
      <c r="AK92" s="61" t="str">
        <f aca="false">IFERROR(INDEX(PARAMETRES!$H$536:$H$586,MATCH(AG92,PARAMETRES!$J$536:$J$586,0)),"")</f>
        <v/>
      </c>
      <c r="AL92" s="79"/>
      <c r="AM92" s="79"/>
      <c r="AN92" s="86"/>
      <c r="AO92" s="86"/>
      <c r="AP92" s="80"/>
      <c r="AQ92" s="80"/>
      <c r="AR92" s="81" t="str">
        <f aca="false">IF(OR(AP92="",AQ92=""),"",AP92-AQ92)</f>
        <v/>
      </c>
      <c r="AS92" s="86"/>
      <c r="AT92" s="61" t="n">
        <f aca="false">IF(A92="",0,COUNTIF(tbl_Partenaires_Projets[ID Partenaire],A92))</f>
        <v>0</v>
      </c>
      <c r="AU92" s="61" t="n">
        <f aca="false">IF(A92="",0,COUNTIF(tbl_Partenaires_Conventions[ID Partenaire],A92))</f>
        <v>0</v>
      </c>
      <c r="AV92" s="61" t="n">
        <f aca="false">IF(A92="",0,COUNTIFS(tbl_Partenaires_Conventions[ID Partenaire],A92,tbl_Partenaires_Conventions[Statut],"Active"))</f>
        <v>0</v>
      </c>
      <c r="AW92" s="61" t="str">
        <f aca="false">IF(A92="","",IF(COUNTIFS(tbl_Partenaires_Conventions[ID Partenaire],A92,tbl_Partenaires_Conventions[Statut],"Active")=0,"NON",IF(_xlfn.MINIFS(tbl_Partenaires_Conventions[Date fin],tbl_Partenaires_Conventions[ID Partenaire],A92,tbl_Partenaires_Conventions[Statut],"Active")-TODAY()&lt;=60,"OUI","NON")))</f>
        <v/>
      </c>
      <c r="AX92" s="61" t="n">
        <f aca="false">IF(A92="",0,COUNTIF(tbl_Partenaires_Documents[ID Partenaire],A92))</f>
        <v>0</v>
      </c>
      <c r="AY92" s="92" t="str">
        <f aca="false">IFERROR(AVERAGEIFS(tbl_Partenaires_Evaluations[Note globale],tbl_Partenaires_Evaluations[ID Partenaire],A92),"")</f>
        <v/>
      </c>
      <c r="AZ92" s="102" t="n">
        <f aca="false">IFERROR(_xlfn.MAXIFS(tbl_Partenaires_Evaluations[Date evaluation],tbl_Partenaires_Evaluations[ID Partenaire],A92),"")</f>
        <v>0</v>
      </c>
      <c r="BA92" s="61" t="n">
        <f aca="false">IF(A92="",0,COUNTIF(tbl_Partenaires_Risques[ID Partenaire],A92))</f>
        <v>0</v>
      </c>
      <c r="BB92" s="61" t="str">
        <f aca="false">IF(A92="","",IF(COUNTIFS(tbl_Partenaires_Risques[ID Partenaire],A92,tbl_Partenaires_Risques[Niveau],"Eleve")+COUNTIFS(tbl_Partenaires_Risques[ID Partenaire],A92,tbl_Partenaires_Risques[Niveau],"Critique")&gt;0,"OUI","NON"))</f>
        <v/>
      </c>
      <c r="BC92" s="61" t="n">
        <f aca="false">IF(A92="",0,COUNTIF(tbl_Partenaires_Contacts[ID Partenaire],A92))</f>
        <v>0</v>
      </c>
      <c r="BD92" s="61" t="n">
        <f aca="false">IF(A92="",0,COUNTIFS(tbl_Partenaires_Opportunites[ID Partenaire],A92,tbl_Partenaires_Opportunites[Statut],"&lt;&gt;Cloturee"))</f>
        <v>0</v>
      </c>
      <c r="BE92" s="61" t="n">
        <f aca="false">IF(A92="",0,COUNTIF(tbl_Partenaires_Prospection[ID Partenaire],A92))</f>
        <v>0</v>
      </c>
      <c r="BF92" s="86"/>
      <c r="BG92" s="86"/>
      <c r="BH92" s="86"/>
      <c r="BI92" s="86"/>
      <c r="BJ92" s="86"/>
      <c r="BK92" s="86"/>
      <c r="BL92" s="86"/>
      <c r="BM92" s="86"/>
      <c r="BN92" s="86"/>
      <c r="BO92" s="86"/>
      <c r="BP92" s="86"/>
      <c r="BQ92" s="86"/>
      <c r="BR92" s="61" t="str">
        <f aca="false">IF(C92="","",IF(OR(COUNTIF(C56:C115,C92)&gt;1,AND(E92&lt;&gt;"",COUNTIF(E56:E115,E92)&gt;1),AND(S92&lt;&gt;"",COUNTIF(S56:S115,S92)&gt;1),AND(U92&lt;&gt;"",COUNTIF(U56:U115,U92)&gt;1)),"OUI","NON"))</f>
        <v/>
      </c>
      <c r="BS92" s="86"/>
    </row>
    <row r="93" customFormat="false" ht="15" hidden="false" customHeight="true" outlineLevel="0" collapsed="false">
      <c r="A93" s="61" t="str">
        <f aca="false">IF(C93="","","PART"&amp;TEXT(ROW()-55,"00000"))</f>
        <v/>
      </c>
      <c r="B93" s="86"/>
      <c r="C93" s="86"/>
      <c r="D93" s="86"/>
      <c r="E93" s="86"/>
      <c r="F93" s="86"/>
      <c r="G93" s="86"/>
      <c r="H93" s="86"/>
      <c r="I93" s="86"/>
      <c r="J93" s="101"/>
      <c r="K93" s="86"/>
      <c r="L93" s="86"/>
      <c r="M93" s="86"/>
      <c r="N93" s="61" t="str">
        <f aca="false">IFERROR(INDEX(PARAMETRES!$B$536:$B$586,MATCH(M93,PARAMETRES!$J$536:$J$586,0)),"")</f>
        <v/>
      </c>
      <c r="O93" s="61" t="str">
        <f aca="false">IFERROR(INDEX(PARAMETRES!$D$536:$D$586,MATCH(M93,PARAMETRES!$J$536:$J$586,0)),"")</f>
        <v/>
      </c>
      <c r="P93" s="61" t="str">
        <f aca="false">IFERROR(INDEX(PARAMETRES!$F$536:$F$586,MATCH(M93,PARAMETRES!$J$536:$J$586,0)),"")</f>
        <v/>
      </c>
      <c r="Q93" s="61" t="str">
        <f aca="false">IFERROR(INDEX(PARAMETRES!$H$536:$H$586,MATCH(M93,PARAMETRES!$J$536:$J$586,0)),"")</f>
        <v/>
      </c>
      <c r="R93" s="86"/>
      <c r="S93" s="86"/>
      <c r="T93" s="86"/>
      <c r="U93" s="86"/>
      <c r="V93" s="86"/>
      <c r="W93" s="86"/>
      <c r="X93" s="86"/>
      <c r="Y93" s="86"/>
      <c r="Z93" s="86"/>
      <c r="AA93" s="86"/>
      <c r="AB93" s="86"/>
      <c r="AC93" s="79"/>
      <c r="AD93" s="86"/>
      <c r="AE93" s="86"/>
      <c r="AF93" s="86"/>
      <c r="AG93" s="86"/>
      <c r="AH93" s="61" t="str">
        <f aca="false">IFERROR(INDEX(PARAMETRES!$B$536:$B$586,MATCH(AG93,PARAMETRES!$J$536:$J$586,0)),"")</f>
        <v/>
      </c>
      <c r="AI93" s="61" t="str">
        <f aca="false">IFERROR(INDEX(PARAMETRES!$D$536:$D$586,MATCH(AG93,PARAMETRES!$J$536:$J$586,0)),"")</f>
        <v/>
      </c>
      <c r="AJ93" s="61" t="str">
        <f aca="false">IFERROR(INDEX(PARAMETRES!$F$536:$F$586,MATCH(AG93,PARAMETRES!$J$536:$J$586,0)),"")</f>
        <v/>
      </c>
      <c r="AK93" s="61" t="str">
        <f aca="false">IFERROR(INDEX(PARAMETRES!$H$536:$H$586,MATCH(AG93,PARAMETRES!$J$536:$J$586,0)),"")</f>
        <v/>
      </c>
      <c r="AL93" s="79"/>
      <c r="AM93" s="79"/>
      <c r="AN93" s="86"/>
      <c r="AO93" s="86"/>
      <c r="AP93" s="80"/>
      <c r="AQ93" s="80"/>
      <c r="AR93" s="81" t="str">
        <f aca="false">IF(OR(AP93="",AQ93=""),"",AP93-AQ93)</f>
        <v/>
      </c>
      <c r="AS93" s="86"/>
      <c r="AT93" s="61" t="n">
        <f aca="false">IF(A93="",0,COUNTIF(tbl_Partenaires_Projets[ID Partenaire],A93))</f>
        <v>0</v>
      </c>
      <c r="AU93" s="61" t="n">
        <f aca="false">IF(A93="",0,COUNTIF(tbl_Partenaires_Conventions[ID Partenaire],A93))</f>
        <v>0</v>
      </c>
      <c r="AV93" s="61" t="n">
        <f aca="false">IF(A93="",0,COUNTIFS(tbl_Partenaires_Conventions[ID Partenaire],A93,tbl_Partenaires_Conventions[Statut],"Active"))</f>
        <v>0</v>
      </c>
      <c r="AW93" s="61" t="str">
        <f aca="false">IF(A93="","",IF(COUNTIFS(tbl_Partenaires_Conventions[ID Partenaire],A93,tbl_Partenaires_Conventions[Statut],"Active")=0,"NON",IF(_xlfn.MINIFS(tbl_Partenaires_Conventions[Date fin],tbl_Partenaires_Conventions[ID Partenaire],A93,tbl_Partenaires_Conventions[Statut],"Active")-TODAY()&lt;=60,"OUI","NON")))</f>
        <v/>
      </c>
      <c r="AX93" s="61" t="n">
        <f aca="false">IF(A93="",0,COUNTIF(tbl_Partenaires_Documents[ID Partenaire],A93))</f>
        <v>0</v>
      </c>
      <c r="AY93" s="92" t="str">
        <f aca="false">IFERROR(AVERAGEIFS(tbl_Partenaires_Evaluations[Note globale],tbl_Partenaires_Evaluations[ID Partenaire],A93),"")</f>
        <v/>
      </c>
      <c r="AZ93" s="102" t="n">
        <f aca="false">IFERROR(_xlfn.MAXIFS(tbl_Partenaires_Evaluations[Date evaluation],tbl_Partenaires_Evaluations[ID Partenaire],A93),"")</f>
        <v>0</v>
      </c>
      <c r="BA93" s="61" t="n">
        <f aca="false">IF(A93="",0,COUNTIF(tbl_Partenaires_Risques[ID Partenaire],A93))</f>
        <v>0</v>
      </c>
      <c r="BB93" s="61" t="str">
        <f aca="false">IF(A93="","",IF(COUNTIFS(tbl_Partenaires_Risques[ID Partenaire],A93,tbl_Partenaires_Risques[Niveau],"Eleve")+COUNTIFS(tbl_Partenaires_Risques[ID Partenaire],A93,tbl_Partenaires_Risques[Niveau],"Critique")&gt;0,"OUI","NON"))</f>
        <v/>
      </c>
      <c r="BC93" s="61" t="n">
        <f aca="false">IF(A93="",0,COUNTIF(tbl_Partenaires_Contacts[ID Partenaire],A93))</f>
        <v>0</v>
      </c>
      <c r="BD93" s="61" t="n">
        <f aca="false">IF(A93="",0,COUNTIFS(tbl_Partenaires_Opportunites[ID Partenaire],A93,tbl_Partenaires_Opportunites[Statut],"&lt;&gt;Cloturee"))</f>
        <v>0</v>
      </c>
      <c r="BE93" s="61" t="n">
        <f aca="false">IF(A93="",0,COUNTIF(tbl_Partenaires_Prospection[ID Partenaire],A93))</f>
        <v>0</v>
      </c>
      <c r="BF93" s="86"/>
      <c r="BG93" s="86"/>
      <c r="BH93" s="86"/>
      <c r="BI93" s="86"/>
      <c r="BJ93" s="86"/>
      <c r="BK93" s="86"/>
      <c r="BL93" s="86"/>
      <c r="BM93" s="86"/>
      <c r="BN93" s="86"/>
      <c r="BO93" s="86"/>
      <c r="BP93" s="86"/>
      <c r="BQ93" s="86"/>
      <c r="BR93" s="61" t="str">
        <f aca="false">IF(C93="","",IF(OR(COUNTIF(C56:C115,C93)&gt;1,AND(E93&lt;&gt;"",COUNTIF(E56:E115,E93)&gt;1),AND(S93&lt;&gt;"",COUNTIF(S56:S115,S93)&gt;1),AND(U93&lt;&gt;"",COUNTIF(U56:U115,U93)&gt;1)),"OUI","NON"))</f>
        <v/>
      </c>
      <c r="BS93" s="86"/>
    </row>
    <row r="94" customFormat="false" ht="15" hidden="false" customHeight="true" outlineLevel="0" collapsed="false">
      <c r="A94" s="61" t="str">
        <f aca="false">IF(C94="","","PART"&amp;TEXT(ROW()-55,"00000"))</f>
        <v/>
      </c>
      <c r="B94" s="86"/>
      <c r="C94" s="86"/>
      <c r="D94" s="86"/>
      <c r="E94" s="86"/>
      <c r="F94" s="86"/>
      <c r="G94" s="86"/>
      <c r="H94" s="86"/>
      <c r="I94" s="86"/>
      <c r="J94" s="101"/>
      <c r="K94" s="86"/>
      <c r="L94" s="86"/>
      <c r="M94" s="86"/>
      <c r="N94" s="61" t="str">
        <f aca="false">IFERROR(INDEX(PARAMETRES!$B$536:$B$586,MATCH(M94,PARAMETRES!$J$536:$J$586,0)),"")</f>
        <v/>
      </c>
      <c r="O94" s="61" t="str">
        <f aca="false">IFERROR(INDEX(PARAMETRES!$D$536:$D$586,MATCH(M94,PARAMETRES!$J$536:$J$586,0)),"")</f>
        <v/>
      </c>
      <c r="P94" s="61" t="str">
        <f aca="false">IFERROR(INDEX(PARAMETRES!$F$536:$F$586,MATCH(M94,PARAMETRES!$J$536:$J$586,0)),"")</f>
        <v/>
      </c>
      <c r="Q94" s="61" t="str">
        <f aca="false">IFERROR(INDEX(PARAMETRES!$H$536:$H$586,MATCH(M94,PARAMETRES!$J$536:$J$586,0)),"")</f>
        <v/>
      </c>
      <c r="R94" s="86"/>
      <c r="S94" s="86"/>
      <c r="T94" s="86"/>
      <c r="U94" s="86"/>
      <c r="V94" s="86"/>
      <c r="W94" s="86"/>
      <c r="X94" s="86"/>
      <c r="Y94" s="86"/>
      <c r="Z94" s="86"/>
      <c r="AA94" s="86"/>
      <c r="AB94" s="86"/>
      <c r="AC94" s="79"/>
      <c r="AD94" s="86"/>
      <c r="AE94" s="86"/>
      <c r="AF94" s="86"/>
      <c r="AG94" s="86"/>
      <c r="AH94" s="61" t="str">
        <f aca="false">IFERROR(INDEX(PARAMETRES!$B$536:$B$586,MATCH(AG94,PARAMETRES!$J$536:$J$586,0)),"")</f>
        <v/>
      </c>
      <c r="AI94" s="61" t="str">
        <f aca="false">IFERROR(INDEX(PARAMETRES!$D$536:$D$586,MATCH(AG94,PARAMETRES!$J$536:$J$586,0)),"")</f>
        <v/>
      </c>
      <c r="AJ94" s="61" t="str">
        <f aca="false">IFERROR(INDEX(PARAMETRES!$F$536:$F$586,MATCH(AG94,PARAMETRES!$J$536:$J$586,0)),"")</f>
        <v/>
      </c>
      <c r="AK94" s="61" t="str">
        <f aca="false">IFERROR(INDEX(PARAMETRES!$H$536:$H$586,MATCH(AG94,PARAMETRES!$J$536:$J$586,0)),"")</f>
        <v/>
      </c>
      <c r="AL94" s="79"/>
      <c r="AM94" s="79"/>
      <c r="AN94" s="86"/>
      <c r="AO94" s="86"/>
      <c r="AP94" s="80"/>
      <c r="AQ94" s="80"/>
      <c r="AR94" s="81" t="str">
        <f aca="false">IF(OR(AP94="",AQ94=""),"",AP94-AQ94)</f>
        <v/>
      </c>
      <c r="AS94" s="86"/>
      <c r="AT94" s="61" t="n">
        <f aca="false">IF(A94="",0,COUNTIF(tbl_Partenaires_Projets[ID Partenaire],A94))</f>
        <v>0</v>
      </c>
      <c r="AU94" s="61" t="n">
        <f aca="false">IF(A94="",0,COUNTIF(tbl_Partenaires_Conventions[ID Partenaire],A94))</f>
        <v>0</v>
      </c>
      <c r="AV94" s="61" t="n">
        <f aca="false">IF(A94="",0,COUNTIFS(tbl_Partenaires_Conventions[ID Partenaire],A94,tbl_Partenaires_Conventions[Statut],"Active"))</f>
        <v>0</v>
      </c>
      <c r="AW94" s="61" t="str">
        <f aca="false">IF(A94="","",IF(COUNTIFS(tbl_Partenaires_Conventions[ID Partenaire],A94,tbl_Partenaires_Conventions[Statut],"Active")=0,"NON",IF(_xlfn.MINIFS(tbl_Partenaires_Conventions[Date fin],tbl_Partenaires_Conventions[ID Partenaire],A94,tbl_Partenaires_Conventions[Statut],"Active")-TODAY()&lt;=60,"OUI","NON")))</f>
        <v/>
      </c>
      <c r="AX94" s="61" t="n">
        <f aca="false">IF(A94="",0,COUNTIF(tbl_Partenaires_Documents[ID Partenaire],A94))</f>
        <v>0</v>
      </c>
      <c r="AY94" s="92" t="str">
        <f aca="false">IFERROR(AVERAGEIFS(tbl_Partenaires_Evaluations[Note globale],tbl_Partenaires_Evaluations[ID Partenaire],A94),"")</f>
        <v/>
      </c>
      <c r="AZ94" s="102" t="n">
        <f aca="false">IFERROR(_xlfn.MAXIFS(tbl_Partenaires_Evaluations[Date evaluation],tbl_Partenaires_Evaluations[ID Partenaire],A94),"")</f>
        <v>0</v>
      </c>
      <c r="BA94" s="61" t="n">
        <f aca="false">IF(A94="",0,COUNTIF(tbl_Partenaires_Risques[ID Partenaire],A94))</f>
        <v>0</v>
      </c>
      <c r="BB94" s="61" t="str">
        <f aca="false">IF(A94="","",IF(COUNTIFS(tbl_Partenaires_Risques[ID Partenaire],A94,tbl_Partenaires_Risques[Niveau],"Eleve")+COUNTIFS(tbl_Partenaires_Risques[ID Partenaire],A94,tbl_Partenaires_Risques[Niveau],"Critique")&gt;0,"OUI","NON"))</f>
        <v/>
      </c>
      <c r="BC94" s="61" t="n">
        <f aca="false">IF(A94="",0,COUNTIF(tbl_Partenaires_Contacts[ID Partenaire],A94))</f>
        <v>0</v>
      </c>
      <c r="BD94" s="61" t="n">
        <f aca="false">IF(A94="",0,COUNTIFS(tbl_Partenaires_Opportunites[ID Partenaire],A94,tbl_Partenaires_Opportunites[Statut],"&lt;&gt;Cloturee"))</f>
        <v>0</v>
      </c>
      <c r="BE94" s="61" t="n">
        <f aca="false">IF(A94="",0,COUNTIF(tbl_Partenaires_Prospection[ID Partenaire],A94))</f>
        <v>0</v>
      </c>
      <c r="BF94" s="86"/>
      <c r="BG94" s="86"/>
      <c r="BH94" s="86"/>
      <c r="BI94" s="86"/>
      <c r="BJ94" s="86"/>
      <c r="BK94" s="86"/>
      <c r="BL94" s="86"/>
      <c r="BM94" s="86"/>
      <c r="BN94" s="86"/>
      <c r="BO94" s="86"/>
      <c r="BP94" s="86"/>
      <c r="BQ94" s="86"/>
      <c r="BR94" s="61" t="str">
        <f aca="false">IF(C94="","",IF(OR(COUNTIF(C56:C115,C94)&gt;1,AND(E94&lt;&gt;"",COUNTIF(E56:E115,E94)&gt;1),AND(S94&lt;&gt;"",COUNTIF(S56:S115,S94)&gt;1),AND(U94&lt;&gt;"",COUNTIF(U56:U115,U94)&gt;1)),"OUI","NON"))</f>
        <v/>
      </c>
      <c r="BS94" s="86"/>
    </row>
    <row r="95" customFormat="false" ht="15" hidden="false" customHeight="true" outlineLevel="0" collapsed="false">
      <c r="A95" s="61" t="str">
        <f aca="false">IF(C95="","","PART"&amp;TEXT(ROW()-55,"00000"))</f>
        <v/>
      </c>
      <c r="B95" s="86"/>
      <c r="C95" s="86"/>
      <c r="D95" s="86"/>
      <c r="E95" s="86"/>
      <c r="F95" s="86"/>
      <c r="G95" s="86"/>
      <c r="H95" s="86"/>
      <c r="I95" s="86"/>
      <c r="J95" s="101"/>
      <c r="K95" s="86"/>
      <c r="L95" s="86"/>
      <c r="M95" s="86"/>
      <c r="N95" s="61" t="str">
        <f aca="false">IFERROR(INDEX(PARAMETRES!$B$536:$B$586,MATCH(M95,PARAMETRES!$J$536:$J$586,0)),"")</f>
        <v/>
      </c>
      <c r="O95" s="61" t="str">
        <f aca="false">IFERROR(INDEX(PARAMETRES!$D$536:$D$586,MATCH(M95,PARAMETRES!$J$536:$J$586,0)),"")</f>
        <v/>
      </c>
      <c r="P95" s="61" t="str">
        <f aca="false">IFERROR(INDEX(PARAMETRES!$F$536:$F$586,MATCH(M95,PARAMETRES!$J$536:$J$586,0)),"")</f>
        <v/>
      </c>
      <c r="Q95" s="61" t="str">
        <f aca="false">IFERROR(INDEX(PARAMETRES!$H$536:$H$586,MATCH(M95,PARAMETRES!$J$536:$J$586,0)),"")</f>
        <v/>
      </c>
      <c r="R95" s="86"/>
      <c r="S95" s="86"/>
      <c r="T95" s="86"/>
      <c r="U95" s="86"/>
      <c r="V95" s="86"/>
      <c r="W95" s="86"/>
      <c r="X95" s="86"/>
      <c r="Y95" s="86"/>
      <c r="Z95" s="86"/>
      <c r="AA95" s="86"/>
      <c r="AB95" s="86"/>
      <c r="AC95" s="79"/>
      <c r="AD95" s="86"/>
      <c r="AE95" s="86"/>
      <c r="AF95" s="86"/>
      <c r="AG95" s="86"/>
      <c r="AH95" s="61" t="str">
        <f aca="false">IFERROR(INDEX(PARAMETRES!$B$536:$B$586,MATCH(AG95,PARAMETRES!$J$536:$J$586,0)),"")</f>
        <v/>
      </c>
      <c r="AI95" s="61" t="str">
        <f aca="false">IFERROR(INDEX(PARAMETRES!$D$536:$D$586,MATCH(AG95,PARAMETRES!$J$536:$J$586,0)),"")</f>
        <v/>
      </c>
      <c r="AJ95" s="61" t="str">
        <f aca="false">IFERROR(INDEX(PARAMETRES!$F$536:$F$586,MATCH(AG95,PARAMETRES!$J$536:$J$586,0)),"")</f>
        <v/>
      </c>
      <c r="AK95" s="61" t="str">
        <f aca="false">IFERROR(INDEX(PARAMETRES!$H$536:$H$586,MATCH(AG95,PARAMETRES!$J$536:$J$586,0)),"")</f>
        <v/>
      </c>
      <c r="AL95" s="79"/>
      <c r="AM95" s="79"/>
      <c r="AN95" s="86"/>
      <c r="AO95" s="86"/>
      <c r="AP95" s="80"/>
      <c r="AQ95" s="80"/>
      <c r="AR95" s="81" t="str">
        <f aca="false">IF(OR(AP95="",AQ95=""),"",AP95-AQ95)</f>
        <v/>
      </c>
      <c r="AS95" s="86"/>
      <c r="AT95" s="61" t="n">
        <f aca="false">IF(A95="",0,COUNTIF(tbl_Partenaires_Projets[ID Partenaire],A95))</f>
        <v>0</v>
      </c>
      <c r="AU95" s="61" t="n">
        <f aca="false">IF(A95="",0,COUNTIF(tbl_Partenaires_Conventions[ID Partenaire],A95))</f>
        <v>0</v>
      </c>
      <c r="AV95" s="61" t="n">
        <f aca="false">IF(A95="",0,COUNTIFS(tbl_Partenaires_Conventions[ID Partenaire],A95,tbl_Partenaires_Conventions[Statut],"Active"))</f>
        <v>0</v>
      </c>
      <c r="AW95" s="61" t="str">
        <f aca="false">IF(A95="","",IF(COUNTIFS(tbl_Partenaires_Conventions[ID Partenaire],A95,tbl_Partenaires_Conventions[Statut],"Active")=0,"NON",IF(_xlfn.MINIFS(tbl_Partenaires_Conventions[Date fin],tbl_Partenaires_Conventions[ID Partenaire],A95,tbl_Partenaires_Conventions[Statut],"Active")-TODAY()&lt;=60,"OUI","NON")))</f>
        <v/>
      </c>
      <c r="AX95" s="61" t="n">
        <f aca="false">IF(A95="",0,COUNTIF(tbl_Partenaires_Documents[ID Partenaire],A95))</f>
        <v>0</v>
      </c>
      <c r="AY95" s="92" t="str">
        <f aca="false">IFERROR(AVERAGEIFS(tbl_Partenaires_Evaluations[Note globale],tbl_Partenaires_Evaluations[ID Partenaire],A95),"")</f>
        <v/>
      </c>
      <c r="AZ95" s="102" t="n">
        <f aca="false">IFERROR(_xlfn.MAXIFS(tbl_Partenaires_Evaluations[Date evaluation],tbl_Partenaires_Evaluations[ID Partenaire],A95),"")</f>
        <v>0</v>
      </c>
      <c r="BA95" s="61" t="n">
        <f aca="false">IF(A95="",0,COUNTIF(tbl_Partenaires_Risques[ID Partenaire],A95))</f>
        <v>0</v>
      </c>
      <c r="BB95" s="61" t="str">
        <f aca="false">IF(A95="","",IF(COUNTIFS(tbl_Partenaires_Risques[ID Partenaire],A95,tbl_Partenaires_Risques[Niveau],"Eleve")+COUNTIFS(tbl_Partenaires_Risques[ID Partenaire],A95,tbl_Partenaires_Risques[Niveau],"Critique")&gt;0,"OUI","NON"))</f>
        <v/>
      </c>
      <c r="BC95" s="61" t="n">
        <f aca="false">IF(A95="",0,COUNTIF(tbl_Partenaires_Contacts[ID Partenaire],A95))</f>
        <v>0</v>
      </c>
      <c r="BD95" s="61" t="n">
        <f aca="false">IF(A95="",0,COUNTIFS(tbl_Partenaires_Opportunites[ID Partenaire],A95,tbl_Partenaires_Opportunites[Statut],"&lt;&gt;Cloturee"))</f>
        <v>0</v>
      </c>
      <c r="BE95" s="61" t="n">
        <f aca="false">IF(A95="",0,COUNTIF(tbl_Partenaires_Prospection[ID Partenaire],A95))</f>
        <v>0</v>
      </c>
      <c r="BF95" s="86"/>
      <c r="BG95" s="86"/>
      <c r="BH95" s="86"/>
      <c r="BI95" s="86"/>
      <c r="BJ95" s="86"/>
      <c r="BK95" s="86"/>
      <c r="BL95" s="86"/>
      <c r="BM95" s="86"/>
      <c r="BN95" s="86"/>
      <c r="BO95" s="86"/>
      <c r="BP95" s="86"/>
      <c r="BQ95" s="86"/>
      <c r="BR95" s="61" t="str">
        <f aca="false">IF(C95="","",IF(OR(COUNTIF(C56:C115,C95)&gt;1,AND(E95&lt;&gt;"",COUNTIF(E56:E115,E95)&gt;1),AND(S95&lt;&gt;"",COUNTIF(S56:S115,S95)&gt;1),AND(U95&lt;&gt;"",COUNTIF(U56:U115,U95)&gt;1)),"OUI","NON"))</f>
        <v/>
      </c>
      <c r="BS95" s="86"/>
    </row>
    <row r="96" customFormat="false" ht="15" hidden="false" customHeight="true" outlineLevel="0" collapsed="false">
      <c r="A96" s="61" t="str">
        <f aca="false">IF(C96="","","PART"&amp;TEXT(ROW()-55,"00000"))</f>
        <v/>
      </c>
      <c r="B96" s="86"/>
      <c r="C96" s="86"/>
      <c r="D96" s="86"/>
      <c r="E96" s="86"/>
      <c r="F96" s="86"/>
      <c r="G96" s="86"/>
      <c r="H96" s="86"/>
      <c r="I96" s="86"/>
      <c r="J96" s="101"/>
      <c r="K96" s="86"/>
      <c r="L96" s="86"/>
      <c r="M96" s="86"/>
      <c r="N96" s="61" t="str">
        <f aca="false">IFERROR(INDEX(PARAMETRES!$B$536:$B$586,MATCH(M96,PARAMETRES!$J$536:$J$586,0)),"")</f>
        <v/>
      </c>
      <c r="O96" s="61" t="str">
        <f aca="false">IFERROR(INDEX(PARAMETRES!$D$536:$D$586,MATCH(M96,PARAMETRES!$J$536:$J$586,0)),"")</f>
        <v/>
      </c>
      <c r="P96" s="61" t="str">
        <f aca="false">IFERROR(INDEX(PARAMETRES!$F$536:$F$586,MATCH(M96,PARAMETRES!$J$536:$J$586,0)),"")</f>
        <v/>
      </c>
      <c r="Q96" s="61" t="str">
        <f aca="false">IFERROR(INDEX(PARAMETRES!$H$536:$H$586,MATCH(M96,PARAMETRES!$J$536:$J$586,0)),"")</f>
        <v/>
      </c>
      <c r="R96" s="86"/>
      <c r="S96" s="86"/>
      <c r="T96" s="86"/>
      <c r="U96" s="86"/>
      <c r="V96" s="86"/>
      <c r="W96" s="86"/>
      <c r="X96" s="86"/>
      <c r="Y96" s="86"/>
      <c r="Z96" s="86"/>
      <c r="AA96" s="86"/>
      <c r="AB96" s="86"/>
      <c r="AC96" s="79"/>
      <c r="AD96" s="86"/>
      <c r="AE96" s="86"/>
      <c r="AF96" s="86"/>
      <c r="AG96" s="86"/>
      <c r="AH96" s="61" t="str">
        <f aca="false">IFERROR(INDEX(PARAMETRES!$B$536:$B$586,MATCH(AG96,PARAMETRES!$J$536:$J$586,0)),"")</f>
        <v/>
      </c>
      <c r="AI96" s="61" t="str">
        <f aca="false">IFERROR(INDEX(PARAMETRES!$D$536:$D$586,MATCH(AG96,PARAMETRES!$J$536:$J$586,0)),"")</f>
        <v/>
      </c>
      <c r="AJ96" s="61" t="str">
        <f aca="false">IFERROR(INDEX(PARAMETRES!$F$536:$F$586,MATCH(AG96,PARAMETRES!$J$536:$J$586,0)),"")</f>
        <v/>
      </c>
      <c r="AK96" s="61" t="str">
        <f aca="false">IFERROR(INDEX(PARAMETRES!$H$536:$H$586,MATCH(AG96,PARAMETRES!$J$536:$J$586,0)),"")</f>
        <v/>
      </c>
      <c r="AL96" s="79"/>
      <c r="AM96" s="79"/>
      <c r="AN96" s="86"/>
      <c r="AO96" s="86"/>
      <c r="AP96" s="80"/>
      <c r="AQ96" s="80"/>
      <c r="AR96" s="81" t="str">
        <f aca="false">IF(OR(AP96="",AQ96=""),"",AP96-AQ96)</f>
        <v/>
      </c>
      <c r="AS96" s="86"/>
      <c r="AT96" s="61" t="n">
        <f aca="false">IF(A96="",0,COUNTIF(tbl_Partenaires_Projets[ID Partenaire],A96))</f>
        <v>0</v>
      </c>
      <c r="AU96" s="61" t="n">
        <f aca="false">IF(A96="",0,COUNTIF(tbl_Partenaires_Conventions[ID Partenaire],A96))</f>
        <v>0</v>
      </c>
      <c r="AV96" s="61" t="n">
        <f aca="false">IF(A96="",0,COUNTIFS(tbl_Partenaires_Conventions[ID Partenaire],A96,tbl_Partenaires_Conventions[Statut],"Active"))</f>
        <v>0</v>
      </c>
      <c r="AW96" s="61" t="str">
        <f aca="false">IF(A96="","",IF(COUNTIFS(tbl_Partenaires_Conventions[ID Partenaire],A96,tbl_Partenaires_Conventions[Statut],"Active")=0,"NON",IF(_xlfn.MINIFS(tbl_Partenaires_Conventions[Date fin],tbl_Partenaires_Conventions[ID Partenaire],A96,tbl_Partenaires_Conventions[Statut],"Active")-TODAY()&lt;=60,"OUI","NON")))</f>
        <v/>
      </c>
      <c r="AX96" s="61" t="n">
        <f aca="false">IF(A96="",0,COUNTIF(tbl_Partenaires_Documents[ID Partenaire],A96))</f>
        <v>0</v>
      </c>
      <c r="AY96" s="92" t="str">
        <f aca="false">IFERROR(AVERAGEIFS(tbl_Partenaires_Evaluations[Note globale],tbl_Partenaires_Evaluations[ID Partenaire],A96),"")</f>
        <v/>
      </c>
      <c r="AZ96" s="102" t="n">
        <f aca="false">IFERROR(_xlfn.MAXIFS(tbl_Partenaires_Evaluations[Date evaluation],tbl_Partenaires_Evaluations[ID Partenaire],A96),"")</f>
        <v>0</v>
      </c>
      <c r="BA96" s="61" t="n">
        <f aca="false">IF(A96="",0,COUNTIF(tbl_Partenaires_Risques[ID Partenaire],A96))</f>
        <v>0</v>
      </c>
      <c r="BB96" s="61" t="str">
        <f aca="false">IF(A96="","",IF(COUNTIFS(tbl_Partenaires_Risques[ID Partenaire],A96,tbl_Partenaires_Risques[Niveau],"Eleve")+COUNTIFS(tbl_Partenaires_Risques[ID Partenaire],A96,tbl_Partenaires_Risques[Niveau],"Critique")&gt;0,"OUI","NON"))</f>
        <v/>
      </c>
      <c r="BC96" s="61" t="n">
        <f aca="false">IF(A96="",0,COUNTIF(tbl_Partenaires_Contacts[ID Partenaire],A96))</f>
        <v>0</v>
      </c>
      <c r="BD96" s="61" t="n">
        <f aca="false">IF(A96="",0,COUNTIFS(tbl_Partenaires_Opportunites[ID Partenaire],A96,tbl_Partenaires_Opportunites[Statut],"&lt;&gt;Cloturee"))</f>
        <v>0</v>
      </c>
      <c r="BE96" s="61" t="n">
        <f aca="false">IF(A96="",0,COUNTIF(tbl_Partenaires_Prospection[ID Partenaire],A96))</f>
        <v>0</v>
      </c>
      <c r="BF96" s="86"/>
      <c r="BG96" s="86"/>
      <c r="BH96" s="86"/>
      <c r="BI96" s="86"/>
      <c r="BJ96" s="86"/>
      <c r="BK96" s="86"/>
      <c r="BL96" s="86"/>
      <c r="BM96" s="86"/>
      <c r="BN96" s="86"/>
      <c r="BO96" s="86"/>
      <c r="BP96" s="86"/>
      <c r="BQ96" s="86"/>
      <c r="BR96" s="61" t="str">
        <f aca="false">IF(C96="","",IF(OR(COUNTIF(C56:C115,C96)&gt;1,AND(E96&lt;&gt;"",COUNTIF(E56:E115,E96)&gt;1),AND(S96&lt;&gt;"",COUNTIF(S56:S115,S96)&gt;1),AND(U96&lt;&gt;"",COUNTIF(U56:U115,U96)&gt;1)),"OUI","NON"))</f>
        <v/>
      </c>
      <c r="BS96" s="86"/>
    </row>
    <row r="97" customFormat="false" ht="15" hidden="false" customHeight="true" outlineLevel="0" collapsed="false">
      <c r="A97" s="61" t="str">
        <f aca="false">IF(C97="","","PART"&amp;TEXT(ROW()-55,"00000"))</f>
        <v/>
      </c>
      <c r="B97" s="86"/>
      <c r="C97" s="86"/>
      <c r="D97" s="86"/>
      <c r="E97" s="86"/>
      <c r="F97" s="86"/>
      <c r="G97" s="86"/>
      <c r="H97" s="86"/>
      <c r="I97" s="86"/>
      <c r="J97" s="101"/>
      <c r="K97" s="86"/>
      <c r="L97" s="86"/>
      <c r="M97" s="86"/>
      <c r="N97" s="61" t="str">
        <f aca="false">IFERROR(INDEX(PARAMETRES!$B$536:$B$586,MATCH(M97,PARAMETRES!$J$536:$J$586,0)),"")</f>
        <v/>
      </c>
      <c r="O97" s="61" t="str">
        <f aca="false">IFERROR(INDEX(PARAMETRES!$D$536:$D$586,MATCH(M97,PARAMETRES!$J$536:$J$586,0)),"")</f>
        <v/>
      </c>
      <c r="P97" s="61" t="str">
        <f aca="false">IFERROR(INDEX(PARAMETRES!$F$536:$F$586,MATCH(M97,PARAMETRES!$J$536:$J$586,0)),"")</f>
        <v/>
      </c>
      <c r="Q97" s="61" t="str">
        <f aca="false">IFERROR(INDEX(PARAMETRES!$H$536:$H$586,MATCH(M97,PARAMETRES!$J$536:$J$586,0)),"")</f>
        <v/>
      </c>
      <c r="R97" s="86"/>
      <c r="S97" s="86"/>
      <c r="T97" s="86"/>
      <c r="U97" s="86"/>
      <c r="V97" s="86"/>
      <c r="W97" s="86"/>
      <c r="X97" s="86"/>
      <c r="Y97" s="86"/>
      <c r="Z97" s="86"/>
      <c r="AA97" s="86"/>
      <c r="AB97" s="86"/>
      <c r="AC97" s="79"/>
      <c r="AD97" s="86"/>
      <c r="AE97" s="86"/>
      <c r="AF97" s="86"/>
      <c r="AG97" s="86"/>
      <c r="AH97" s="61" t="str">
        <f aca="false">IFERROR(INDEX(PARAMETRES!$B$536:$B$586,MATCH(AG97,PARAMETRES!$J$536:$J$586,0)),"")</f>
        <v/>
      </c>
      <c r="AI97" s="61" t="str">
        <f aca="false">IFERROR(INDEX(PARAMETRES!$D$536:$D$586,MATCH(AG97,PARAMETRES!$J$536:$J$586,0)),"")</f>
        <v/>
      </c>
      <c r="AJ97" s="61" t="str">
        <f aca="false">IFERROR(INDEX(PARAMETRES!$F$536:$F$586,MATCH(AG97,PARAMETRES!$J$536:$J$586,0)),"")</f>
        <v/>
      </c>
      <c r="AK97" s="61" t="str">
        <f aca="false">IFERROR(INDEX(PARAMETRES!$H$536:$H$586,MATCH(AG97,PARAMETRES!$J$536:$J$586,0)),"")</f>
        <v/>
      </c>
      <c r="AL97" s="79"/>
      <c r="AM97" s="79"/>
      <c r="AN97" s="86"/>
      <c r="AO97" s="86"/>
      <c r="AP97" s="80"/>
      <c r="AQ97" s="80"/>
      <c r="AR97" s="81" t="str">
        <f aca="false">IF(OR(AP97="",AQ97=""),"",AP97-AQ97)</f>
        <v/>
      </c>
      <c r="AS97" s="86"/>
      <c r="AT97" s="61" t="n">
        <f aca="false">IF(A97="",0,COUNTIF(tbl_Partenaires_Projets[ID Partenaire],A97))</f>
        <v>0</v>
      </c>
      <c r="AU97" s="61" t="n">
        <f aca="false">IF(A97="",0,COUNTIF(tbl_Partenaires_Conventions[ID Partenaire],A97))</f>
        <v>0</v>
      </c>
      <c r="AV97" s="61" t="n">
        <f aca="false">IF(A97="",0,COUNTIFS(tbl_Partenaires_Conventions[ID Partenaire],A97,tbl_Partenaires_Conventions[Statut],"Active"))</f>
        <v>0</v>
      </c>
      <c r="AW97" s="61" t="str">
        <f aca="false">IF(A97="","",IF(COUNTIFS(tbl_Partenaires_Conventions[ID Partenaire],A97,tbl_Partenaires_Conventions[Statut],"Active")=0,"NON",IF(_xlfn.MINIFS(tbl_Partenaires_Conventions[Date fin],tbl_Partenaires_Conventions[ID Partenaire],A97,tbl_Partenaires_Conventions[Statut],"Active")-TODAY()&lt;=60,"OUI","NON")))</f>
        <v/>
      </c>
      <c r="AX97" s="61" t="n">
        <f aca="false">IF(A97="",0,COUNTIF(tbl_Partenaires_Documents[ID Partenaire],A97))</f>
        <v>0</v>
      </c>
      <c r="AY97" s="92" t="str">
        <f aca="false">IFERROR(AVERAGEIFS(tbl_Partenaires_Evaluations[Note globale],tbl_Partenaires_Evaluations[ID Partenaire],A97),"")</f>
        <v/>
      </c>
      <c r="AZ97" s="102" t="n">
        <f aca="false">IFERROR(_xlfn.MAXIFS(tbl_Partenaires_Evaluations[Date evaluation],tbl_Partenaires_Evaluations[ID Partenaire],A97),"")</f>
        <v>0</v>
      </c>
      <c r="BA97" s="61" t="n">
        <f aca="false">IF(A97="",0,COUNTIF(tbl_Partenaires_Risques[ID Partenaire],A97))</f>
        <v>0</v>
      </c>
      <c r="BB97" s="61" t="str">
        <f aca="false">IF(A97="","",IF(COUNTIFS(tbl_Partenaires_Risques[ID Partenaire],A97,tbl_Partenaires_Risques[Niveau],"Eleve")+COUNTIFS(tbl_Partenaires_Risques[ID Partenaire],A97,tbl_Partenaires_Risques[Niveau],"Critique")&gt;0,"OUI","NON"))</f>
        <v/>
      </c>
      <c r="BC97" s="61" t="n">
        <f aca="false">IF(A97="",0,COUNTIF(tbl_Partenaires_Contacts[ID Partenaire],A97))</f>
        <v>0</v>
      </c>
      <c r="BD97" s="61" t="n">
        <f aca="false">IF(A97="",0,COUNTIFS(tbl_Partenaires_Opportunites[ID Partenaire],A97,tbl_Partenaires_Opportunites[Statut],"&lt;&gt;Cloturee"))</f>
        <v>0</v>
      </c>
      <c r="BE97" s="61" t="n">
        <f aca="false">IF(A97="",0,COUNTIF(tbl_Partenaires_Prospection[ID Partenaire],A97))</f>
        <v>0</v>
      </c>
      <c r="BF97" s="86"/>
      <c r="BG97" s="86"/>
      <c r="BH97" s="86"/>
      <c r="BI97" s="86"/>
      <c r="BJ97" s="86"/>
      <c r="BK97" s="86"/>
      <c r="BL97" s="86"/>
      <c r="BM97" s="86"/>
      <c r="BN97" s="86"/>
      <c r="BO97" s="86"/>
      <c r="BP97" s="86"/>
      <c r="BQ97" s="86"/>
      <c r="BR97" s="61" t="str">
        <f aca="false">IF(C97="","",IF(OR(COUNTIF(C56:C115,C97)&gt;1,AND(E97&lt;&gt;"",COUNTIF(E56:E115,E97)&gt;1),AND(S97&lt;&gt;"",COUNTIF(S56:S115,S97)&gt;1),AND(U97&lt;&gt;"",COUNTIF(U56:U115,U97)&gt;1)),"OUI","NON"))</f>
        <v/>
      </c>
      <c r="BS97" s="86"/>
    </row>
    <row r="98" customFormat="false" ht="15" hidden="false" customHeight="true" outlineLevel="0" collapsed="false">
      <c r="A98" s="61" t="str">
        <f aca="false">IF(C98="","","PART"&amp;TEXT(ROW()-55,"00000"))</f>
        <v/>
      </c>
      <c r="B98" s="86"/>
      <c r="C98" s="86"/>
      <c r="D98" s="86"/>
      <c r="E98" s="86"/>
      <c r="F98" s="86"/>
      <c r="G98" s="86"/>
      <c r="H98" s="86"/>
      <c r="I98" s="86"/>
      <c r="J98" s="101"/>
      <c r="K98" s="86"/>
      <c r="L98" s="86"/>
      <c r="M98" s="86"/>
      <c r="N98" s="61" t="str">
        <f aca="false">IFERROR(INDEX(PARAMETRES!$B$536:$B$586,MATCH(M98,PARAMETRES!$J$536:$J$586,0)),"")</f>
        <v/>
      </c>
      <c r="O98" s="61" t="str">
        <f aca="false">IFERROR(INDEX(PARAMETRES!$D$536:$D$586,MATCH(M98,PARAMETRES!$J$536:$J$586,0)),"")</f>
        <v/>
      </c>
      <c r="P98" s="61" t="str">
        <f aca="false">IFERROR(INDEX(PARAMETRES!$F$536:$F$586,MATCH(M98,PARAMETRES!$J$536:$J$586,0)),"")</f>
        <v/>
      </c>
      <c r="Q98" s="61" t="str">
        <f aca="false">IFERROR(INDEX(PARAMETRES!$H$536:$H$586,MATCH(M98,PARAMETRES!$J$536:$J$586,0)),"")</f>
        <v/>
      </c>
      <c r="R98" s="86"/>
      <c r="S98" s="86"/>
      <c r="T98" s="86"/>
      <c r="U98" s="86"/>
      <c r="V98" s="86"/>
      <c r="W98" s="86"/>
      <c r="X98" s="86"/>
      <c r="Y98" s="86"/>
      <c r="Z98" s="86"/>
      <c r="AA98" s="86"/>
      <c r="AB98" s="86"/>
      <c r="AC98" s="79"/>
      <c r="AD98" s="86"/>
      <c r="AE98" s="86"/>
      <c r="AF98" s="86"/>
      <c r="AG98" s="86"/>
      <c r="AH98" s="61" t="str">
        <f aca="false">IFERROR(INDEX(PARAMETRES!$B$536:$B$586,MATCH(AG98,PARAMETRES!$J$536:$J$586,0)),"")</f>
        <v/>
      </c>
      <c r="AI98" s="61" t="str">
        <f aca="false">IFERROR(INDEX(PARAMETRES!$D$536:$D$586,MATCH(AG98,PARAMETRES!$J$536:$J$586,0)),"")</f>
        <v/>
      </c>
      <c r="AJ98" s="61" t="str">
        <f aca="false">IFERROR(INDEX(PARAMETRES!$F$536:$F$586,MATCH(AG98,PARAMETRES!$J$536:$J$586,0)),"")</f>
        <v/>
      </c>
      <c r="AK98" s="61" t="str">
        <f aca="false">IFERROR(INDEX(PARAMETRES!$H$536:$H$586,MATCH(AG98,PARAMETRES!$J$536:$J$586,0)),"")</f>
        <v/>
      </c>
      <c r="AL98" s="79"/>
      <c r="AM98" s="79"/>
      <c r="AN98" s="86"/>
      <c r="AO98" s="86"/>
      <c r="AP98" s="80"/>
      <c r="AQ98" s="80"/>
      <c r="AR98" s="81" t="str">
        <f aca="false">IF(OR(AP98="",AQ98=""),"",AP98-AQ98)</f>
        <v/>
      </c>
      <c r="AS98" s="86"/>
      <c r="AT98" s="61" t="n">
        <f aca="false">IF(A98="",0,COUNTIF(tbl_Partenaires_Projets[ID Partenaire],A98))</f>
        <v>0</v>
      </c>
      <c r="AU98" s="61" t="n">
        <f aca="false">IF(A98="",0,COUNTIF(tbl_Partenaires_Conventions[ID Partenaire],A98))</f>
        <v>0</v>
      </c>
      <c r="AV98" s="61" t="n">
        <f aca="false">IF(A98="",0,COUNTIFS(tbl_Partenaires_Conventions[ID Partenaire],A98,tbl_Partenaires_Conventions[Statut],"Active"))</f>
        <v>0</v>
      </c>
      <c r="AW98" s="61" t="str">
        <f aca="false">IF(A98="","",IF(COUNTIFS(tbl_Partenaires_Conventions[ID Partenaire],A98,tbl_Partenaires_Conventions[Statut],"Active")=0,"NON",IF(_xlfn.MINIFS(tbl_Partenaires_Conventions[Date fin],tbl_Partenaires_Conventions[ID Partenaire],A98,tbl_Partenaires_Conventions[Statut],"Active")-TODAY()&lt;=60,"OUI","NON")))</f>
        <v/>
      </c>
      <c r="AX98" s="61" t="n">
        <f aca="false">IF(A98="",0,COUNTIF(tbl_Partenaires_Documents[ID Partenaire],A98))</f>
        <v>0</v>
      </c>
      <c r="AY98" s="92" t="str">
        <f aca="false">IFERROR(AVERAGEIFS(tbl_Partenaires_Evaluations[Note globale],tbl_Partenaires_Evaluations[ID Partenaire],A98),"")</f>
        <v/>
      </c>
      <c r="AZ98" s="102" t="n">
        <f aca="false">IFERROR(_xlfn.MAXIFS(tbl_Partenaires_Evaluations[Date evaluation],tbl_Partenaires_Evaluations[ID Partenaire],A98),"")</f>
        <v>0</v>
      </c>
      <c r="BA98" s="61" t="n">
        <f aca="false">IF(A98="",0,COUNTIF(tbl_Partenaires_Risques[ID Partenaire],A98))</f>
        <v>0</v>
      </c>
      <c r="BB98" s="61" t="str">
        <f aca="false">IF(A98="","",IF(COUNTIFS(tbl_Partenaires_Risques[ID Partenaire],A98,tbl_Partenaires_Risques[Niveau],"Eleve")+COUNTIFS(tbl_Partenaires_Risques[ID Partenaire],A98,tbl_Partenaires_Risques[Niveau],"Critique")&gt;0,"OUI","NON"))</f>
        <v/>
      </c>
      <c r="BC98" s="61" t="n">
        <f aca="false">IF(A98="",0,COUNTIF(tbl_Partenaires_Contacts[ID Partenaire],A98))</f>
        <v>0</v>
      </c>
      <c r="BD98" s="61" t="n">
        <f aca="false">IF(A98="",0,COUNTIFS(tbl_Partenaires_Opportunites[ID Partenaire],A98,tbl_Partenaires_Opportunites[Statut],"&lt;&gt;Cloturee"))</f>
        <v>0</v>
      </c>
      <c r="BE98" s="61" t="n">
        <f aca="false">IF(A98="",0,COUNTIF(tbl_Partenaires_Prospection[ID Partenaire],A98))</f>
        <v>0</v>
      </c>
      <c r="BF98" s="86"/>
      <c r="BG98" s="86"/>
      <c r="BH98" s="86"/>
      <c r="BI98" s="86"/>
      <c r="BJ98" s="86"/>
      <c r="BK98" s="86"/>
      <c r="BL98" s="86"/>
      <c r="BM98" s="86"/>
      <c r="BN98" s="86"/>
      <c r="BO98" s="86"/>
      <c r="BP98" s="86"/>
      <c r="BQ98" s="86"/>
      <c r="BR98" s="61" t="str">
        <f aca="false">IF(C98="","",IF(OR(COUNTIF(C56:C115,C98)&gt;1,AND(E98&lt;&gt;"",COUNTIF(E56:E115,E98)&gt;1),AND(S98&lt;&gt;"",COUNTIF(S56:S115,S98)&gt;1),AND(U98&lt;&gt;"",COUNTIF(U56:U115,U98)&gt;1)),"OUI","NON"))</f>
        <v/>
      </c>
      <c r="BS98" s="86"/>
    </row>
    <row r="99" customFormat="false" ht="15" hidden="false" customHeight="true" outlineLevel="0" collapsed="false">
      <c r="A99" s="61" t="str">
        <f aca="false">IF(C99="","","PART"&amp;TEXT(ROW()-55,"00000"))</f>
        <v/>
      </c>
      <c r="B99" s="86"/>
      <c r="C99" s="86"/>
      <c r="D99" s="86"/>
      <c r="E99" s="86"/>
      <c r="F99" s="86"/>
      <c r="G99" s="86"/>
      <c r="H99" s="86"/>
      <c r="I99" s="86"/>
      <c r="J99" s="101"/>
      <c r="K99" s="86"/>
      <c r="L99" s="86"/>
      <c r="M99" s="86"/>
      <c r="N99" s="61" t="str">
        <f aca="false">IFERROR(INDEX(PARAMETRES!$B$536:$B$586,MATCH(M99,PARAMETRES!$J$536:$J$586,0)),"")</f>
        <v/>
      </c>
      <c r="O99" s="61" t="str">
        <f aca="false">IFERROR(INDEX(PARAMETRES!$D$536:$D$586,MATCH(M99,PARAMETRES!$J$536:$J$586,0)),"")</f>
        <v/>
      </c>
      <c r="P99" s="61" t="str">
        <f aca="false">IFERROR(INDEX(PARAMETRES!$F$536:$F$586,MATCH(M99,PARAMETRES!$J$536:$J$586,0)),"")</f>
        <v/>
      </c>
      <c r="Q99" s="61" t="str">
        <f aca="false">IFERROR(INDEX(PARAMETRES!$H$536:$H$586,MATCH(M99,PARAMETRES!$J$536:$J$586,0)),"")</f>
        <v/>
      </c>
      <c r="R99" s="86"/>
      <c r="S99" s="86"/>
      <c r="T99" s="86"/>
      <c r="U99" s="86"/>
      <c r="V99" s="86"/>
      <c r="W99" s="86"/>
      <c r="X99" s="86"/>
      <c r="Y99" s="86"/>
      <c r="Z99" s="86"/>
      <c r="AA99" s="86"/>
      <c r="AB99" s="86"/>
      <c r="AC99" s="79"/>
      <c r="AD99" s="86"/>
      <c r="AE99" s="86"/>
      <c r="AF99" s="86"/>
      <c r="AG99" s="86"/>
      <c r="AH99" s="61" t="str">
        <f aca="false">IFERROR(INDEX(PARAMETRES!$B$536:$B$586,MATCH(AG99,PARAMETRES!$J$536:$J$586,0)),"")</f>
        <v/>
      </c>
      <c r="AI99" s="61" t="str">
        <f aca="false">IFERROR(INDEX(PARAMETRES!$D$536:$D$586,MATCH(AG99,PARAMETRES!$J$536:$J$586,0)),"")</f>
        <v/>
      </c>
      <c r="AJ99" s="61" t="str">
        <f aca="false">IFERROR(INDEX(PARAMETRES!$F$536:$F$586,MATCH(AG99,PARAMETRES!$J$536:$J$586,0)),"")</f>
        <v/>
      </c>
      <c r="AK99" s="61" t="str">
        <f aca="false">IFERROR(INDEX(PARAMETRES!$H$536:$H$586,MATCH(AG99,PARAMETRES!$J$536:$J$586,0)),"")</f>
        <v/>
      </c>
      <c r="AL99" s="79"/>
      <c r="AM99" s="79"/>
      <c r="AN99" s="86"/>
      <c r="AO99" s="86"/>
      <c r="AP99" s="80"/>
      <c r="AQ99" s="80"/>
      <c r="AR99" s="81" t="str">
        <f aca="false">IF(OR(AP99="",AQ99=""),"",AP99-AQ99)</f>
        <v/>
      </c>
      <c r="AS99" s="86"/>
      <c r="AT99" s="61" t="n">
        <f aca="false">IF(A99="",0,COUNTIF(tbl_Partenaires_Projets[ID Partenaire],A99))</f>
        <v>0</v>
      </c>
      <c r="AU99" s="61" t="n">
        <f aca="false">IF(A99="",0,COUNTIF(tbl_Partenaires_Conventions[ID Partenaire],A99))</f>
        <v>0</v>
      </c>
      <c r="AV99" s="61" t="n">
        <f aca="false">IF(A99="",0,COUNTIFS(tbl_Partenaires_Conventions[ID Partenaire],A99,tbl_Partenaires_Conventions[Statut],"Active"))</f>
        <v>0</v>
      </c>
      <c r="AW99" s="61" t="str">
        <f aca="false">IF(A99="","",IF(COUNTIFS(tbl_Partenaires_Conventions[ID Partenaire],A99,tbl_Partenaires_Conventions[Statut],"Active")=0,"NON",IF(_xlfn.MINIFS(tbl_Partenaires_Conventions[Date fin],tbl_Partenaires_Conventions[ID Partenaire],A99,tbl_Partenaires_Conventions[Statut],"Active")-TODAY()&lt;=60,"OUI","NON")))</f>
        <v/>
      </c>
      <c r="AX99" s="61" t="n">
        <f aca="false">IF(A99="",0,COUNTIF(tbl_Partenaires_Documents[ID Partenaire],A99))</f>
        <v>0</v>
      </c>
      <c r="AY99" s="92" t="str">
        <f aca="false">IFERROR(AVERAGEIFS(tbl_Partenaires_Evaluations[Note globale],tbl_Partenaires_Evaluations[ID Partenaire],A99),"")</f>
        <v/>
      </c>
      <c r="AZ99" s="102" t="n">
        <f aca="false">IFERROR(_xlfn.MAXIFS(tbl_Partenaires_Evaluations[Date evaluation],tbl_Partenaires_Evaluations[ID Partenaire],A99),"")</f>
        <v>0</v>
      </c>
      <c r="BA99" s="61" t="n">
        <f aca="false">IF(A99="",0,COUNTIF(tbl_Partenaires_Risques[ID Partenaire],A99))</f>
        <v>0</v>
      </c>
      <c r="BB99" s="61" t="str">
        <f aca="false">IF(A99="","",IF(COUNTIFS(tbl_Partenaires_Risques[ID Partenaire],A99,tbl_Partenaires_Risques[Niveau],"Eleve")+COUNTIFS(tbl_Partenaires_Risques[ID Partenaire],A99,tbl_Partenaires_Risques[Niveau],"Critique")&gt;0,"OUI","NON"))</f>
        <v/>
      </c>
      <c r="BC99" s="61" t="n">
        <f aca="false">IF(A99="",0,COUNTIF(tbl_Partenaires_Contacts[ID Partenaire],A99))</f>
        <v>0</v>
      </c>
      <c r="BD99" s="61" t="n">
        <f aca="false">IF(A99="",0,COUNTIFS(tbl_Partenaires_Opportunites[ID Partenaire],A99,tbl_Partenaires_Opportunites[Statut],"&lt;&gt;Cloturee"))</f>
        <v>0</v>
      </c>
      <c r="BE99" s="61" t="n">
        <f aca="false">IF(A99="",0,COUNTIF(tbl_Partenaires_Prospection[ID Partenaire],A99))</f>
        <v>0</v>
      </c>
      <c r="BF99" s="86"/>
      <c r="BG99" s="86"/>
      <c r="BH99" s="86"/>
      <c r="BI99" s="86"/>
      <c r="BJ99" s="86"/>
      <c r="BK99" s="86"/>
      <c r="BL99" s="86"/>
      <c r="BM99" s="86"/>
      <c r="BN99" s="86"/>
      <c r="BO99" s="86"/>
      <c r="BP99" s="86"/>
      <c r="BQ99" s="86"/>
      <c r="BR99" s="61" t="str">
        <f aca="false">IF(C99="","",IF(OR(COUNTIF(C56:C115,C99)&gt;1,AND(E99&lt;&gt;"",COUNTIF(E56:E115,E99)&gt;1),AND(S99&lt;&gt;"",COUNTIF(S56:S115,S99)&gt;1),AND(U99&lt;&gt;"",COUNTIF(U56:U115,U99)&gt;1)),"OUI","NON"))</f>
        <v/>
      </c>
      <c r="BS99" s="86"/>
    </row>
    <row r="100" customFormat="false" ht="15" hidden="false" customHeight="true" outlineLevel="0" collapsed="false">
      <c r="A100" s="61" t="str">
        <f aca="false">IF(C100="","","PART"&amp;TEXT(ROW()-55,"00000"))</f>
        <v/>
      </c>
      <c r="B100" s="86"/>
      <c r="C100" s="86"/>
      <c r="D100" s="86"/>
      <c r="E100" s="86"/>
      <c r="F100" s="86"/>
      <c r="G100" s="86"/>
      <c r="H100" s="86"/>
      <c r="I100" s="86"/>
      <c r="J100" s="101"/>
      <c r="K100" s="86"/>
      <c r="L100" s="86"/>
      <c r="M100" s="86"/>
      <c r="N100" s="61" t="str">
        <f aca="false">IFERROR(INDEX(PARAMETRES!$B$536:$B$586,MATCH(M100,PARAMETRES!$J$536:$J$586,0)),"")</f>
        <v/>
      </c>
      <c r="O100" s="61" t="str">
        <f aca="false">IFERROR(INDEX(PARAMETRES!$D$536:$D$586,MATCH(M100,PARAMETRES!$J$536:$J$586,0)),"")</f>
        <v/>
      </c>
      <c r="P100" s="61" t="str">
        <f aca="false">IFERROR(INDEX(PARAMETRES!$F$536:$F$586,MATCH(M100,PARAMETRES!$J$536:$J$586,0)),"")</f>
        <v/>
      </c>
      <c r="Q100" s="61" t="str">
        <f aca="false">IFERROR(INDEX(PARAMETRES!$H$536:$H$586,MATCH(M100,PARAMETRES!$J$536:$J$586,0)),"")</f>
        <v/>
      </c>
      <c r="R100" s="86"/>
      <c r="S100" s="86"/>
      <c r="T100" s="86"/>
      <c r="U100" s="86"/>
      <c r="V100" s="86"/>
      <c r="W100" s="86"/>
      <c r="X100" s="86"/>
      <c r="Y100" s="86"/>
      <c r="Z100" s="86"/>
      <c r="AA100" s="86"/>
      <c r="AB100" s="86"/>
      <c r="AC100" s="79"/>
      <c r="AD100" s="86"/>
      <c r="AE100" s="86"/>
      <c r="AF100" s="86"/>
      <c r="AG100" s="86"/>
      <c r="AH100" s="61" t="str">
        <f aca="false">IFERROR(INDEX(PARAMETRES!$B$536:$B$586,MATCH(AG100,PARAMETRES!$J$536:$J$586,0)),"")</f>
        <v/>
      </c>
      <c r="AI100" s="61" t="str">
        <f aca="false">IFERROR(INDEX(PARAMETRES!$D$536:$D$586,MATCH(AG100,PARAMETRES!$J$536:$J$586,0)),"")</f>
        <v/>
      </c>
      <c r="AJ100" s="61" t="str">
        <f aca="false">IFERROR(INDEX(PARAMETRES!$F$536:$F$586,MATCH(AG100,PARAMETRES!$J$536:$J$586,0)),"")</f>
        <v/>
      </c>
      <c r="AK100" s="61" t="str">
        <f aca="false">IFERROR(INDEX(PARAMETRES!$H$536:$H$586,MATCH(AG100,PARAMETRES!$J$536:$J$586,0)),"")</f>
        <v/>
      </c>
      <c r="AL100" s="79"/>
      <c r="AM100" s="79"/>
      <c r="AN100" s="86"/>
      <c r="AO100" s="86"/>
      <c r="AP100" s="80"/>
      <c r="AQ100" s="80"/>
      <c r="AR100" s="81" t="str">
        <f aca="false">IF(OR(AP100="",AQ100=""),"",AP100-AQ100)</f>
        <v/>
      </c>
      <c r="AS100" s="86"/>
      <c r="AT100" s="61" t="n">
        <f aca="false">IF(A100="",0,COUNTIF(tbl_Partenaires_Projets[ID Partenaire],A100))</f>
        <v>0</v>
      </c>
      <c r="AU100" s="61" t="n">
        <f aca="false">IF(A100="",0,COUNTIF(tbl_Partenaires_Conventions[ID Partenaire],A100))</f>
        <v>0</v>
      </c>
      <c r="AV100" s="61" t="n">
        <f aca="false">IF(A100="",0,COUNTIFS(tbl_Partenaires_Conventions[ID Partenaire],A100,tbl_Partenaires_Conventions[Statut],"Active"))</f>
        <v>0</v>
      </c>
      <c r="AW100" s="61" t="str">
        <f aca="false">IF(A100="","",IF(COUNTIFS(tbl_Partenaires_Conventions[ID Partenaire],A100,tbl_Partenaires_Conventions[Statut],"Active")=0,"NON",IF(_xlfn.MINIFS(tbl_Partenaires_Conventions[Date fin],tbl_Partenaires_Conventions[ID Partenaire],A100,tbl_Partenaires_Conventions[Statut],"Active")-TODAY()&lt;=60,"OUI","NON")))</f>
        <v/>
      </c>
      <c r="AX100" s="61" t="n">
        <f aca="false">IF(A100="",0,COUNTIF(tbl_Partenaires_Documents[ID Partenaire],A100))</f>
        <v>0</v>
      </c>
      <c r="AY100" s="92" t="str">
        <f aca="false">IFERROR(AVERAGEIFS(tbl_Partenaires_Evaluations[Note globale],tbl_Partenaires_Evaluations[ID Partenaire],A100),"")</f>
        <v/>
      </c>
      <c r="AZ100" s="102" t="n">
        <f aca="false">IFERROR(_xlfn.MAXIFS(tbl_Partenaires_Evaluations[Date evaluation],tbl_Partenaires_Evaluations[ID Partenaire],A100),"")</f>
        <v>0</v>
      </c>
      <c r="BA100" s="61" t="n">
        <f aca="false">IF(A100="",0,COUNTIF(tbl_Partenaires_Risques[ID Partenaire],A100))</f>
        <v>0</v>
      </c>
      <c r="BB100" s="61" t="str">
        <f aca="false">IF(A100="","",IF(COUNTIFS(tbl_Partenaires_Risques[ID Partenaire],A100,tbl_Partenaires_Risques[Niveau],"Eleve")+COUNTIFS(tbl_Partenaires_Risques[ID Partenaire],A100,tbl_Partenaires_Risques[Niveau],"Critique")&gt;0,"OUI","NON"))</f>
        <v/>
      </c>
      <c r="BC100" s="61" t="n">
        <f aca="false">IF(A100="",0,COUNTIF(tbl_Partenaires_Contacts[ID Partenaire],A100))</f>
        <v>0</v>
      </c>
      <c r="BD100" s="61" t="n">
        <f aca="false">IF(A100="",0,COUNTIFS(tbl_Partenaires_Opportunites[ID Partenaire],A100,tbl_Partenaires_Opportunites[Statut],"&lt;&gt;Cloturee"))</f>
        <v>0</v>
      </c>
      <c r="BE100" s="61" t="n">
        <f aca="false">IF(A100="",0,COUNTIF(tbl_Partenaires_Prospection[ID Partenaire],A100))</f>
        <v>0</v>
      </c>
      <c r="BF100" s="86"/>
      <c r="BG100" s="86"/>
      <c r="BH100" s="86"/>
      <c r="BI100" s="86"/>
      <c r="BJ100" s="86"/>
      <c r="BK100" s="86"/>
      <c r="BL100" s="86"/>
      <c r="BM100" s="86"/>
      <c r="BN100" s="86"/>
      <c r="BO100" s="86"/>
      <c r="BP100" s="86"/>
      <c r="BQ100" s="86"/>
      <c r="BR100" s="61" t="str">
        <f aca="false">IF(C100="","",IF(OR(COUNTIF(C56:C115,C100)&gt;1,AND(E100&lt;&gt;"",COUNTIF(E56:E115,E100)&gt;1),AND(S100&lt;&gt;"",COUNTIF(S56:S115,S100)&gt;1),AND(U100&lt;&gt;"",COUNTIF(U56:U115,U100)&gt;1)),"OUI","NON"))</f>
        <v/>
      </c>
      <c r="BS100" s="86"/>
    </row>
    <row r="101" customFormat="false" ht="15" hidden="false" customHeight="true" outlineLevel="0" collapsed="false">
      <c r="A101" s="61" t="str">
        <f aca="false">IF(C101="","","PART"&amp;TEXT(ROW()-55,"00000"))</f>
        <v/>
      </c>
      <c r="B101" s="86"/>
      <c r="C101" s="86"/>
      <c r="D101" s="86"/>
      <c r="E101" s="86"/>
      <c r="F101" s="86"/>
      <c r="G101" s="86"/>
      <c r="H101" s="86"/>
      <c r="I101" s="86"/>
      <c r="J101" s="101"/>
      <c r="K101" s="86"/>
      <c r="L101" s="86"/>
      <c r="M101" s="86"/>
      <c r="N101" s="61" t="str">
        <f aca="false">IFERROR(INDEX(PARAMETRES!$B$536:$B$586,MATCH(M101,PARAMETRES!$J$536:$J$586,0)),"")</f>
        <v/>
      </c>
      <c r="O101" s="61" t="str">
        <f aca="false">IFERROR(INDEX(PARAMETRES!$D$536:$D$586,MATCH(M101,PARAMETRES!$J$536:$J$586,0)),"")</f>
        <v/>
      </c>
      <c r="P101" s="61" t="str">
        <f aca="false">IFERROR(INDEX(PARAMETRES!$F$536:$F$586,MATCH(M101,PARAMETRES!$J$536:$J$586,0)),"")</f>
        <v/>
      </c>
      <c r="Q101" s="61" t="str">
        <f aca="false">IFERROR(INDEX(PARAMETRES!$H$536:$H$586,MATCH(M101,PARAMETRES!$J$536:$J$586,0)),"")</f>
        <v/>
      </c>
      <c r="R101" s="86"/>
      <c r="S101" s="86"/>
      <c r="T101" s="86"/>
      <c r="U101" s="86"/>
      <c r="V101" s="86"/>
      <c r="W101" s="86"/>
      <c r="X101" s="86"/>
      <c r="Y101" s="86"/>
      <c r="Z101" s="86"/>
      <c r="AA101" s="86"/>
      <c r="AB101" s="86"/>
      <c r="AC101" s="79"/>
      <c r="AD101" s="86"/>
      <c r="AE101" s="86"/>
      <c r="AF101" s="86"/>
      <c r="AG101" s="86"/>
      <c r="AH101" s="61" t="str">
        <f aca="false">IFERROR(INDEX(PARAMETRES!$B$536:$B$586,MATCH(AG101,PARAMETRES!$J$536:$J$586,0)),"")</f>
        <v/>
      </c>
      <c r="AI101" s="61" t="str">
        <f aca="false">IFERROR(INDEX(PARAMETRES!$D$536:$D$586,MATCH(AG101,PARAMETRES!$J$536:$J$586,0)),"")</f>
        <v/>
      </c>
      <c r="AJ101" s="61" t="str">
        <f aca="false">IFERROR(INDEX(PARAMETRES!$F$536:$F$586,MATCH(AG101,PARAMETRES!$J$536:$J$586,0)),"")</f>
        <v/>
      </c>
      <c r="AK101" s="61" t="str">
        <f aca="false">IFERROR(INDEX(PARAMETRES!$H$536:$H$586,MATCH(AG101,PARAMETRES!$J$536:$J$586,0)),"")</f>
        <v/>
      </c>
      <c r="AL101" s="79"/>
      <c r="AM101" s="79"/>
      <c r="AN101" s="86"/>
      <c r="AO101" s="86"/>
      <c r="AP101" s="80"/>
      <c r="AQ101" s="80"/>
      <c r="AR101" s="81" t="str">
        <f aca="false">IF(OR(AP101="",AQ101=""),"",AP101-AQ101)</f>
        <v/>
      </c>
      <c r="AS101" s="86"/>
      <c r="AT101" s="61" t="n">
        <f aca="false">IF(A101="",0,COUNTIF(tbl_Partenaires_Projets[ID Partenaire],A101))</f>
        <v>0</v>
      </c>
      <c r="AU101" s="61" t="n">
        <f aca="false">IF(A101="",0,COUNTIF(tbl_Partenaires_Conventions[ID Partenaire],A101))</f>
        <v>0</v>
      </c>
      <c r="AV101" s="61" t="n">
        <f aca="false">IF(A101="",0,COUNTIFS(tbl_Partenaires_Conventions[ID Partenaire],A101,tbl_Partenaires_Conventions[Statut],"Active"))</f>
        <v>0</v>
      </c>
      <c r="AW101" s="61" t="str">
        <f aca="false">IF(A101="","",IF(COUNTIFS(tbl_Partenaires_Conventions[ID Partenaire],A101,tbl_Partenaires_Conventions[Statut],"Active")=0,"NON",IF(_xlfn.MINIFS(tbl_Partenaires_Conventions[Date fin],tbl_Partenaires_Conventions[ID Partenaire],A101,tbl_Partenaires_Conventions[Statut],"Active")-TODAY()&lt;=60,"OUI","NON")))</f>
        <v/>
      </c>
      <c r="AX101" s="61" t="n">
        <f aca="false">IF(A101="",0,COUNTIF(tbl_Partenaires_Documents[ID Partenaire],A101))</f>
        <v>0</v>
      </c>
      <c r="AY101" s="92" t="str">
        <f aca="false">IFERROR(AVERAGEIFS(tbl_Partenaires_Evaluations[Note globale],tbl_Partenaires_Evaluations[ID Partenaire],A101),"")</f>
        <v/>
      </c>
      <c r="AZ101" s="102" t="n">
        <f aca="false">IFERROR(_xlfn.MAXIFS(tbl_Partenaires_Evaluations[Date evaluation],tbl_Partenaires_Evaluations[ID Partenaire],A101),"")</f>
        <v>0</v>
      </c>
      <c r="BA101" s="61" t="n">
        <f aca="false">IF(A101="",0,COUNTIF(tbl_Partenaires_Risques[ID Partenaire],A101))</f>
        <v>0</v>
      </c>
      <c r="BB101" s="61" t="str">
        <f aca="false">IF(A101="","",IF(COUNTIFS(tbl_Partenaires_Risques[ID Partenaire],A101,tbl_Partenaires_Risques[Niveau],"Eleve")+COUNTIFS(tbl_Partenaires_Risques[ID Partenaire],A101,tbl_Partenaires_Risques[Niveau],"Critique")&gt;0,"OUI","NON"))</f>
        <v/>
      </c>
      <c r="BC101" s="61" t="n">
        <f aca="false">IF(A101="",0,COUNTIF(tbl_Partenaires_Contacts[ID Partenaire],A101))</f>
        <v>0</v>
      </c>
      <c r="BD101" s="61" t="n">
        <f aca="false">IF(A101="",0,COUNTIFS(tbl_Partenaires_Opportunites[ID Partenaire],A101,tbl_Partenaires_Opportunites[Statut],"&lt;&gt;Cloturee"))</f>
        <v>0</v>
      </c>
      <c r="BE101" s="61" t="n">
        <f aca="false">IF(A101="",0,COUNTIF(tbl_Partenaires_Prospection[ID Partenaire],A101))</f>
        <v>0</v>
      </c>
      <c r="BF101" s="86"/>
      <c r="BG101" s="86"/>
      <c r="BH101" s="86"/>
      <c r="BI101" s="86"/>
      <c r="BJ101" s="86"/>
      <c r="BK101" s="86"/>
      <c r="BL101" s="86"/>
      <c r="BM101" s="86"/>
      <c r="BN101" s="86"/>
      <c r="BO101" s="86"/>
      <c r="BP101" s="86"/>
      <c r="BQ101" s="86"/>
      <c r="BR101" s="61" t="str">
        <f aca="false">IF(C101="","",IF(OR(COUNTIF(C56:C115,C101)&gt;1,AND(E101&lt;&gt;"",COUNTIF(E56:E115,E101)&gt;1),AND(S101&lt;&gt;"",COUNTIF(S56:S115,S101)&gt;1),AND(U101&lt;&gt;"",COUNTIF(U56:U115,U101)&gt;1)),"OUI","NON"))</f>
        <v/>
      </c>
      <c r="BS101" s="86"/>
    </row>
    <row r="102" customFormat="false" ht="15" hidden="false" customHeight="true" outlineLevel="0" collapsed="false">
      <c r="A102" s="61" t="str">
        <f aca="false">IF(C102="","","PART"&amp;TEXT(ROW()-55,"00000"))</f>
        <v/>
      </c>
      <c r="B102" s="86"/>
      <c r="C102" s="86"/>
      <c r="D102" s="86"/>
      <c r="E102" s="86"/>
      <c r="F102" s="86"/>
      <c r="G102" s="86"/>
      <c r="H102" s="86"/>
      <c r="I102" s="86"/>
      <c r="J102" s="101"/>
      <c r="K102" s="86"/>
      <c r="L102" s="86"/>
      <c r="M102" s="86"/>
      <c r="N102" s="61" t="str">
        <f aca="false">IFERROR(INDEX(PARAMETRES!$B$536:$B$586,MATCH(M102,PARAMETRES!$J$536:$J$586,0)),"")</f>
        <v/>
      </c>
      <c r="O102" s="61" t="str">
        <f aca="false">IFERROR(INDEX(PARAMETRES!$D$536:$D$586,MATCH(M102,PARAMETRES!$J$536:$J$586,0)),"")</f>
        <v/>
      </c>
      <c r="P102" s="61" t="str">
        <f aca="false">IFERROR(INDEX(PARAMETRES!$F$536:$F$586,MATCH(M102,PARAMETRES!$J$536:$J$586,0)),"")</f>
        <v/>
      </c>
      <c r="Q102" s="61" t="str">
        <f aca="false">IFERROR(INDEX(PARAMETRES!$H$536:$H$586,MATCH(M102,PARAMETRES!$J$536:$J$586,0)),"")</f>
        <v/>
      </c>
      <c r="R102" s="86"/>
      <c r="S102" s="86"/>
      <c r="T102" s="86"/>
      <c r="U102" s="86"/>
      <c r="V102" s="86"/>
      <c r="W102" s="86"/>
      <c r="X102" s="86"/>
      <c r="Y102" s="86"/>
      <c r="Z102" s="86"/>
      <c r="AA102" s="86"/>
      <c r="AB102" s="86"/>
      <c r="AC102" s="79"/>
      <c r="AD102" s="86"/>
      <c r="AE102" s="86"/>
      <c r="AF102" s="86"/>
      <c r="AG102" s="86"/>
      <c r="AH102" s="61" t="str">
        <f aca="false">IFERROR(INDEX(PARAMETRES!$B$536:$B$586,MATCH(AG102,PARAMETRES!$J$536:$J$586,0)),"")</f>
        <v/>
      </c>
      <c r="AI102" s="61" t="str">
        <f aca="false">IFERROR(INDEX(PARAMETRES!$D$536:$D$586,MATCH(AG102,PARAMETRES!$J$536:$J$586,0)),"")</f>
        <v/>
      </c>
      <c r="AJ102" s="61" t="str">
        <f aca="false">IFERROR(INDEX(PARAMETRES!$F$536:$F$586,MATCH(AG102,PARAMETRES!$J$536:$J$586,0)),"")</f>
        <v/>
      </c>
      <c r="AK102" s="61" t="str">
        <f aca="false">IFERROR(INDEX(PARAMETRES!$H$536:$H$586,MATCH(AG102,PARAMETRES!$J$536:$J$586,0)),"")</f>
        <v/>
      </c>
      <c r="AL102" s="79"/>
      <c r="AM102" s="79"/>
      <c r="AN102" s="86"/>
      <c r="AO102" s="86"/>
      <c r="AP102" s="80"/>
      <c r="AQ102" s="80"/>
      <c r="AR102" s="81" t="str">
        <f aca="false">IF(OR(AP102="",AQ102=""),"",AP102-AQ102)</f>
        <v/>
      </c>
      <c r="AS102" s="86"/>
      <c r="AT102" s="61" t="n">
        <f aca="false">IF(A102="",0,COUNTIF(tbl_Partenaires_Projets[ID Partenaire],A102))</f>
        <v>0</v>
      </c>
      <c r="AU102" s="61" t="n">
        <f aca="false">IF(A102="",0,COUNTIF(tbl_Partenaires_Conventions[ID Partenaire],A102))</f>
        <v>0</v>
      </c>
      <c r="AV102" s="61" t="n">
        <f aca="false">IF(A102="",0,COUNTIFS(tbl_Partenaires_Conventions[ID Partenaire],A102,tbl_Partenaires_Conventions[Statut],"Active"))</f>
        <v>0</v>
      </c>
      <c r="AW102" s="61" t="str">
        <f aca="false">IF(A102="","",IF(COUNTIFS(tbl_Partenaires_Conventions[ID Partenaire],A102,tbl_Partenaires_Conventions[Statut],"Active")=0,"NON",IF(_xlfn.MINIFS(tbl_Partenaires_Conventions[Date fin],tbl_Partenaires_Conventions[ID Partenaire],A102,tbl_Partenaires_Conventions[Statut],"Active")-TODAY()&lt;=60,"OUI","NON")))</f>
        <v/>
      </c>
      <c r="AX102" s="61" t="n">
        <f aca="false">IF(A102="",0,COUNTIF(tbl_Partenaires_Documents[ID Partenaire],A102))</f>
        <v>0</v>
      </c>
      <c r="AY102" s="92" t="str">
        <f aca="false">IFERROR(AVERAGEIFS(tbl_Partenaires_Evaluations[Note globale],tbl_Partenaires_Evaluations[ID Partenaire],A102),"")</f>
        <v/>
      </c>
      <c r="AZ102" s="102" t="n">
        <f aca="false">IFERROR(_xlfn.MAXIFS(tbl_Partenaires_Evaluations[Date evaluation],tbl_Partenaires_Evaluations[ID Partenaire],A102),"")</f>
        <v>0</v>
      </c>
      <c r="BA102" s="61" t="n">
        <f aca="false">IF(A102="",0,COUNTIF(tbl_Partenaires_Risques[ID Partenaire],A102))</f>
        <v>0</v>
      </c>
      <c r="BB102" s="61" t="str">
        <f aca="false">IF(A102="","",IF(COUNTIFS(tbl_Partenaires_Risques[ID Partenaire],A102,tbl_Partenaires_Risques[Niveau],"Eleve")+COUNTIFS(tbl_Partenaires_Risques[ID Partenaire],A102,tbl_Partenaires_Risques[Niveau],"Critique")&gt;0,"OUI","NON"))</f>
        <v/>
      </c>
      <c r="BC102" s="61" t="n">
        <f aca="false">IF(A102="",0,COUNTIF(tbl_Partenaires_Contacts[ID Partenaire],A102))</f>
        <v>0</v>
      </c>
      <c r="BD102" s="61" t="n">
        <f aca="false">IF(A102="",0,COUNTIFS(tbl_Partenaires_Opportunites[ID Partenaire],A102,tbl_Partenaires_Opportunites[Statut],"&lt;&gt;Cloturee"))</f>
        <v>0</v>
      </c>
      <c r="BE102" s="61" t="n">
        <f aca="false">IF(A102="",0,COUNTIF(tbl_Partenaires_Prospection[ID Partenaire],A102))</f>
        <v>0</v>
      </c>
      <c r="BF102" s="86"/>
      <c r="BG102" s="86"/>
      <c r="BH102" s="86"/>
      <c r="BI102" s="86"/>
      <c r="BJ102" s="86"/>
      <c r="BK102" s="86"/>
      <c r="BL102" s="86"/>
      <c r="BM102" s="86"/>
      <c r="BN102" s="86"/>
      <c r="BO102" s="86"/>
      <c r="BP102" s="86"/>
      <c r="BQ102" s="86"/>
      <c r="BR102" s="61" t="str">
        <f aca="false">IF(C102="","",IF(OR(COUNTIF(C56:C115,C102)&gt;1,AND(E102&lt;&gt;"",COUNTIF(E56:E115,E102)&gt;1),AND(S102&lt;&gt;"",COUNTIF(S56:S115,S102)&gt;1),AND(U102&lt;&gt;"",COUNTIF(U56:U115,U102)&gt;1)),"OUI","NON"))</f>
        <v/>
      </c>
      <c r="BS102" s="86"/>
    </row>
    <row r="103" customFormat="false" ht="15" hidden="false" customHeight="true" outlineLevel="0" collapsed="false">
      <c r="A103" s="61" t="str">
        <f aca="false">IF(C103="","","PART"&amp;TEXT(ROW()-55,"00000"))</f>
        <v/>
      </c>
      <c r="B103" s="86"/>
      <c r="C103" s="86"/>
      <c r="D103" s="86"/>
      <c r="E103" s="86"/>
      <c r="F103" s="86"/>
      <c r="G103" s="86"/>
      <c r="H103" s="86"/>
      <c r="I103" s="86"/>
      <c r="J103" s="101"/>
      <c r="K103" s="86"/>
      <c r="L103" s="86"/>
      <c r="M103" s="86"/>
      <c r="N103" s="61" t="str">
        <f aca="false">IFERROR(INDEX(PARAMETRES!$B$536:$B$586,MATCH(M103,PARAMETRES!$J$536:$J$586,0)),"")</f>
        <v/>
      </c>
      <c r="O103" s="61" t="str">
        <f aca="false">IFERROR(INDEX(PARAMETRES!$D$536:$D$586,MATCH(M103,PARAMETRES!$J$536:$J$586,0)),"")</f>
        <v/>
      </c>
      <c r="P103" s="61" t="str">
        <f aca="false">IFERROR(INDEX(PARAMETRES!$F$536:$F$586,MATCH(M103,PARAMETRES!$J$536:$J$586,0)),"")</f>
        <v/>
      </c>
      <c r="Q103" s="61" t="str">
        <f aca="false">IFERROR(INDEX(PARAMETRES!$H$536:$H$586,MATCH(M103,PARAMETRES!$J$536:$J$586,0)),"")</f>
        <v/>
      </c>
      <c r="R103" s="86"/>
      <c r="S103" s="86"/>
      <c r="T103" s="86"/>
      <c r="U103" s="86"/>
      <c r="V103" s="86"/>
      <c r="W103" s="86"/>
      <c r="X103" s="86"/>
      <c r="Y103" s="86"/>
      <c r="Z103" s="86"/>
      <c r="AA103" s="86"/>
      <c r="AB103" s="86"/>
      <c r="AC103" s="79"/>
      <c r="AD103" s="86"/>
      <c r="AE103" s="86"/>
      <c r="AF103" s="86"/>
      <c r="AG103" s="86"/>
      <c r="AH103" s="61" t="str">
        <f aca="false">IFERROR(INDEX(PARAMETRES!$B$536:$B$586,MATCH(AG103,PARAMETRES!$J$536:$J$586,0)),"")</f>
        <v/>
      </c>
      <c r="AI103" s="61" t="str">
        <f aca="false">IFERROR(INDEX(PARAMETRES!$D$536:$D$586,MATCH(AG103,PARAMETRES!$J$536:$J$586,0)),"")</f>
        <v/>
      </c>
      <c r="AJ103" s="61" t="str">
        <f aca="false">IFERROR(INDEX(PARAMETRES!$F$536:$F$586,MATCH(AG103,PARAMETRES!$J$536:$J$586,0)),"")</f>
        <v/>
      </c>
      <c r="AK103" s="61" t="str">
        <f aca="false">IFERROR(INDEX(PARAMETRES!$H$536:$H$586,MATCH(AG103,PARAMETRES!$J$536:$J$586,0)),"")</f>
        <v/>
      </c>
      <c r="AL103" s="79"/>
      <c r="AM103" s="79"/>
      <c r="AN103" s="86"/>
      <c r="AO103" s="86"/>
      <c r="AP103" s="80"/>
      <c r="AQ103" s="80"/>
      <c r="AR103" s="81" t="str">
        <f aca="false">IF(OR(AP103="",AQ103=""),"",AP103-AQ103)</f>
        <v/>
      </c>
      <c r="AS103" s="86"/>
      <c r="AT103" s="61" t="n">
        <f aca="false">IF(A103="",0,COUNTIF(tbl_Partenaires_Projets[ID Partenaire],A103))</f>
        <v>0</v>
      </c>
      <c r="AU103" s="61" t="n">
        <f aca="false">IF(A103="",0,COUNTIF(tbl_Partenaires_Conventions[ID Partenaire],A103))</f>
        <v>0</v>
      </c>
      <c r="AV103" s="61" t="n">
        <f aca="false">IF(A103="",0,COUNTIFS(tbl_Partenaires_Conventions[ID Partenaire],A103,tbl_Partenaires_Conventions[Statut],"Active"))</f>
        <v>0</v>
      </c>
      <c r="AW103" s="61" t="str">
        <f aca="false">IF(A103="","",IF(COUNTIFS(tbl_Partenaires_Conventions[ID Partenaire],A103,tbl_Partenaires_Conventions[Statut],"Active")=0,"NON",IF(_xlfn.MINIFS(tbl_Partenaires_Conventions[Date fin],tbl_Partenaires_Conventions[ID Partenaire],A103,tbl_Partenaires_Conventions[Statut],"Active")-TODAY()&lt;=60,"OUI","NON")))</f>
        <v/>
      </c>
      <c r="AX103" s="61" t="n">
        <f aca="false">IF(A103="",0,COUNTIF(tbl_Partenaires_Documents[ID Partenaire],A103))</f>
        <v>0</v>
      </c>
      <c r="AY103" s="92" t="str">
        <f aca="false">IFERROR(AVERAGEIFS(tbl_Partenaires_Evaluations[Note globale],tbl_Partenaires_Evaluations[ID Partenaire],A103),"")</f>
        <v/>
      </c>
      <c r="AZ103" s="102" t="n">
        <f aca="false">IFERROR(_xlfn.MAXIFS(tbl_Partenaires_Evaluations[Date evaluation],tbl_Partenaires_Evaluations[ID Partenaire],A103),"")</f>
        <v>0</v>
      </c>
      <c r="BA103" s="61" t="n">
        <f aca="false">IF(A103="",0,COUNTIF(tbl_Partenaires_Risques[ID Partenaire],A103))</f>
        <v>0</v>
      </c>
      <c r="BB103" s="61" t="str">
        <f aca="false">IF(A103="","",IF(COUNTIFS(tbl_Partenaires_Risques[ID Partenaire],A103,tbl_Partenaires_Risques[Niveau],"Eleve")+COUNTIFS(tbl_Partenaires_Risques[ID Partenaire],A103,tbl_Partenaires_Risques[Niveau],"Critique")&gt;0,"OUI","NON"))</f>
        <v/>
      </c>
      <c r="BC103" s="61" t="n">
        <f aca="false">IF(A103="",0,COUNTIF(tbl_Partenaires_Contacts[ID Partenaire],A103))</f>
        <v>0</v>
      </c>
      <c r="BD103" s="61" t="n">
        <f aca="false">IF(A103="",0,COUNTIFS(tbl_Partenaires_Opportunites[ID Partenaire],A103,tbl_Partenaires_Opportunites[Statut],"&lt;&gt;Cloturee"))</f>
        <v>0</v>
      </c>
      <c r="BE103" s="61" t="n">
        <f aca="false">IF(A103="",0,COUNTIF(tbl_Partenaires_Prospection[ID Partenaire],A103))</f>
        <v>0</v>
      </c>
      <c r="BF103" s="86"/>
      <c r="BG103" s="86"/>
      <c r="BH103" s="86"/>
      <c r="BI103" s="86"/>
      <c r="BJ103" s="86"/>
      <c r="BK103" s="86"/>
      <c r="BL103" s="86"/>
      <c r="BM103" s="86"/>
      <c r="BN103" s="86"/>
      <c r="BO103" s="86"/>
      <c r="BP103" s="86"/>
      <c r="BQ103" s="86"/>
      <c r="BR103" s="61" t="str">
        <f aca="false">IF(C103="","",IF(OR(COUNTIF(C56:C115,C103)&gt;1,AND(E103&lt;&gt;"",COUNTIF(E56:E115,E103)&gt;1),AND(S103&lt;&gt;"",COUNTIF(S56:S115,S103)&gt;1),AND(U103&lt;&gt;"",COUNTIF(U56:U115,U103)&gt;1)),"OUI","NON"))</f>
        <v/>
      </c>
      <c r="BS103" s="86"/>
    </row>
    <row r="104" customFormat="false" ht="15" hidden="false" customHeight="true" outlineLevel="0" collapsed="false">
      <c r="A104" s="61" t="str">
        <f aca="false">IF(C104="","","PART"&amp;TEXT(ROW()-55,"00000"))</f>
        <v/>
      </c>
      <c r="B104" s="86"/>
      <c r="C104" s="86"/>
      <c r="D104" s="86"/>
      <c r="E104" s="86"/>
      <c r="F104" s="86"/>
      <c r="G104" s="86"/>
      <c r="H104" s="86"/>
      <c r="I104" s="86"/>
      <c r="J104" s="101"/>
      <c r="K104" s="86"/>
      <c r="L104" s="86"/>
      <c r="M104" s="86"/>
      <c r="N104" s="61" t="str">
        <f aca="false">IFERROR(INDEX(PARAMETRES!$B$536:$B$586,MATCH(M104,PARAMETRES!$J$536:$J$586,0)),"")</f>
        <v/>
      </c>
      <c r="O104" s="61" t="str">
        <f aca="false">IFERROR(INDEX(PARAMETRES!$D$536:$D$586,MATCH(M104,PARAMETRES!$J$536:$J$586,0)),"")</f>
        <v/>
      </c>
      <c r="P104" s="61" t="str">
        <f aca="false">IFERROR(INDEX(PARAMETRES!$F$536:$F$586,MATCH(M104,PARAMETRES!$J$536:$J$586,0)),"")</f>
        <v/>
      </c>
      <c r="Q104" s="61" t="str">
        <f aca="false">IFERROR(INDEX(PARAMETRES!$H$536:$H$586,MATCH(M104,PARAMETRES!$J$536:$J$586,0)),"")</f>
        <v/>
      </c>
      <c r="R104" s="86"/>
      <c r="S104" s="86"/>
      <c r="T104" s="86"/>
      <c r="U104" s="86"/>
      <c r="V104" s="86"/>
      <c r="W104" s="86"/>
      <c r="X104" s="86"/>
      <c r="Y104" s="86"/>
      <c r="Z104" s="86"/>
      <c r="AA104" s="86"/>
      <c r="AB104" s="86"/>
      <c r="AC104" s="79"/>
      <c r="AD104" s="86"/>
      <c r="AE104" s="86"/>
      <c r="AF104" s="86"/>
      <c r="AG104" s="86"/>
      <c r="AH104" s="61" t="str">
        <f aca="false">IFERROR(INDEX(PARAMETRES!$B$536:$B$586,MATCH(AG104,PARAMETRES!$J$536:$J$586,0)),"")</f>
        <v/>
      </c>
      <c r="AI104" s="61" t="str">
        <f aca="false">IFERROR(INDEX(PARAMETRES!$D$536:$D$586,MATCH(AG104,PARAMETRES!$J$536:$J$586,0)),"")</f>
        <v/>
      </c>
      <c r="AJ104" s="61" t="str">
        <f aca="false">IFERROR(INDEX(PARAMETRES!$F$536:$F$586,MATCH(AG104,PARAMETRES!$J$536:$J$586,0)),"")</f>
        <v/>
      </c>
      <c r="AK104" s="61" t="str">
        <f aca="false">IFERROR(INDEX(PARAMETRES!$H$536:$H$586,MATCH(AG104,PARAMETRES!$J$536:$J$586,0)),"")</f>
        <v/>
      </c>
      <c r="AL104" s="79"/>
      <c r="AM104" s="79"/>
      <c r="AN104" s="86"/>
      <c r="AO104" s="86"/>
      <c r="AP104" s="80"/>
      <c r="AQ104" s="80"/>
      <c r="AR104" s="81" t="str">
        <f aca="false">IF(OR(AP104="",AQ104=""),"",AP104-AQ104)</f>
        <v/>
      </c>
      <c r="AS104" s="86"/>
      <c r="AT104" s="61" t="n">
        <f aca="false">IF(A104="",0,COUNTIF(tbl_Partenaires_Projets[ID Partenaire],A104))</f>
        <v>0</v>
      </c>
      <c r="AU104" s="61" t="n">
        <f aca="false">IF(A104="",0,COUNTIF(tbl_Partenaires_Conventions[ID Partenaire],A104))</f>
        <v>0</v>
      </c>
      <c r="AV104" s="61" t="n">
        <f aca="false">IF(A104="",0,COUNTIFS(tbl_Partenaires_Conventions[ID Partenaire],A104,tbl_Partenaires_Conventions[Statut],"Active"))</f>
        <v>0</v>
      </c>
      <c r="AW104" s="61" t="str">
        <f aca="false">IF(A104="","",IF(COUNTIFS(tbl_Partenaires_Conventions[ID Partenaire],A104,tbl_Partenaires_Conventions[Statut],"Active")=0,"NON",IF(_xlfn.MINIFS(tbl_Partenaires_Conventions[Date fin],tbl_Partenaires_Conventions[ID Partenaire],A104,tbl_Partenaires_Conventions[Statut],"Active")-TODAY()&lt;=60,"OUI","NON")))</f>
        <v/>
      </c>
      <c r="AX104" s="61" t="n">
        <f aca="false">IF(A104="",0,COUNTIF(tbl_Partenaires_Documents[ID Partenaire],A104))</f>
        <v>0</v>
      </c>
      <c r="AY104" s="92" t="str">
        <f aca="false">IFERROR(AVERAGEIFS(tbl_Partenaires_Evaluations[Note globale],tbl_Partenaires_Evaluations[ID Partenaire],A104),"")</f>
        <v/>
      </c>
      <c r="AZ104" s="102" t="n">
        <f aca="false">IFERROR(_xlfn.MAXIFS(tbl_Partenaires_Evaluations[Date evaluation],tbl_Partenaires_Evaluations[ID Partenaire],A104),"")</f>
        <v>0</v>
      </c>
      <c r="BA104" s="61" t="n">
        <f aca="false">IF(A104="",0,COUNTIF(tbl_Partenaires_Risques[ID Partenaire],A104))</f>
        <v>0</v>
      </c>
      <c r="BB104" s="61" t="str">
        <f aca="false">IF(A104="","",IF(COUNTIFS(tbl_Partenaires_Risques[ID Partenaire],A104,tbl_Partenaires_Risques[Niveau],"Eleve")+COUNTIFS(tbl_Partenaires_Risques[ID Partenaire],A104,tbl_Partenaires_Risques[Niveau],"Critique")&gt;0,"OUI","NON"))</f>
        <v/>
      </c>
      <c r="BC104" s="61" t="n">
        <f aca="false">IF(A104="",0,COUNTIF(tbl_Partenaires_Contacts[ID Partenaire],A104))</f>
        <v>0</v>
      </c>
      <c r="BD104" s="61" t="n">
        <f aca="false">IF(A104="",0,COUNTIFS(tbl_Partenaires_Opportunites[ID Partenaire],A104,tbl_Partenaires_Opportunites[Statut],"&lt;&gt;Cloturee"))</f>
        <v>0</v>
      </c>
      <c r="BE104" s="61" t="n">
        <f aca="false">IF(A104="",0,COUNTIF(tbl_Partenaires_Prospection[ID Partenaire],A104))</f>
        <v>0</v>
      </c>
      <c r="BF104" s="86"/>
      <c r="BG104" s="86"/>
      <c r="BH104" s="86"/>
      <c r="BI104" s="86"/>
      <c r="BJ104" s="86"/>
      <c r="BK104" s="86"/>
      <c r="BL104" s="86"/>
      <c r="BM104" s="86"/>
      <c r="BN104" s="86"/>
      <c r="BO104" s="86"/>
      <c r="BP104" s="86"/>
      <c r="BQ104" s="86"/>
      <c r="BR104" s="61" t="str">
        <f aca="false">IF(C104="","",IF(OR(COUNTIF(C56:C115,C104)&gt;1,AND(E104&lt;&gt;"",COUNTIF(E56:E115,E104)&gt;1),AND(S104&lt;&gt;"",COUNTIF(S56:S115,S104)&gt;1),AND(U104&lt;&gt;"",COUNTIF(U56:U115,U104)&gt;1)),"OUI","NON"))</f>
        <v/>
      </c>
      <c r="BS104" s="86"/>
    </row>
    <row r="105" customFormat="false" ht="15" hidden="false" customHeight="true" outlineLevel="0" collapsed="false">
      <c r="A105" s="61" t="str">
        <f aca="false">IF(C105="","","PART"&amp;TEXT(ROW()-55,"00000"))</f>
        <v/>
      </c>
      <c r="B105" s="86"/>
      <c r="C105" s="86"/>
      <c r="D105" s="86"/>
      <c r="E105" s="86"/>
      <c r="F105" s="86"/>
      <c r="G105" s="86"/>
      <c r="H105" s="86"/>
      <c r="I105" s="86"/>
      <c r="J105" s="101"/>
      <c r="K105" s="86"/>
      <c r="L105" s="86"/>
      <c r="M105" s="86"/>
      <c r="N105" s="61" t="str">
        <f aca="false">IFERROR(INDEX(PARAMETRES!$B$536:$B$586,MATCH(M105,PARAMETRES!$J$536:$J$586,0)),"")</f>
        <v/>
      </c>
      <c r="O105" s="61" t="str">
        <f aca="false">IFERROR(INDEX(PARAMETRES!$D$536:$D$586,MATCH(M105,PARAMETRES!$J$536:$J$586,0)),"")</f>
        <v/>
      </c>
      <c r="P105" s="61" t="str">
        <f aca="false">IFERROR(INDEX(PARAMETRES!$F$536:$F$586,MATCH(M105,PARAMETRES!$J$536:$J$586,0)),"")</f>
        <v/>
      </c>
      <c r="Q105" s="61" t="str">
        <f aca="false">IFERROR(INDEX(PARAMETRES!$H$536:$H$586,MATCH(M105,PARAMETRES!$J$536:$J$586,0)),"")</f>
        <v/>
      </c>
      <c r="R105" s="86"/>
      <c r="S105" s="86"/>
      <c r="T105" s="86"/>
      <c r="U105" s="86"/>
      <c r="V105" s="86"/>
      <c r="W105" s="86"/>
      <c r="X105" s="86"/>
      <c r="Y105" s="86"/>
      <c r="Z105" s="86"/>
      <c r="AA105" s="86"/>
      <c r="AB105" s="86"/>
      <c r="AC105" s="79"/>
      <c r="AD105" s="86"/>
      <c r="AE105" s="86"/>
      <c r="AF105" s="86"/>
      <c r="AG105" s="86"/>
      <c r="AH105" s="61" t="str">
        <f aca="false">IFERROR(INDEX(PARAMETRES!$B$536:$B$586,MATCH(AG105,PARAMETRES!$J$536:$J$586,0)),"")</f>
        <v/>
      </c>
      <c r="AI105" s="61" t="str">
        <f aca="false">IFERROR(INDEX(PARAMETRES!$D$536:$D$586,MATCH(AG105,PARAMETRES!$J$536:$J$586,0)),"")</f>
        <v/>
      </c>
      <c r="AJ105" s="61" t="str">
        <f aca="false">IFERROR(INDEX(PARAMETRES!$F$536:$F$586,MATCH(AG105,PARAMETRES!$J$536:$J$586,0)),"")</f>
        <v/>
      </c>
      <c r="AK105" s="61" t="str">
        <f aca="false">IFERROR(INDEX(PARAMETRES!$H$536:$H$586,MATCH(AG105,PARAMETRES!$J$536:$J$586,0)),"")</f>
        <v/>
      </c>
      <c r="AL105" s="79"/>
      <c r="AM105" s="79"/>
      <c r="AN105" s="86"/>
      <c r="AO105" s="86"/>
      <c r="AP105" s="80"/>
      <c r="AQ105" s="80"/>
      <c r="AR105" s="81" t="str">
        <f aca="false">IF(OR(AP105="",AQ105=""),"",AP105-AQ105)</f>
        <v/>
      </c>
      <c r="AS105" s="86"/>
      <c r="AT105" s="61" t="n">
        <f aca="false">IF(A105="",0,COUNTIF(tbl_Partenaires_Projets[ID Partenaire],A105))</f>
        <v>0</v>
      </c>
      <c r="AU105" s="61" t="n">
        <f aca="false">IF(A105="",0,COUNTIF(tbl_Partenaires_Conventions[ID Partenaire],A105))</f>
        <v>0</v>
      </c>
      <c r="AV105" s="61" t="n">
        <f aca="false">IF(A105="",0,COUNTIFS(tbl_Partenaires_Conventions[ID Partenaire],A105,tbl_Partenaires_Conventions[Statut],"Active"))</f>
        <v>0</v>
      </c>
      <c r="AW105" s="61" t="str">
        <f aca="false">IF(A105="","",IF(COUNTIFS(tbl_Partenaires_Conventions[ID Partenaire],A105,tbl_Partenaires_Conventions[Statut],"Active")=0,"NON",IF(_xlfn.MINIFS(tbl_Partenaires_Conventions[Date fin],tbl_Partenaires_Conventions[ID Partenaire],A105,tbl_Partenaires_Conventions[Statut],"Active")-TODAY()&lt;=60,"OUI","NON")))</f>
        <v/>
      </c>
      <c r="AX105" s="61" t="n">
        <f aca="false">IF(A105="",0,COUNTIF(tbl_Partenaires_Documents[ID Partenaire],A105))</f>
        <v>0</v>
      </c>
      <c r="AY105" s="92" t="str">
        <f aca="false">IFERROR(AVERAGEIFS(tbl_Partenaires_Evaluations[Note globale],tbl_Partenaires_Evaluations[ID Partenaire],A105),"")</f>
        <v/>
      </c>
      <c r="AZ105" s="102" t="n">
        <f aca="false">IFERROR(_xlfn.MAXIFS(tbl_Partenaires_Evaluations[Date evaluation],tbl_Partenaires_Evaluations[ID Partenaire],A105),"")</f>
        <v>0</v>
      </c>
      <c r="BA105" s="61" t="n">
        <f aca="false">IF(A105="",0,COUNTIF(tbl_Partenaires_Risques[ID Partenaire],A105))</f>
        <v>0</v>
      </c>
      <c r="BB105" s="61" t="str">
        <f aca="false">IF(A105="","",IF(COUNTIFS(tbl_Partenaires_Risques[ID Partenaire],A105,tbl_Partenaires_Risques[Niveau],"Eleve")+COUNTIFS(tbl_Partenaires_Risques[ID Partenaire],A105,tbl_Partenaires_Risques[Niveau],"Critique")&gt;0,"OUI","NON"))</f>
        <v/>
      </c>
      <c r="BC105" s="61" t="n">
        <f aca="false">IF(A105="",0,COUNTIF(tbl_Partenaires_Contacts[ID Partenaire],A105))</f>
        <v>0</v>
      </c>
      <c r="BD105" s="61" t="n">
        <f aca="false">IF(A105="",0,COUNTIFS(tbl_Partenaires_Opportunites[ID Partenaire],A105,tbl_Partenaires_Opportunites[Statut],"&lt;&gt;Cloturee"))</f>
        <v>0</v>
      </c>
      <c r="BE105" s="61" t="n">
        <f aca="false">IF(A105="",0,COUNTIF(tbl_Partenaires_Prospection[ID Partenaire],A105))</f>
        <v>0</v>
      </c>
      <c r="BF105" s="86"/>
      <c r="BG105" s="86"/>
      <c r="BH105" s="86"/>
      <c r="BI105" s="86"/>
      <c r="BJ105" s="86"/>
      <c r="BK105" s="86"/>
      <c r="BL105" s="86"/>
      <c r="BM105" s="86"/>
      <c r="BN105" s="86"/>
      <c r="BO105" s="86"/>
      <c r="BP105" s="86"/>
      <c r="BQ105" s="86"/>
      <c r="BR105" s="61" t="str">
        <f aca="false">IF(C105="","",IF(OR(COUNTIF(C56:C115,C105)&gt;1,AND(E105&lt;&gt;"",COUNTIF(E56:E115,E105)&gt;1),AND(S105&lt;&gt;"",COUNTIF(S56:S115,S105)&gt;1),AND(U105&lt;&gt;"",COUNTIF(U56:U115,U105)&gt;1)),"OUI","NON"))</f>
        <v/>
      </c>
      <c r="BS105" s="86"/>
    </row>
    <row r="106" customFormat="false" ht="15" hidden="false" customHeight="true" outlineLevel="0" collapsed="false">
      <c r="A106" s="61" t="str">
        <f aca="false">IF(C106="","","PART"&amp;TEXT(ROW()-55,"00000"))</f>
        <v/>
      </c>
      <c r="B106" s="86"/>
      <c r="C106" s="86"/>
      <c r="D106" s="86"/>
      <c r="E106" s="86"/>
      <c r="F106" s="86"/>
      <c r="G106" s="86"/>
      <c r="H106" s="86"/>
      <c r="I106" s="86"/>
      <c r="J106" s="101"/>
      <c r="K106" s="86"/>
      <c r="L106" s="86"/>
      <c r="M106" s="86"/>
      <c r="N106" s="61" t="str">
        <f aca="false">IFERROR(INDEX(PARAMETRES!$B$536:$B$586,MATCH(M106,PARAMETRES!$J$536:$J$586,0)),"")</f>
        <v/>
      </c>
      <c r="O106" s="61" t="str">
        <f aca="false">IFERROR(INDEX(PARAMETRES!$D$536:$D$586,MATCH(M106,PARAMETRES!$J$536:$J$586,0)),"")</f>
        <v/>
      </c>
      <c r="P106" s="61" t="str">
        <f aca="false">IFERROR(INDEX(PARAMETRES!$F$536:$F$586,MATCH(M106,PARAMETRES!$J$536:$J$586,0)),"")</f>
        <v/>
      </c>
      <c r="Q106" s="61" t="str">
        <f aca="false">IFERROR(INDEX(PARAMETRES!$H$536:$H$586,MATCH(M106,PARAMETRES!$J$536:$J$586,0)),"")</f>
        <v/>
      </c>
      <c r="R106" s="86"/>
      <c r="S106" s="86"/>
      <c r="T106" s="86"/>
      <c r="U106" s="86"/>
      <c r="V106" s="86"/>
      <c r="W106" s="86"/>
      <c r="X106" s="86"/>
      <c r="Y106" s="86"/>
      <c r="Z106" s="86"/>
      <c r="AA106" s="86"/>
      <c r="AB106" s="86"/>
      <c r="AC106" s="79"/>
      <c r="AD106" s="86"/>
      <c r="AE106" s="86"/>
      <c r="AF106" s="86"/>
      <c r="AG106" s="86"/>
      <c r="AH106" s="61" t="str">
        <f aca="false">IFERROR(INDEX(PARAMETRES!$B$536:$B$586,MATCH(AG106,PARAMETRES!$J$536:$J$586,0)),"")</f>
        <v/>
      </c>
      <c r="AI106" s="61" t="str">
        <f aca="false">IFERROR(INDEX(PARAMETRES!$D$536:$D$586,MATCH(AG106,PARAMETRES!$J$536:$J$586,0)),"")</f>
        <v/>
      </c>
      <c r="AJ106" s="61" t="str">
        <f aca="false">IFERROR(INDEX(PARAMETRES!$F$536:$F$586,MATCH(AG106,PARAMETRES!$J$536:$J$586,0)),"")</f>
        <v/>
      </c>
      <c r="AK106" s="61" t="str">
        <f aca="false">IFERROR(INDEX(PARAMETRES!$H$536:$H$586,MATCH(AG106,PARAMETRES!$J$536:$J$586,0)),"")</f>
        <v/>
      </c>
      <c r="AL106" s="79"/>
      <c r="AM106" s="79"/>
      <c r="AN106" s="86"/>
      <c r="AO106" s="86"/>
      <c r="AP106" s="80"/>
      <c r="AQ106" s="80"/>
      <c r="AR106" s="81" t="str">
        <f aca="false">IF(OR(AP106="",AQ106=""),"",AP106-AQ106)</f>
        <v/>
      </c>
      <c r="AS106" s="86"/>
      <c r="AT106" s="61" t="n">
        <f aca="false">IF(A106="",0,COUNTIF(tbl_Partenaires_Projets[ID Partenaire],A106))</f>
        <v>0</v>
      </c>
      <c r="AU106" s="61" t="n">
        <f aca="false">IF(A106="",0,COUNTIF(tbl_Partenaires_Conventions[ID Partenaire],A106))</f>
        <v>0</v>
      </c>
      <c r="AV106" s="61" t="n">
        <f aca="false">IF(A106="",0,COUNTIFS(tbl_Partenaires_Conventions[ID Partenaire],A106,tbl_Partenaires_Conventions[Statut],"Active"))</f>
        <v>0</v>
      </c>
      <c r="AW106" s="61" t="str">
        <f aca="false">IF(A106="","",IF(COUNTIFS(tbl_Partenaires_Conventions[ID Partenaire],A106,tbl_Partenaires_Conventions[Statut],"Active")=0,"NON",IF(_xlfn.MINIFS(tbl_Partenaires_Conventions[Date fin],tbl_Partenaires_Conventions[ID Partenaire],A106,tbl_Partenaires_Conventions[Statut],"Active")-TODAY()&lt;=60,"OUI","NON")))</f>
        <v/>
      </c>
      <c r="AX106" s="61" t="n">
        <f aca="false">IF(A106="",0,COUNTIF(tbl_Partenaires_Documents[ID Partenaire],A106))</f>
        <v>0</v>
      </c>
      <c r="AY106" s="92" t="str">
        <f aca="false">IFERROR(AVERAGEIFS(tbl_Partenaires_Evaluations[Note globale],tbl_Partenaires_Evaluations[ID Partenaire],A106),"")</f>
        <v/>
      </c>
      <c r="AZ106" s="102" t="n">
        <f aca="false">IFERROR(_xlfn.MAXIFS(tbl_Partenaires_Evaluations[Date evaluation],tbl_Partenaires_Evaluations[ID Partenaire],A106),"")</f>
        <v>0</v>
      </c>
      <c r="BA106" s="61" t="n">
        <f aca="false">IF(A106="",0,COUNTIF(tbl_Partenaires_Risques[ID Partenaire],A106))</f>
        <v>0</v>
      </c>
      <c r="BB106" s="61" t="str">
        <f aca="false">IF(A106="","",IF(COUNTIFS(tbl_Partenaires_Risques[ID Partenaire],A106,tbl_Partenaires_Risques[Niveau],"Eleve")+COUNTIFS(tbl_Partenaires_Risques[ID Partenaire],A106,tbl_Partenaires_Risques[Niveau],"Critique")&gt;0,"OUI","NON"))</f>
        <v/>
      </c>
      <c r="BC106" s="61" t="n">
        <f aca="false">IF(A106="",0,COUNTIF(tbl_Partenaires_Contacts[ID Partenaire],A106))</f>
        <v>0</v>
      </c>
      <c r="BD106" s="61" t="n">
        <f aca="false">IF(A106="",0,COUNTIFS(tbl_Partenaires_Opportunites[ID Partenaire],A106,tbl_Partenaires_Opportunites[Statut],"&lt;&gt;Cloturee"))</f>
        <v>0</v>
      </c>
      <c r="BE106" s="61" t="n">
        <f aca="false">IF(A106="",0,COUNTIF(tbl_Partenaires_Prospection[ID Partenaire],A106))</f>
        <v>0</v>
      </c>
      <c r="BF106" s="86"/>
      <c r="BG106" s="86"/>
      <c r="BH106" s="86"/>
      <c r="BI106" s="86"/>
      <c r="BJ106" s="86"/>
      <c r="BK106" s="86"/>
      <c r="BL106" s="86"/>
      <c r="BM106" s="86"/>
      <c r="BN106" s="86"/>
      <c r="BO106" s="86"/>
      <c r="BP106" s="86"/>
      <c r="BQ106" s="86"/>
      <c r="BR106" s="61" t="str">
        <f aca="false">IF(C106="","",IF(OR(COUNTIF(C56:C115,C106)&gt;1,AND(E106&lt;&gt;"",COUNTIF(E56:E115,E106)&gt;1),AND(S106&lt;&gt;"",COUNTIF(S56:S115,S106)&gt;1),AND(U106&lt;&gt;"",COUNTIF(U56:U115,U106)&gt;1)),"OUI","NON"))</f>
        <v/>
      </c>
      <c r="BS106" s="86"/>
    </row>
    <row r="107" customFormat="false" ht="15" hidden="false" customHeight="true" outlineLevel="0" collapsed="false">
      <c r="A107" s="61" t="str">
        <f aca="false">IF(C107="","","PART"&amp;TEXT(ROW()-55,"00000"))</f>
        <v/>
      </c>
      <c r="B107" s="86"/>
      <c r="C107" s="86"/>
      <c r="D107" s="86"/>
      <c r="E107" s="86"/>
      <c r="F107" s="86"/>
      <c r="G107" s="86"/>
      <c r="H107" s="86"/>
      <c r="I107" s="86"/>
      <c r="J107" s="101"/>
      <c r="K107" s="86"/>
      <c r="L107" s="86"/>
      <c r="M107" s="86"/>
      <c r="N107" s="61" t="str">
        <f aca="false">IFERROR(INDEX(PARAMETRES!$B$536:$B$586,MATCH(M107,PARAMETRES!$J$536:$J$586,0)),"")</f>
        <v/>
      </c>
      <c r="O107" s="61" t="str">
        <f aca="false">IFERROR(INDEX(PARAMETRES!$D$536:$D$586,MATCH(M107,PARAMETRES!$J$536:$J$586,0)),"")</f>
        <v/>
      </c>
      <c r="P107" s="61" t="str">
        <f aca="false">IFERROR(INDEX(PARAMETRES!$F$536:$F$586,MATCH(M107,PARAMETRES!$J$536:$J$586,0)),"")</f>
        <v/>
      </c>
      <c r="Q107" s="61" t="str">
        <f aca="false">IFERROR(INDEX(PARAMETRES!$H$536:$H$586,MATCH(M107,PARAMETRES!$J$536:$J$586,0)),"")</f>
        <v/>
      </c>
      <c r="R107" s="86"/>
      <c r="S107" s="86"/>
      <c r="T107" s="86"/>
      <c r="U107" s="86"/>
      <c r="V107" s="86"/>
      <c r="W107" s="86"/>
      <c r="X107" s="86"/>
      <c r="Y107" s="86"/>
      <c r="Z107" s="86"/>
      <c r="AA107" s="86"/>
      <c r="AB107" s="86"/>
      <c r="AC107" s="79"/>
      <c r="AD107" s="86"/>
      <c r="AE107" s="86"/>
      <c r="AF107" s="86"/>
      <c r="AG107" s="86"/>
      <c r="AH107" s="61" t="str">
        <f aca="false">IFERROR(INDEX(PARAMETRES!$B$536:$B$586,MATCH(AG107,PARAMETRES!$J$536:$J$586,0)),"")</f>
        <v/>
      </c>
      <c r="AI107" s="61" t="str">
        <f aca="false">IFERROR(INDEX(PARAMETRES!$D$536:$D$586,MATCH(AG107,PARAMETRES!$J$536:$J$586,0)),"")</f>
        <v/>
      </c>
      <c r="AJ107" s="61" t="str">
        <f aca="false">IFERROR(INDEX(PARAMETRES!$F$536:$F$586,MATCH(AG107,PARAMETRES!$J$536:$J$586,0)),"")</f>
        <v/>
      </c>
      <c r="AK107" s="61" t="str">
        <f aca="false">IFERROR(INDEX(PARAMETRES!$H$536:$H$586,MATCH(AG107,PARAMETRES!$J$536:$J$586,0)),"")</f>
        <v/>
      </c>
      <c r="AL107" s="79"/>
      <c r="AM107" s="79"/>
      <c r="AN107" s="86"/>
      <c r="AO107" s="86"/>
      <c r="AP107" s="80"/>
      <c r="AQ107" s="80"/>
      <c r="AR107" s="81" t="str">
        <f aca="false">IF(OR(AP107="",AQ107=""),"",AP107-AQ107)</f>
        <v/>
      </c>
      <c r="AS107" s="86"/>
      <c r="AT107" s="61" t="n">
        <f aca="false">IF(A107="",0,COUNTIF(tbl_Partenaires_Projets[ID Partenaire],A107))</f>
        <v>0</v>
      </c>
      <c r="AU107" s="61" t="n">
        <f aca="false">IF(A107="",0,COUNTIF(tbl_Partenaires_Conventions[ID Partenaire],A107))</f>
        <v>0</v>
      </c>
      <c r="AV107" s="61" t="n">
        <f aca="false">IF(A107="",0,COUNTIFS(tbl_Partenaires_Conventions[ID Partenaire],A107,tbl_Partenaires_Conventions[Statut],"Active"))</f>
        <v>0</v>
      </c>
      <c r="AW107" s="61" t="str">
        <f aca="false">IF(A107="","",IF(COUNTIFS(tbl_Partenaires_Conventions[ID Partenaire],A107,tbl_Partenaires_Conventions[Statut],"Active")=0,"NON",IF(_xlfn.MINIFS(tbl_Partenaires_Conventions[Date fin],tbl_Partenaires_Conventions[ID Partenaire],A107,tbl_Partenaires_Conventions[Statut],"Active")-TODAY()&lt;=60,"OUI","NON")))</f>
        <v/>
      </c>
      <c r="AX107" s="61" t="n">
        <f aca="false">IF(A107="",0,COUNTIF(tbl_Partenaires_Documents[ID Partenaire],A107))</f>
        <v>0</v>
      </c>
      <c r="AY107" s="92" t="str">
        <f aca="false">IFERROR(AVERAGEIFS(tbl_Partenaires_Evaluations[Note globale],tbl_Partenaires_Evaluations[ID Partenaire],A107),"")</f>
        <v/>
      </c>
      <c r="AZ107" s="102" t="n">
        <f aca="false">IFERROR(_xlfn.MAXIFS(tbl_Partenaires_Evaluations[Date evaluation],tbl_Partenaires_Evaluations[ID Partenaire],A107),"")</f>
        <v>0</v>
      </c>
      <c r="BA107" s="61" t="n">
        <f aca="false">IF(A107="",0,COUNTIF(tbl_Partenaires_Risques[ID Partenaire],A107))</f>
        <v>0</v>
      </c>
      <c r="BB107" s="61" t="str">
        <f aca="false">IF(A107="","",IF(COUNTIFS(tbl_Partenaires_Risques[ID Partenaire],A107,tbl_Partenaires_Risques[Niveau],"Eleve")+COUNTIFS(tbl_Partenaires_Risques[ID Partenaire],A107,tbl_Partenaires_Risques[Niveau],"Critique")&gt;0,"OUI","NON"))</f>
        <v/>
      </c>
      <c r="BC107" s="61" t="n">
        <f aca="false">IF(A107="",0,COUNTIF(tbl_Partenaires_Contacts[ID Partenaire],A107))</f>
        <v>0</v>
      </c>
      <c r="BD107" s="61" t="n">
        <f aca="false">IF(A107="",0,COUNTIFS(tbl_Partenaires_Opportunites[ID Partenaire],A107,tbl_Partenaires_Opportunites[Statut],"&lt;&gt;Cloturee"))</f>
        <v>0</v>
      </c>
      <c r="BE107" s="61" t="n">
        <f aca="false">IF(A107="",0,COUNTIF(tbl_Partenaires_Prospection[ID Partenaire],A107))</f>
        <v>0</v>
      </c>
      <c r="BF107" s="86"/>
      <c r="BG107" s="86"/>
      <c r="BH107" s="86"/>
      <c r="BI107" s="86"/>
      <c r="BJ107" s="86"/>
      <c r="BK107" s="86"/>
      <c r="BL107" s="86"/>
      <c r="BM107" s="86"/>
      <c r="BN107" s="86"/>
      <c r="BO107" s="86"/>
      <c r="BP107" s="86"/>
      <c r="BQ107" s="86"/>
      <c r="BR107" s="61" t="str">
        <f aca="false">IF(C107="","",IF(OR(COUNTIF(C56:C115,C107)&gt;1,AND(E107&lt;&gt;"",COUNTIF(E56:E115,E107)&gt;1),AND(S107&lt;&gt;"",COUNTIF(S56:S115,S107)&gt;1),AND(U107&lt;&gt;"",COUNTIF(U56:U115,U107)&gt;1)),"OUI","NON"))</f>
        <v/>
      </c>
      <c r="BS107" s="86"/>
    </row>
    <row r="108" customFormat="false" ht="15" hidden="false" customHeight="true" outlineLevel="0" collapsed="false">
      <c r="A108" s="61" t="str">
        <f aca="false">IF(C108="","","PART"&amp;TEXT(ROW()-55,"00000"))</f>
        <v/>
      </c>
      <c r="B108" s="86"/>
      <c r="C108" s="86"/>
      <c r="D108" s="86"/>
      <c r="E108" s="86"/>
      <c r="F108" s="86"/>
      <c r="G108" s="86"/>
      <c r="H108" s="86"/>
      <c r="I108" s="86"/>
      <c r="J108" s="101"/>
      <c r="K108" s="86"/>
      <c r="L108" s="86"/>
      <c r="M108" s="86"/>
      <c r="N108" s="61" t="str">
        <f aca="false">IFERROR(INDEX(PARAMETRES!$B$536:$B$586,MATCH(M108,PARAMETRES!$J$536:$J$586,0)),"")</f>
        <v/>
      </c>
      <c r="O108" s="61" t="str">
        <f aca="false">IFERROR(INDEX(PARAMETRES!$D$536:$D$586,MATCH(M108,PARAMETRES!$J$536:$J$586,0)),"")</f>
        <v/>
      </c>
      <c r="P108" s="61" t="str">
        <f aca="false">IFERROR(INDEX(PARAMETRES!$F$536:$F$586,MATCH(M108,PARAMETRES!$J$536:$J$586,0)),"")</f>
        <v/>
      </c>
      <c r="Q108" s="61" t="str">
        <f aca="false">IFERROR(INDEX(PARAMETRES!$H$536:$H$586,MATCH(M108,PARAMETRES!$J$536:$J$586,0)),"")</f>
        <v/>
      </c>
      <c r="R108" s="86"/>
      <c r="S108" s="86"/>
      <c r="T108" s="86"/>
      <c r="U108" s="86"/>
      <c r="V108" s="86"/>
      <c r="W108" s="86"/>
      <c r="X108" s="86"/>
      <c r="Y108" s="86"/>
      <c r="Z108" s="86"/>
      <c r="AA108" s="86"/>
      <c r="AB108" s="86"/>
      <c r="AC108" s="79"/>
      <c r="AD108" s="86"/>
      <c r="AE108" s="86"/>
      <c r="AF108" s="86"/>
      <c r="AG108" s="86"/>
      <c r="AH108" s="61" t="str">
        <f aca="false">IFERROR(INDEX(PARAMETRES!$B$536:$B$586,MATCH(AG108,PARAMETRES!$J$536:$J$586,0)),"")</f>
        <v/>
      </c>
      <c r="AI108" s="61" t="str">
        <f aca="false">IFERROR(INDEX(PARAMETRES!$D$536:$D$586,MATCH(AG108,PARAMETRES!$J$536:$J$586,0)),"")</f>
        <v/>
      </c>
      <c r="AJ108" s="61" t="str">
        <f aca="false">IFERROR(INDEX(PARAMETRES!$F$536:$F$586,MATCH(AG108,PARAMETRES!$J$536:$J$586,0)),"")</f>
        <v/>
      </c>
      <c r="AK108" s="61" t="str">
        <f aca="false">IFERROR(INDEX(PARAMETRES!$H$536:$H$586,MATCH(AG108,PARAMETRES!$J$536:$J$586,0)),"")</f>
        <v/>
      </c>
      <c r="AL108" s="79"/>
      <c r="AM108" s="79"/>
      <c r="AN108" s="86"/>
      <c r="AO108" s="86"/>
      <c r="AP108" s="80"/>
      <c r="AQ108" s="80"/>
      <c r="AR108" s="81" t="str">
        <f aca="false">IF(OR(AP108="",AQ108=""),"",AP108-AQ108)</f>
        <v/>
      </c>
      <c r="AS108" s="86"/>
      <c r="AT108" s="61" t="n">
        <f aca="false">IF(A108="",0,COUNTIF(tbl_Partenaires_Projets[ID Partenaire],A108))</f>
        <v>0</v>
      </c>
      <c r="AU108" s="61" t="n">
        <f aca="false">IF(A108="",0,COUNTIF(tbl_Partenaires_Conventions[ID Partenaire],A108))</f>
        <v>0</v>
      </c>
      <c r="AV108" s="61" t="n">
        <f aca="false">IF(A108="",0,COUNTIFS(tbl_Partenaires_Conventions[ID Partenaire],A108,tbl_Partenaires_Conventions[Statut],"Active"))</f>
        <v>0</v>
      </c>
      <c r="AW108" s="61" t="str">
        <f aca="false">IF(A108="","",IF(COUNTIFS(tbl_Partenaires_Conventions[ID Partenaire],A108,tbl_Partenaires_Conventions[Statut],"Active")=0,"NON",IF(_xlfn.MINIFS(tbl_Partenaires_Conventions[Date fin],tbl_Partenaires_Conventions[ID Partenaire],A108,tbl_Partenaires_Conventions[Statut],"Active")-TODAY()&lt;=60,"OUI","NON")))</f>
        <v/>
      </c>
      <c r="AX108" s="61" t="n">
        <f aca="false">IF(A108="",0,COUNTIF(tbl_Partenaires_Documents[ID Partenaire],A108))</f>
        <v>0</v>
      </c>
      <c r="AY108" s="92" t="str">
        <f aca="false">IFERROR(AVERAGEIFS(tbl_Partenaires_Evaluations[Note globale],tbl_Partenaires_Evaluations[ID Partenaire],A108),"")</f>
        <v/>
      </c>
      <c r="AZ108" s="102" t="n">
        <f aca="false">IFERROR(_xlfn.MAXIFS(tbl_Partenaires_Evaluations[Date evaluation],tbl_Partenaires_Evaluations[ID Partenaire],A108),"")</f>
        <v>0</v>
      </c>
      <c r="BA108" s="61" t="n">
        <f aca="false">IF(A108="",0,COUNTIF(tbl_Partenaires_Risques[ID Partenaire],A108))</f>
        <v>0</v>
      </c>
      <c r="BB108" s="61" t="str">
        <f aca="false">IF(A108="","",IF(COUNTIFS(tbl_Partenaires_Risques[ID Partenaire],A108,tbl_Partenaires_Risques[Niveau],"Eleve")+COUNTIFS(tbl_Partenaires_Risques[ID Partenaire],A108,tbl_Partenaires_Risques[Niveau],"Critique")&gt;0,"OUI","NON"))</f>
        <v/>
      </c>
      <c r="BC108" s="61" t="n">
        <f aca="false">IF(A108="",0,COUNTIF(tbl_Partenaires_Contacts[ID Partenaire],A108))</f>
        <v>0</v>
      </c>
      <c r="BD108" s="61" t="n">
        <f aca="false">IF(A108="",0,COUNTIFS(tbl_Partenaires_Opportunites[ID Partenaire],A108,tbl_Partenaires_Opportunites[Statut],"&lt;&gt;Cloturee"))</f>
        <v>0</v>
      </c>
      <c r="BE108" s="61" t="n">
        <f aca="false">IF(A108="",0,COUNTIF(tbl_Partenaires_Prospection[ID Partenaire],A108))</f>
        <v>0</v>
      </c>
      <c r="BF108" s="86"/>
      <c r="BG108" s="86"/>
      <c r="BH108" s="86"/>
      <c r="BI108" s="86"/>
      <c r="BJ108" s="86"/>
      <c r="BK108" s="86"/>
      <c r="BL108" s="86"/>
      <c r="BM108" s="86"/>
      <c r="BN108" s="86"/>
      <c r="BO108" s="86"/>
      <c r="BP108" s="86"/>
      <c r="BQ108" s="86"/>
      <c r="BR108" s="61" t="str">
        <f aca="false">IF(C108="","",IF(OR(COUNTIF(C56:C115,C108)&gt;1,AND(E108&lt;&gt;"",COUNTIF(E56:E115,E108)&gt;1),AND(S108&lt;&gt;"",COUNTIF(S56:S115,S108)&gt;1),AND(U108&lt;&gt;"",COUNTIF(U56:U115,U108)&gt;1)),"OUI","NON"))</f>
        <v/>
      </c>
      <c r="BS108" s="86"/>
    </row>
    <row r="109" customFormat="false" ht="15" hidden="false" customHeight="true" outlineLevel="0" collapsed="false">
      <c r="A109" s="61" t="str">
        <f aca="false">IF(C109="","","PART"&amp;TEXT(ROW()-55,"00000"))</f>
        <v/>
      </c>
      <c r="B109" s="86"/>
      <c r="C109" s="86"/>
      <c r="D109" s="86"/>
      <c r="E109" s="86"/>
      <c r="F109" s="86"/>
      <c r="G109" s="86"/>
      <c r="H109" s="86"/>
      <c r="I109" s="86"/>
      <c r="J109" s="101"/>
      <c r="K109" s="86"/>
      <c r="L109" s="86"/>
      <c r="M109" s="86"/>
      <c r="N109" s="61" t="str">
        <f aca="false">IFERROR(INDEX(PARAMETRES!$B$536:$B$586,MATCH(M109,PARAMETRES!$J$536:$J$586,0)),"")</f>
        <v/>
      </c>
      <c r="O109" s="61" t="str">
        <f aca="false">IFERROR(INDEX(PARAMETRES!$D$536:$D$586,MATCH(M109,PARAMETRES!$J$536:$J$586,0)),"")</f>
        <v/>
      </c>
      <c r="P109" s="61" t="str">
        <f aca="false">IFERROR(INDEX(PARAMETRES!$F$536:$F$586,MATCH(M109,PARAMETRES!$J$536:$J$586,0)),"")</f>
        <v/>
      </c>
      <c r="Q109" s="61" t="str">
        <f aca="false">IFERROR(INDEX(PARAMETRES!$H$536:$H$586,MATCH(M109,PARAMETRES!$J$536:$J$586,0)),"")</f>
        <v/>
      </c>
      <c r="R109" s="86"/>
      <c r="S109" s="86"/>
      <c r="T109" s="86"/>
      <c r="U109" s="86"/>
      <c r="V109" s="86"/>
      <c r="W109" s="86"/>
      <c r="X109" s="86"/>
      <c r="Y109" s="86"/>
      <c r="Z109" s="86"/>
      <c r="AA109" s="86"/>
      <c r="AB109" s="86"/>
      <c r="AC109" s="79"/>
      <c r="AD109" s="86"/>
      <c r="AE109" s="86"/>
      <c r="AF109" s="86"/>
      <c r="AG109" s="86"/>
      <c r="AH109" s="61" t="str">
        <f aca="false">IFERROR(INDEX(PARAMETRES!$B$536:$B$586,MATCH(AG109,PARAMETRES!$J$536:$J$586,0)),"")</f>
        <v/>
      </c>
      <c r="AI109" s="61" t="str">
        <f aca="false">IFERROR(INDEX(PARAMETRES!$D$536:$D$586,MATCH(AG109,PARAMETRES!$J$536:$J$586,0)),"")</f>
        <v/>
      </c>
      <c r="AJ109" s="61" t="str">
        <f aca="false">IFERROR(INDEX(PARAMETRES!$F$536:$F$586,MATCH(AG109,PARAMETRES!$J$536:$J$586,0)),"")</f>
        <v/>
      </c>
      <c r="AK109" s="61" t="str">
        <f aca="false">IFERROR(INDEX(PARAMETRES!$H$536:$H$586,MATCH(AG109,PARAMETRES!$J$536:$J$586,0)),"")</f>
        <v/>
      </c>
      <c r="AL109" s="79"/>
      <c r="AM109" s="79"/>
      <c r="AN109" s="86"/>
      <c r="AO109" s="86"/>
      <c r="AP109" s="80"/>
      <c r="AQ109" s="80"/>
      <c r="AR109" s="81" t="str">
        <f aca="false">IF(OR(AP109="",AQ109=""),"",AP109-AQ109)</f>
        <v/>
      </c>
      <c r="AS109" s="86"/>
      <c r="AT109" s="61" t="n">
        <f aca="false">IF(A109="",0,COUNTIF(tbl_Partenaires_Projets[ID Partenaire],A109))</f>
        <v>0</v>
      </c>
      <c r="AU109" s="61" t="n">
        <f aca="false">IF(A109="",0,COUNTIF(tbl_Partenaires_Conventions[ID Partenaire],A109))</f>
        <v>0</v>
      </c>
      <c r="AV109" s="61" t="n">
        <f aca="false">IF(A109="",0,COUNTIFS(tbl_Partenaires_Conventions[ID Partenaire],A109,tbl_Partenaires_Conventions[Statut],"Active"))</f>
        <v>0</v>
      </c>
      <c r="AW109" s="61" t="str">
        <f aca="false">IF(A109="","",IF(COUNTIFS(tbl_Partenaires_Conventions[ID Partenaire],A109,tbl_Partenaires_Conventions[Statut],"Active")=0,"NON",IF(_xlfn.MINIFS(tbl_Partenaires_Conventions[Date fin],tbl_Partenaires_Conventions[ID Partenaire],A109,tbl_Partenaires_Conventions[Statut],"Active")-TODAY()&lt;=60,"OUI","NON")))</f>
        <v/>
      </c>
      <c r="AX109" s="61" t="n">
        <f aca="false">IF(A109="",0,COUNTIF(tbl_Partenaires_Documents[ID Partenaire],A109))</f>
        <v>0</v>
      </c>
      <c r="AY109" s="92" t="str">
        <f aca="false">IFERROR(AVERAGEIFS(tbl_Partenaires_Evaluations[Note globale],tbl_Partenaires_Evaluations[ID Partenaire],A109),"")</f>
        <v/>
      </c>
      <c r="AZ109" s="102" t="n">
        <f aca="false">IFERROR(_xlfn.MAXIFS(tbl_Partenaires_Evaluations[Date evaluation],tbl_Partenaires_Evaluations[ID Partenaire],A109),"")</f>
        <v>0</v>
      </c>
      <c r="BA109" s="61" t="n">
        <f aca="false">IF(A109="",0,COUNTIF(tbl_Partenaires_Risques[ID Partenaire],A109))</f>
        <v>0</v>
      </c>
      <c r="BB109" s="61" t="str">
        <f aca="false">IF(A109="","",IF(COUNTIFS(tbl_Partenaires_Risques[ID Partenaire],A109,tbl_Partenaires_Risques[Niveau],"Eleve")+COUNTIFS(tbl_Partenaires_Risques[ID Partenaire],A109,tbl_Partenaires_Risques[Niveau],"Critique")&gt;0,"OUI","NON"))</f>
        <v/>
      </c>
      <c r="BC109" s="61" t="n">
        <f aca="false">IF(A109="",0,COUNTIF(tbl_Partenaires_Contacts[ID Partenaire],A109))</f>
        <v>0</v>
      </c>
      <c r="BD109" s="61" t="n">
        <f aca="false">IF(A109="",0,COUNTIFS(tbl_Partenaires_Opportunites[ID Partenaire],A109,tbl_Partenaires_Opportunites[Statut],"&lt;&gt;Cloturee"))</f>
        <v>0</v>
      </c>
      <c r="BE109" s="61" t="n">
        <f aca="false">IF(A109="",0,COUNTIF(tbl_Partenaires_Prospection[ID Partenaire],A109))</f>
        <v>0</v>
      </c>
      <c r="BF109" s="86"/>
      <c r="BG109" s="86"/>
      <c r="BH109" s="86"/>
      <c r="BI109" s="86"/>
      <c r="BJ109" s="86"/>
      <c r="BK109" s="86"/>
      <c r="BL109" s="86"/>
      <c r="BM109" s="86"/>
      <c r="BN109" s="86"/>
      <c r="BO109" s="86"/>
      <c r="BP109" s="86"/>
      <c r="BQ109" s="86"/>
      <c r="BR109" s="61" t="str">
        <f aca="false">IF(C109="","",IF(OR(COUNTIF(C56:C115,C109)&gt;1,AND(E109&lt;&gt;"",COUNTIF(E56:E115,E109)&gt;1),AND(S109&lt;&gt;"",COUNTIF(S56:S115,S109)&gt;1),AND(U109&lt;&gt;"",COUNTIF(U56:U115,U109)&gt;1)),"OUI","NON"))</f>
        <v/>
      </c>
      <c r="BS109" s="86"/>
    </row>
    <row r="110" customFormat="false" ht="15" hidden="false" customHeight="true" outlineLevel="0" collapsed="false">
      <c r="A110" s="61" t="str">
        <f aca="false">IF(C110="","","PART"&amp;TEXT(ROW()-55,"00000"))</f>
        <v/>
      </c>
      <c r="B110" s="86"/>
      <c r="C110" s="86"/>
      <c r="D110" s="86"/>
      <c r="E110" s="86"/>
      <c r="F110" s="86"/>
      <c r="G110" s="86"/>
      <c r="H110" s="86"/>
      <c r="I110" s="86"/>
      <c r="J110" s="101"/>
      <c r="K110" s="86"/>
      <c r="L110" s="86"/>
      <c r="M110" s="86"/>
      <c r="N110" s="61" t="str">
        <f aca="false">IFERROR(INDEX(PARAMETRES!$B$536:$B$586,MATCH(M110,PARAMETRES!$J$536:$J$586,0)),"")</f>
        <v/>
      </c>
      <c r="O110" s="61" t="str">
        <f aca="false">IFERROR(INDEX(PARAMETRES!$D$536:$D$586,MATCH(M110,PARAMETRES!$J$536:$J$586,0)),"")</f>
        <v/>
      </c>
      <c r="P110" s="61" t="str">
        <f aca="false">IFERROR(INDEX(PARAMETRES!$F$536:$F$586,MATCH(M110,PARAMETRES!$J$536:$J$586,0)),"")</f>
        <v/>
      </c>
      <c r="Q110" s="61" t="str">
        <f aca="false">IFERROR(INDEX(PARAMETRES!$H$536:$H$586,MATCH(M110,PARAMETRES!$J$536:$J$586,0)),"")</f>
        <v/>
      </c>
      <c r="R110" s="86"/>
      <c r="S110" s="86"/>
      <c r="T110" s="86"/>
      <c r="U110" s="86"/>
      <c r="V110" s="86"/>
      <c r="W110" s="86"/>
      <c r="X110" s="86"/>
      <c r="Y110" s="86"/>
      <c r="Z110" s="86"/>
      <c r="AA110" s="86"/>
      <c r="AB110" s="86"/>
      <c r="AC110" s="79"/>
      <c r="AD110" s="86"/>
      <c r="AE110" s="86"/>
      <c r="AF110" s="86"/>
      <c r="AG110" s="86"/>
      <c r="AH110" s="61" t="str">
        <f aca="false">IFERROR(INDEX(PARAMETRES!$B$536:$B$586,MATCH(AG110,PARAMETRES!$J$536:$J$586,0)),"")</f>
        <v/>
      </c>
      <c r="AI110" s="61" t="str">
        <f aca="false">IFERROR(INDEX(PARAMETRES!$D$536:$D$586,MATCH(AG110,PARAMETRES!$J$536:$J$586,0)),"")</f>
        <v/>
      </c>
      <c r="AJ110" s="61" t="str">
        <f aca="false">IFERROR(INDEX(PARAMETRES!$F$536:$F$586,MATCH(AG110,PARAMETRES!$J$536:$J$586,0)),"")</f>
        <v/>
      </c>
      <c r="AK110" s="61" t="str">
        <f aca="false">IFERROR(INDEX(PARAMETRES!$H$536:$H$586,MATCH(AG110,PARAMETRES!$J$536:$J$586,0)),"")</f>
        <v/>
      </c>
      <c r="AL110" s="79"/>
      <c r="AM110" s="79"/>
      <c r="AN110" s="86"/>
      <c r="AO110" s="86"/>
      <c r="AP110" s="80"/>
      <c r="AQ110" s="80"/>
      <c r="AR110" s="81" t="str">
        <f aca="false">IF(OR(AP110="",AQ110=""),"",AP110-AQ110)</f>
        <v/>
      </c>
      <c r="AS110" s="86"/>
      <c r="AT110" s="61" t="n">
        <f aca="false">IF(A110="",0,COUNTIF(tbl_Partenaires_Projets[ID Partenaire],A110))</f>
        <v>0</v>
      </c>
      <c r="AU110" s="61" t="n">
        <f aca="false">IF(A110="",0,COUNTIF(tbl_Partenaires_Conventions[ID Partenaire],A110))</f>
        <v>0</v>
      </c>
      <c r="AV110" s="61" t="n">
        <f aca="false">IF(A110="",0,COUNTIFS(tbl_Partenaires_Conventions[ID Partenaire],A110,tbl_Partenaires_Conventions[Statut],"Active"))</f>
        <v>0</v>
      </c>
      <c r="AW110" s="61" t="str">
        <f aca="false">IF(A110="","",IF(COUNTIFS(tbl_Partenaires_Conventions[ID Partenaire],A110,tbl_Partenaires_Conventions[Statut],"Active")=0,"NON",IF(_xlfn.MINIFS(tbl_Partenaires_Conventions[Date fin],tbl_Partenaires_Conventions[ID Partenaire],A110,tbl_Partenaires_Conventions[Statut],"Active")-TODAY()&lt;=60,"OUI","NON")))</f>
        <v/>
      </c>
      <c r="AX110" s="61" t="n">
        <f aca="false">IF(A110="",0,COUNTIF(tbl_Partenaires_Documents[ID Partenaire],A110))</f>
        <v>0</v>
      </c>
      <c r="AY110" s="92" t="str">
        <f aca="false">IFERROR(AVERAGEIFS(tbl_Partenaires_Evaluations[Note globale],tbl_Partenaires_Evaluations[ID Partenaire],A110),"")</f>
        <v/>
      </c>
      <c r="AZ110" s="102" t="n">
        <f aca="false">IFERROR(_xlfn.MAXIFS(tbl_Partenaires_Evaluations[Date evaluation],tbl_Partenaires_Evaluations[ID Partenaire],A110),"")</f>
        <v>0</v>
      </c>
      <c r="BA110" s="61" t="n">
        <f aca="false">IF(A110="",0,COUNTIF(tbl_Partenaires_Risques[ID Partenaire],A110))</f>
        <v>0</v>
      </c>
      <c r="BB110" s="61" t="str">
        <f aca="false">IF(A110="","",IF(COUNTIFS(tbl_Partenaires_Risques[ID Partenaire],A110,tbl_Partenaires_Risques[Niveau],"Eleve")+COUNTIFS(tbl_Partenaires_Risques[ID Partenaire],A110,tbl_Partenaires_Risques[Niveau],"Critique")&gt;0,"OUI","NON"))</f>
        <v/>
      </c>
      <c r="BC110" s="61" t="n">
        <f aca="false">IF(A110="",0,COUNTIF(tbl_Partenaires_Contacts[ID Partenaire],A110))</f>
        <v>0</v>
      </c>
      <c r="BD110" s="61" t="n">
        <f aca="false">IF(A110="",0,COUNTIFS(tbl_Partenaires_Opportunites[ID Partenaire],A110,tbl_Partenaires_Opportunites[Statut],"&lt;&gt;Cloturee"))</f>
        <v>0</v>
      </c>
      <c r="BE110" s="61" t="n">
        <f aca="false">IF(A110="",0,COUNTIF(tbl_Partenaires_Prospection[ID Partenaire],A110))</f>
        <v>0</v>
      </c>
      <c r="BF110" s="86"/>
      <c r="BG110" s="86"/>
      <c r="BH110" s="86"/>
      <c r="BI110" s="86"/>
      <c r="BJ110" s="86"/>
      <c r="BK110" s="86"/>
      <c r="BL110" s="86"/>
      <c r="BM110" s="86"/>
      <c r="BN110" s="86"/>
      <c r="BO110" s="86"/>
      <c r="BP110" s="86"/>
      <c r="BQ110" s="86"/>
      <c r="BR110" s="61" t="str">
        <f aca="false">IF(C110="","",IF(OR(COUNTIF(C56:C115,C110)&gt;1,AND(E110&lt;&gt;"",COUNTIF(E56:E115,E110)&gt;1),AND(S110&lt;&gt;"",COUNTIF(S56:S115,S110)&gt;1),AND(U110&lt;&gt;"",COUNTIF(U56:U115,U110)&gt;1)),"OUI","NON"))</f>
        <v/>
      </c>
      <c r="BS110" s="86"/>
    </row>
    <row r="111" customFormat="false" ht="15" hidden="false" customHeight="true" outlineLevel="0" collapsed="false">
      <c r="A111" s="61" t="str">
        <f aca="false">IF(C111="","","PART"&amp;TEXT(ROW()-55,"00000"))</f>
        <v/>
      </c>
      <c r="B111" s="86"/>
      <c r="C111" s="86"/>
      <c r="D111" s="86"/>
      <c r="E111" s="86"/>
      <c r="F111" s="86"/>
      <c r="G111" s="86"/>
      <c r="H111" s="86"/>
      <c r="I111" s="86"/>
      <c r="J111" s="101"/>
      <c r="K111" s="86"/>
      <c r="L111" s="86"/>
      <c r="M111" s="86"/>
      <c r="N111" s="61" t="str">
        <f aca="false">IFERROR(INDEX(PARAMETRES!$B$536:$B$586,MATCH(M111,PARAMETRES!$J$536:$J$586,0)),"")</f>
        <v/>
      </c>
      <c r="O111" s="61" t="str">
        <f aca="false">IFERROR(INDEX(PARAMETRES!$D$536:$D$586,MATCH(M111,PARAMETRES!$J$536:$J$586,0)),"")</f>
        <v/>
      </c>
      <c r="P111" s="61" t="str">
        <f aca="false">IFERROR(INDEX(PARAMETRES!$F$536:$F$586,MATCH(M111,PARAMETRES!$J$536:$J$586,0)),"")</f>
        <v/>
      </c>
      <c r="Q111" s="61" t="str">
        <f aca="false">IFERROR(INDEX(PARAMETRES!$H$536:$H$586,MATCH(M111,PARAMETRES!$J$536:$J$586,0)),"")</f>
        <v/>
      </c>
      <c r="R111" s="86"/>
      <c r="S111" s="86"/>
      <c r="T111" s="86"/>
      <c r="U111" s="86"/>
      <c r="V111" s="86"/>
      <c r="W111" s="86"/>
      <c r="X111" s="86"/>
      <c r="Y111" s="86"/>
      <c r="Z111" s="86"/>
      <c r="AA111" s="86"/>
      <c r="AB111" s="86"/>
      <c r="AC111" s="79"/>
      <c r="AD111" s="86"/>
      <c r="AE111" s="86"/>
      <c r="AF111" s="86"/>
      <c r="AG111" s="86"/>
      <c r="AH111" s="61" t="str">
        <f aca="false">IFERROR(INDEX(PARAMETRES!$B$536:$B$586,MATCH(AG111,PARAMETRES!$J$536:$J$586,0)),"")</f>
        <v/>
      </c>
      <c r="AI111" s="61" t="str">
        <f aca="false">IFERROR(INDEX(PARAMETRES!$D$536:$D$586,MATCH(AG111,PARAMETRES!$J$536:$J$586,0)),"")</f>
        <v/>
      </c>
      <c r="AJ111" s="61" t="str">
        <f aca="false">IFERROR(INDEX(PARAMETRES!$F$536:$F$586,MATCH(AG111,PARAMETRES!$J$536:$J$586,0)),"")</f>
        <v/>
      </c>
      <c r="AK111" s="61" t="str">
        <f aca="false">IFERROR(INDEX(PARAMETRES!$H$536:$H$586,MATCH(AG111,PARAMETRES!$J$536:$J$586,0)),"")</f>
        <v/>
      </c>
      <c r="AL111" s="79"/>
      <c r="AM111" s="79"/>
      <c r="AN111" s="86"/>
      <c r="AO111" s="86"/>
      <c r="AP111" s="80"/>
      <c r="AQ111" s="80"/>
      <c r="AR111" s="81" t="str">
        <f aca="false">IF(OR(AP111="",AQ111=""),"",AP111-AQ111)</f>
        <v/>
      </c>
      <c r="AS111" s="86"/>
      <c r="AT111" s="61" t="n">
        <f aca="false">IF(A111="",0,COUNTIF(tbl_Partenaires_Projets[ID Partenaire],A111))</f>
        <v>0</v>
      </c>
      <c r="AU111" s="61" t="n">
        <f aca="false">IF(A111="",0,COUNTIF(tbl_Partenaires_Conventions[ID Partenaire],A111))</f>
        <v>0</v>
      </c>
      <c r="AV111" s="61" t="n">
        <f aca="false">IF(A111="",0,COUNTIFS(tbl_Partenaires_Conventions[ID Partenaire],A111,tbl_Partenaires_Conventions[Statut],"Active"))</f>
        <v>0</v>
      </c>
      <c r="AW111" s="61" t="str">
        <f aca="false">IF(A111="","",IF(COUNTIFS(tbl_Partenaires_Conventions[ID Partenaire],A111,tbl_Partenaires_Conventions[Statut],"Active")=0,"NON",IF(_xlfn.MINIFS(tbl_Partenaires_Conventions[Date fin],tbl_Partenaires_Conventions[ID Partenaire],A111,tbl_Partenaires_Conventions[Statut],"Active")-TODAY()&lt;=60,"OUI","NON")))</f>
        <v/>
      </c>
      <c r="AX111" s="61" t="n">
        <f aca="false">IF(A111="",0,COUNTIF(tbl_Partenaires_Documents[ID Partenaire],A111))</f>
        <v>0</v>
      </c>
      <c r="AY111" s="92" t="str">
        <f aca="false">IFERROR(AVERAGEIFS(tbl_Partenaires_Evaluations[Note globale],tbl_Partenaires_Evaluations[ID Partenaire],A111),"")</f>
        <v/>
      </c>
      <c r="AZ111" s="102" t="n">
        <f aca="false">IFERROR(_xlfn.MAXIFS(tbl_Partenaires_Evaluations[Date evaluation],tbl_Partenaires_Evaluations[ID Partenaire],A111),"")</f>
        <v>0</v>
      </c>
      <c r="BA111" s="61" t="n">
        <f aca="false">IF(A111="",0,COUNTIF(tbl_Partenaires_Risques[ID Partenaire],A111))</f>
        <v>0</v>
      </c>
      <c r="BB111" s="61" t="str">
        <f aca="false">IF(A111="","",IF(COUNTIFS(tbl_Partenaires_Risques[ID Partenaire],A111,tbl_Partenaires_Risques[Niveau],"Eleve")+COUNTIFS(tbl_Partenaires_Risques[ID Partenaire],A111,tbl_Partenaires_Risques[Niveau],"Critique")&gt;0,"OUI","NON"))</f>
        <v/>
      </c>
      <c r="BC111" s="61" t="n">
        <f aca="false">IF(A111="",0,COUNTIF(tbl_Partenaires_Contacts[ID Partenaire],A111))</f>
        <v>0</v>
      </c>
      <c r="BD111" s="61" t="n">
        <f aca="false">IF(A111="",0,COUNTIFS(tbl_Partenaires_Opportunites[ID Partenaire],A111,tbl_Partenaires_Opportunites[Statut],"&lt;&gt;Cloturee"))</f>
        <v>0</v>
      </c>
      <c r="BE111" s="61" t="n">
        <f aca="false">IF(A111="",0,COUNTIF(tbl_Partenaires_Prospection[ID Partenaire],A111))</f>
        <v>0</v>
      </c>
      <c r="BF111" s="86"/>
      <c r="BG111" s="86"/>
      <c r="BH111" s="86"/>
      <c r="BI111" s="86"/>
      <c r="BJ111" s="86"/>
      <c r="BK111" s="86"/>
      <c r="BL111" s="86"/>
      <c r="BM111" s="86"/>
      <c r="BN111" s="86"/>
      <c r="BO111" s="86"/>
      <c r="BP111" s="86"/>
      <c r="BQ111" s="86"/>
      <c r="BR111" s="61" t="str">
        <f aca="false">IF(C111="","",IF(OR(COUNTIF(C56:C115,C111)&gt;1,AND(E111&lt;&gt;"",COUNTIF(E56:E115,E111)&gt;1),AND(S111&lt;&gt;"",COUNTIF(S56:S115,S111)&gt;1),AND(U111&lt;&gt;"",COUNTIF(U56:U115,U111)&gt;1)),"OUI","NON"))</f>
        <v/>
      </c>
      <c r="BS111" s="86"/>
    </row>
    <row r="112" customFormat="false" ht="15" hidden="false" customHeight="true" outlineLevel="0" collapsed="false">
      <c r="A112" s="61" t="str">
        <f aca="false">IF(C112="","","PART"&amp;TEXT(ROW()-55,"00000"))</f>
        <v/>
      </c>
      <c r="B112" s="86"/>
      <c r="C112" s="86"/>
      <c r="D112" s="86"/>
      <c r="E112" s="86"/>
      <c r="F112" s="86"/>
      <c r="G112" s="86"/>
      <c r="H112" s="86"/>
      <c r="I112" s="86"/>
      <c r="J112" s="101"/>
      <c r="K112" s="86"/>
      <c r="L112" s="86"/>
      <c r="M112" s="86"/>
      <c r="N112" s="61" t="str">
        <f aca="false">IFERROR(INDEX(PARAMETRES!$B$536:$B$586,MATCH(M112,PARAMETRES!$J$536:$J$586,0)),"")</f>
        <v/>
      </c>
      <c r="O112" s="61" t="str">
        <f aca="false">IFERROR(INDEX(PARAMETRES!$D$536:$D$586,MATCH(M112,PARAMETRES!$J$536:$J$586,0)),"")</f>
        <v/>
      </c>
      <c r="P112" s="61" t="str">
        <f aca="false">IFERROR(INDEX(PARAMETRES!$F$536:$F$586,MATCH(M112,PARAMETRES!$J$536:$J$586,0)),"")</f>
        <v/>
      </c>
      <c r="Q112" s="61" t="str">
        <f aca="false">IFERROR(INDEX(PARAMETRES!$H$536:$H$586,MATCH(M112,PARAMETRES!$J$536:$J$586,0)),"")</f>
        <v/>
      </c>
      <c r="R112" s="86"/>
      <c r="S112" s="86"/>
      <c r="T112" s="86"/>
      <c r="U112" s="86"/>
      <c r="V112" s="86"/>
      <c r="W112" s="86"/>
      <c r="X112" s="86"/>
      <c r="Y112" s="86"/>
      <c r="Z112" s="86"/>
      <c r="AA112" s="86"/>
      <c r="AB112" s="86"/>
      <c r="AC112" s="79"/>
      <c r="AD112" s="86"/>
      <c r="AE112" s="86"/>
      <c r="AF112" s="86"/>
      <c r="AG112" s="86"/>
      <c r="AH112" s="61" t="str">
        <f aca="false">IFERROR(INDEX(PARAMETRES!$B$536:$B$586,MATCH(AG112,PARAMETRES!$J$536:$J$586,0)),"")</f>
        <v/>
      </c>
      <c r="AI112" s="61" t="str">
        <f aca="false">IFERROR(INDEX(PARAMETRES!$D$536:$D$586,MATCH(AG112,PARAMETRES!$J$536:$J$586,0)),"")</f>
        <v/>
      </c>
      <c r="AJ112" s="61" t="str">
        <f aca="false">IFERROR(INDEX(PARAMETRES!$F$536:$F$586,MATCH(AG112,PARAMETRES!$J$536:$J$586,0)),"")</f>
        <v/>
      </c>
      <c r="AK112" s="61" t="str">
        <f aca="false">IFERROR(INDEX(PARAMETRES!$H$536:$H$586,MATCH(AG112,PARAMETRES!$J$536:$J$586,0)),"")</f>
        <v/>
      </c>
      <c r="AL112" s="79"/>
      <c r="AM112" s="79"/>
      <c r="AN112" s="86"/>
      <c r="AO112" s="86"/>
      <c r="AP112" s="80"/>
      <c r="AQ112" s="80"/>
      <c r="AR112" s="81" t="str">
        <f aca="false">IF(OR(AP112="",AQ112=""),"",AP112-AQ112)</f>
        <v/>
      </c>
      <c r="AS112" s="86"/>
      <c r="AT112" s="61" t="n">
        <f aca="false">IF(A112="",0,COUNTIF(tbl_Partenaires_Projets[ID Partenaire],A112))</f>
        <v>0</v>
      </c>
      <c r="AU112" s="61" t="n">
        <f aca="false">IF(A112="",0,COUNTIF(tbl_Partenaires_Conventions[ID Partenaire],A112))</f>
        <v>0</v>
      </c>
      <c r="AV112" s="61" t="n">
        <f aca="false">IF(A112="",0,COUNTIFS(tbl_Partenaires_Conventions[ID Partenaire],A112,tbl_Partenaires_Conventions[Statut],"Active"))</f>
        <v>0</v>
      </c>
      <c r="AW112" s="61" t="str">
        <f aca="false">IF(A112="","",IF(COUNTIFS(tbl_Partenaires_Conventions[ID Partenaire],A112,tbl_Partenaires_Conventions[Statut],"Active")=0,"NON",IF(_xlfn.MINIFS(tbl_Partenaires_Conventions[Date fin],tbl_Partenaires_Conventions[ID Partenaire],A112,tbl_Partenaires_Conventions[Statut],"Active")-TODAY()&lt;=60,"OUI","NON")))</f>
        <v/>
      </c>
      <c r="AX112" s="61" t="n">
        <f aca="false">IF(A112="",0,COUNTIF(tbl_Partenaires_Documents[ID Partenaire],A112))</f>
        <v>0</v>
      </c>
      <c r="AY112" s="92" t="str">
        <f aca="false">IFERROR(AVERAGEIFS(tbl_Partenaires_Evaluations[Note globale],tbl_Partenaires_Evaluations[ID Partenaire],A112),"")</f>
        <v/>
      </c>
      <c r="AZ112" s="102" t="n">
        <f aca="false">IFERROR(_xlfn.MAXIFS(tbl_Partenaires_Evaluations[Date evaluation],tbl_Partenaires_Evaluations[ID Partenaire],A112),"")</f>
        <v>0</v>
      </c>
      <c r="BA112" s="61" t="n">
        <f aca="false">IF(A112="",0,COUNTIF(tbl_Partenaires_Risques[ID Partenaire],A112))</f>
        <v>0</v>
      </c>
      <c r="BB112" s="61" t="str">
        <f aca="false">IF(A112="","",IF(COUNTIFS(tbl_Partenaires_Risques[ID Partenaire],A112,tbl_Partenaires_Risques[Niveau],"Eleve")+COUNTIFS(tbl_Partenaires_Risques[ID Partenaire],A112,tbl_Partenaires_Risques[Niveau],"Critique")&gt;0,"OUI","NON"))</f>
        <v/>
      </c>
      <c r="BC112" s="61" t="n">
        <f aca="false">IF(A112="",0,COUNTIF(tbl_Partenaires_Contacts[ID Partenaire],A112))</f>
        <v>0</v>
      </c>
      <c r="BD112" s="61" t="n">
        <f aca="false">IF(A112="",0,COUNTIFS(tbl_Partenaires_Opportunites[ID Partenaire],A112,tbl_Partenaires_Opportunites[Statut],"&lt;&gt;Cloturee"))</f>
        <v>0</v>
      </c>
      <c r="BE112" s="61" t="n">
        <f aca="false">IF(A112="",0,COUNTIF(tbl_Partenaires_Prospection[ID Partenaire],A112))</f>
        <v>0</v>
      </c>
      <c r="BF112" s="86"/>
      <c r="BG112" s="86"/>
      <c r="BH112" s="86"/>
      <c r="BI112" s="86"/>
      <c r="BJ112" s="86"/>
      <c r="BK112" s="86"/>
      <c r="BL112" s="86"/>
      <c r="BM112" s="86"/>
      <c r="BN112" s="86"/>
      <c r="BO112" s="86"/>
      <c r="BP112" s="86"/>
      <c r="BQ112" s="86"/>
      <c r="BR112" s="61" t="str">
        <f aca="false">IF(C112="","",IF(OR(COUNTIF(C56:C115,C112)&gt;1,AND(E112&lt;&gt;"",COUNTIF(E56:E115,E112)&gt;1),AND(S112&lt;&gt;"",COUNTIF(S56:S115,S112)&gt;1),AND(U112&lt;&gt;"",COUNTIF(U56:U115,U112)&gt;1)),"OUI","NON"))</f>
        <v/>
      </c>
      <c r="BS112" s="86"/>
    </row>
    <row r="113" customFormat="false" ht="15" hidden="false" customHeight="true" outlineLevel="0" collapsed="false">
      <c r="A113" s="61" t="str">
        <f aca="false">IF(C113="","","PART"&amp;TEXT(ROW()-55,"00000"))</f>
        <v/>
      </c>
      <c r="B113" s="86"/>
      <c r="C113" s="86"/>
      <c r="D113" s="86"/>
      <c r="E113" s="86"/>
      <c r="F113" s="86"/>
      <c r="G113" s="86"/>
      <c r="H113" s="86"/>
      <c r="I113" s="86"/>
      <c r="J113" s="101"/>
      <c r="K113" s="86"/>
      <c r="L113" s="86"/>
      <c r="M113" s="86"/>
      <c r="N113" s="61" t="str">
        <f aca="false">IFERROR(INDEX(PARAMETRES!$B$536:$B$586,MATCH(M113,PARAMETRES!$J$536:$J$586,0)),"")</f>
        <v/>
      </c>
      <c r="O113" s="61" t="str">
        <f aca="false">IFERROR(INDEX(PARAMETRES!$D$536:$D$586,MATCH(M113,PARAMETRES!$J$536:$J$586,0)),"")</f>
        <v/>
      </c>
      <c r="P113" s="61" t="str">
        <f aca="false">IFERROR(INDEX(PARAMETRES!$F$536:$F$586,MATCH(M113,PARAMETRES!$J$536:$J$586,0)),"")</f>
        <v/>
      </c>
      <c r="Q113" s="61" t="str">
        <f aca="false">IFERROR(INDEX(PARAMETRES!$H$536:$H$586,MATCH(M113,PARAMETRES!$J$536:$J$586,0)),"")</f>
        <v/>
      </c>
      <c r="R113" s="86"/>
      <c r="S113" s="86"/>
      <c r="T113" s="86"/>
      <c r="U113" s="86"/>
      <c r="V113" s="86"/>
      <c r="W113" s="86"/>
      <c r="X113" s="86"/>
      <c r="Y113" s="86"/>
      <c r="Z113" s="86"/>
      <c r="AA113" s="86"/>
      <c r="AB113" s="86"/>
      <c r="AC113" s="79"/>
      <c r="AD113" s="86"/>
      <c r="AE113" s="86"/>
      <c r="AF113" s="86"/>
      <c r="AG113" s="86"/>
      <c r="AH113" s="61" t="str">
        <f aca="false">IFERROR(INDEX(PARAMETRES!$B$536:$B$586,MATCH(AG113,PARAMETRES!$J$536:$J$586,0)),"")</f>
        <v/>
      </c>
      <c r="AI113" s="61" t="str">
        <f aca="false">IFERROR(INDEX(PARAMETRES!$D$536:$D$586,MATCH(AG113,PARAMETRES!$J$536:$J$586,0)),"")</f>
        <v/>
      </c>
      <c r="AJ113" s="61" t="str">
        <f aca="false">IFERROR(INDEX(PARAMETRES!$F$536:$F$586,MATCH(AG113,PARAMETRES!$J$536:$J$586,0)),"")</f>
        <v/>
      </c>
      <c r="AK113" s="61" t="str">
        <f aca="false">IFERROR(INDEX(PARAMETRES!$H$536:$H$586,MATCH(AG113,PARAMETRES!$J$536:$J$586,0)),"")</f>
        <v/>
      </c>
      <c r="AL113" s="79"/>
      <c r="AM113" s="79"/>
      <c r="AN113" s="86"/>
      <c r="AO113" s="86"/>
      <c r="AP113" s="80"/>
      <c r="AQ113" s="80"/>
      <c r="AR113" s="81" t="str">
        <f aca="false">IF(OR(AP113="",AQ113=""),"",AP113-AQ113)</f>
        <v/>
      </c>
      <c r="AS113" s="86"/>
      <c r="AT113" s="61" t="n">
        <f aca="false">IF(A113="",0,COUNTIF(tbl_Partenaires_Projets[ID Partenaire],A113))</f>
        <v>0</v>
      </c>
      <c r="AU113" s="61" t="n">
        <f aca="false">IF(A113="",0,COUNTIF(tbl_Partenaires_Conventions[ID Partenaire],A113))</f>
        <v>0</v>
      </c>
      <c r="AV113" s="61" t="n">
        <f aca="false">IF(A113="",0,COUNTIFS(tbl_Partenaires_Conventions[ID Partenaire],A113,tbl_Partenaires_Conventions[Statut],"Active"))</f>
        <v>0</v>
      </c>
      <c r="AW113" s="61" t="str">
        <f aca="false">IF(A113="","",IF(COUNTIFS(tbl_Partenaires_Conventions[ID Partenaire],A113,tbl_Partenaires_Conventions[Statut],"Active")=0,"NON",IF(_xlfn.MINIFS(tbl_Partenaires_Conventions[Date fin],tbl_Partenaires_Conventions[ID Partenaire],A113,tbl_Partenaires_Conventions[Statut],"Active")-TODAY()&lt;=60,"OUI","NON")))</f>
        <v/>
      </c>
      <c r="AX113" s="61" t="n">
        <f aca="false">IF(A113="",0,COUNTIF(tbl_Partenaires_Documents[ID Partenaire],A113))</f>
        <v>0</v>
      </c>
      <c r="AY113" s="92" t="str">
        <f aca="false">IFERROR(AVERAGEIFS(tbl_Partenaires_Evaluations[Note globale],tbl_Partenaires_Evaluations[ID Partenaire],A113),"")</f>
        <v/>
      </c>
      <c r="AZ113" s="102" t="n">
        <f aca="false">IFERROR(_xlfn.MAXIFS(tbl_Partenaires_Evaluations[Date evaluation],tbl_Partenaires_Evaluations[ID Partenaire],A113),"")</f>
        <v>0</v>
      </c>
      <c r="BA113" s="61" t="n">
        <f aca="false">IF(A113="",0,COUNTIF(tbl_Partenaires_Risques[ID Partenaire],A113))</f>
        <v>0</v>
      </c>
      <c r="BB113" s="61" t="str">
        <f aca="false">IF(A113="","",IF(COUNTIFS(tbl_Partenaires_Risques[ID Partenaire],A113,tbl_Partenaires_Risques[Niveau],"Eleve")+COUNTIFS(tbl_Partenaires_Risques[ID Partenaire],A113,tbl_Partenaires_Risques[Niveau],"Critique")&gt;0,"OUI","NON"))</f>
        <v/>
      </c>
      <c r="BC113" s="61" t="n">
        <f aca="false">IF(A113="",0,COUNTIF(tbl_Partenaires_Contacts[ID Partenaire],A113))</f>
        <v>0</v>
      </c>
      <c r="BD113" s="61" t="n">
        <f aca="false">IF(A113="",0,COUNTIFS(tbl_Partenaires_Opportunites[ID Partenaire],A113,tbl_Partenaires_Opportunites[Statut],"&lt;&gt;Cloturee"))</f>
        <v>0</v>
      </c>
      <c r="BE113" s="61" t="n">
        <f aca="false">IF(A113="",0,COUNTIF(tbl_Partenaires_Prospection[ID Partenaire],A113))</f>
        <v>0</v>
      </c>
      <c r="BF113" s="86"/>
      <c r="BG113" s="86"/>
      <c r="BH113" s="86"/>
      <c r="BI113" s="86"/>
      <c r="BJ113" s="86"/>
      <c r="BK113" s="86"/>
      <c r="BL113" s="86"/>
      <c r="BM113" s="86"/>
      <c r="BN113" s="86"/>
      <c r="BO113" s="86"/>
      <c r="BP113" s="86"/>
      <c r="BQ113" s="86"/>
      <c r="BR113" s="61" t="str">
        <f aca="false">IF(C113="","",IF(OR(COUNTIF(C56:C115,C113)&gt;1,AND(E113&lt;&gt;"",COUNTIF(E56:E115,E113)&gt;1),AND(S113&lt;&gt;"",COUNTIF(S56:S115,S113)&gt;1),AND(U113&lt;&gt;"",COUNTIF(U56:U115,U113)&gt;1)),"OUI","NON"))</f>
        <v/>
      </c>
      <c r="BS113" s="86"/>
    </row>
    <row r="114" customFormat="false" ht="15" hidden="false" customHeight="true" outlineLevel="0" collapsed="false">
      <c r="A114" s="61" t="str">
        <f aca="false">IF(C114="","","PART"&amp;TEXT(ROW()-55,"00000"))</f>
        <v/>
      </c>
      <c r="B114" s="86"/>
      <c r="C114" s="86"/>
      <c r="D114" s="86"/>
      <c r="E114" s="86"/>
      <c r="F114" s="86"/>
      <c r="G114" s="86"/>
      <c r="H114" s="86"/>
      <c r="I114" s="86"/>
      <c r="J114" s="101"/>
      <c r="K114" s="86"/>
      <c r="L114" s="86"/>
      <c r="M114" s="86"/>
      <c r="N114" s="61" t="str">
        <f aca="false">IFERROR(INDEX(PARAMETRES!$B$536:$B$586,MATCH(M114,PARAMETRES!$J$536:$J$586,0)),"")</f>
        <v/>
      </c>
      <c r="O114" s="61" t="str">
        <f aca="false">IFERROR(INDEX(PARAMETRES!$D$536:$D$586,MATCH(M114,PARAMETRES!$J$536:$J$586,0)),"")</f>
        <v/>
      </c>
      <c r="P114" s="61" t="str">
        <f aca="false">IFERROR(INDEX(PARAMETRES!$F$536:$F$586,MATCH(M114,PARAMETRES!$J$536:$J$586,0)),"")</f>
        <v/>
      </c>
      <c r="Q114" s="61" t="str">
        <f aca="false">IFERROR(INDEX(PARAMETRES!$H$536:$H$586,MATCH(M114,PARAMETRES!$J$536:$J$586,0)),"")</f>
        <v/>
      </c>
      <c r="R114" s="86"/>
      <c r="S114" s="86"/>
      <c r="T114" s="86"/>
      <c r="U114" s="86"/>
      <c r="V114" s="86"/>
      <c r="W114" s="86"/>
      <c r="X114" s="86"/>
      <c r="Y114" s="86"/>
      <c r="Z114" s="86"/>
      <c r="AA114" s="86"/>
      <c r="AB114" s="86"/>
      <c r="AC114" s="79"/>
      <c r="AD114" s="86"/>
      <c r="AE114" s="86"/>
      <c r="AF114" s="86"/>
      <c r="AG114" s="86"/>
      <c r="AH114" s="61" t="str">
        <f aca="false">IFERROR(INDEX(PARAMETRES!$B$536:$B$586,MATCH(AG114,PARAMETRES!$J$536:$J$586,0)),"")</f>
        <v/>
      </c>
      <c r="AI114" s="61" t="str">
        <f aca="false">IFERROR(INDEX(PARAMETRES!$D$536:$D$586,MATCH(AG114,PARAMETRES!$J$536:$J$586,0)),"")</f>
        <v/>
      </c>
      <c r="AJ114" s="61" t="str">
        <f aca="false">IFERROR(INDEX(PARAMETRES!$F$536:$F$586,MATCH(AG114,PARAMETRES!$J$536:$J$586,0)),"")</f>
        <v/>
      </c>
      <c r="AK114" s="61" t="str">
        <f aca="false">IFERROR(INDEX(PARAMETRES!$H$536:$H$586,MATCH(AG114,PARAMETRES!$J$536:$J$586,0)),"")</f>
        <v/>
      </c>
      <c r="AL114" s="79"/>
      <c r="AM114" s="79"/>
      <c r="AN114" s="86"/>
      <c r="AO114" s="86"/>
      <c r="AP114" s="80"/>
      <c r="AQ114" s="80"/>
      <c r="AR114" s="81" t="str">
        <f aca="false">IF(OR(AP114="",AQ114=""),"",AP114-AQ114)</f>
        <v/>
      </c>
      <c r="AS114" s="86"/>
      <c r="AT114" s="61" t="n">
        <f aca="false">IF(A114="",0,COUNTIF(tbl_Partenaires_Projets[ID Partenaire],A114))</f>
        <v>0</v>
      </c>
      <c r="AU114" s="61" t="n">
        <f aca="false">IF(A114="",0,COUNTIF(tbl_Partenaires_Conventions[ID Partenaire],A114))</f>
        <v>0</v>
      </c>
      <c r="AV114" s="61" t="n">
        <f aca="false">IF(A114="",0,COUNTIFS(tbl_Partenaires_Conventions[ID Partenaire],A114,tbl_Partenaires_Conventions[Statut],"Active"))</f>
        <v>0</v>
      </c>
      <c r="AW114" s="61" t="str">
        <f aca="false">IF(A114="","",IF(COUNTIFS(tbl_Partenaires_Conventions[ID Partenaire],A114,tbl_Partenaires_Conventions[Statut],"Active")=0,"NON",IF(_xlfn.MINIFS(tbl_Partenaires_Conventions[Date fin],tbl_Partenaires_Conventions[ID Partenaire],A114,tbl_Partenaires_Conventions[Statut],"Active")-TODAY()&lt;=60,"OUI","NON")))</f>
        <v/>
      </c>
      <c r="AX114" s="61" t="n">
        <f aca="false">IF(A114="",0,COUNTIF(tbl_Partenaires_Documents[ID Partenaire],A114))</f>
        <v>0</v>
      </c>
      <c r="AY114" s="92" t="str">
        <f aca="false">IFERROR(AVERAGEIFS(tbl_Partenaires_Evaluations[Note globale],tbl_Partenaires_Evaluations[ID Partenaire],A114),"")</f>
        <v/>
      </c>
      <c r="AZ114" s="102" t="n">
        <f aca="false">IFERROR(_xlfn.MAXIFS(tbl_Partenaires_Evaluations[Date evaluation],tbl_Partenaires_Evaluations[ID Partenaire],A114),"")</f>
        <v>0</v>
      </c>
      <c r="BA114" s="61" t="n">
        <f aca="false">IF(A114="",0,COUNTIF(tbl_Partenaires_Risques[ID Partenaire],A114))</f>
        <v>0</v>
      </c>
      <c r="BB114" s="61" t="str">
        <f aca="false">IF(A114="","",IF(COUNTIFS(tbl_Partenaires_Risques[ID Partenaire],A114,tbl_Partenaires_Risques[Niveau],"Eleve")+COUNTIFS(tbl_Partenaires_Risques[ID Partenaire],A114,tbl_Partenaires_Risques[Niveau],"Critique")&gt;0,"OUI","NON"))</f>
        <v/>
      </c>
      <c r="BC114" s="61" t="n">
        <f aca="false">IF(A114="",0,COUNTIF(tbl_Partenaires_Contacts[ID Partenaire],A114))</f>
        <v>0</v>
      </c>
      <c r="BD114" s="61" t="n">
        <f aca="false">IF(A114="",0,COUNTIFS(tbl_Partenaires_Opportunites[ID Partenaire],A114,tbl_Partenaires_Opportunites[Statut],"&lt;&gt;Cloturee"))</f>
        <v>0</v>
      </c>
      <c r="BE114" s="61" t="n">
        <f aca="false">IF(A114="",0,COUNTIF(tbl_Partenaires_Prospection[ID Partenaire],A114))</f>
        <v>0</v>
      </c>
      <c r="BF114" s="86"/>
      <c r="BG114" s="86"/>
      <c r="BH114" s="86"/>
      <c r="BI114" s="86"/>
      <c r="BJ114" s="86"/>
      <c r="BK114" s="86"/>
      <c r="BL114" s="86"/>
      <c r="BM114" s="86"/>
      <c r="BN114" s="86"/>
      <c r="BO114" s="86"/>
      <c r="BP114" s="86"/>
      <c r="BQ114" s="86"/>
      <c r="BR114" s="61" t="str">
        <f aca="false">IF(C114="","",IF(OR(COUNTIF(C56:C115,C114)&gt;1,AND(E114&lt;&gt;"",COUNTIF(E56:E115,E114)&gt;1),AND(S114&lt;&gt;"",COUNTIF(S56:S115,S114)&gt;1),AND(U114&lt;&gt;"",COUNTIF(U56:U115,U114)&gt;1)),"OUI","NON"))</f>
        <v/>
      </c>
      <c r="BS114" s="86"/>
    </row>
    <row r="115" customFormat="false" ht="15" hidden="false" customHeight="true" outlineLevel="0" collapsed="false">
      <c r="A115" s="61" t="str">
        <f aca="false">IF(C115="","","PART"&amp;TEXT(ROW()-55,"00000"))</f>
        <v/>
      </c>
      <c r="B115" s="86"/>
      <c r="C115" s="86"/>
      <c r="D115" s="86"/>
      <c r="E115" s="86"/>
      <c r="F115" s="86"/>
      <c r="G115" s="86"/>
      <c r="H115" s="86"/>
      <c r="I115" s="86"/>
      <c r="J115" s="101"/>
      <c r="K115" s="86"/>
      <c r="L115" s="86"/>
      <c r="M115" s="86"/>
      <c r="N115" s="61" t="str">
        <f aca="false">IFERROR(INDEX(PARAMETRES!$B$536:$B$586,MATCH(M115,PARAMETRES!$J$536:$J$586,0)),"")</f>
        <v/>
      </c>
      <c r="O115" s="61" t="str">
        <f aca="false">IFERROR(INDEX(PARAMETRES!$D$536:$D$586,MATCH(M115,PARAMETRES!$J$536:$J$586,0)),"")</f>
        <v/>
      </c>
      <c r="P115" s="61" t="str">
        <f aca="false">IFERROR(INDEX(PARAMETRES!$F$536:$F$586,MATCH(M115,PARAMETRES!$J$536:$J$586,0)),"")</f>
        <v/>
      </c>
      <c r="Q115" s="61" t="str">
        <f aca="false">IFERROR(INDEX(PARAMETRES!$H$536:$H$586,MATCH(M115,PARAMETRES!$J$536:$J$586,0)),"")</f>
        <v/>
      </c>
      <c r="R115" s="86"/>
      <c r="S115" s="86"/>
      <c r="T115" s="86"/>
      <c r="U115" s="86"/>
      <c r="V115" s="86"/>
      <c r="W115" s="86"/>
      <c r="X115" s="86"/>
      <c r="Y115" s="86"/>
      <c r="Z115" s="86"/>
      <c r="AA115" s="86"/>
      <c r="AB115" s="86"/>
      <c r="AC115" s="79"/>
      <c r="AD115" s="86"/>
      <c r="AE115" s="86"/>
      <c r="AF115" s="86"/>
      <c r="AG115" s="86"/>
      <c r="AH115" s="61" t="str">
        <f aca="false">IFERROR(INDEX(PARAMETRES!$B$536:$B$586,MATCH(AG115,PARAMETRES!$J$536:$J$586,0)),"")</f>
        <v/>
      </c>
      <c r="AI115" s="61" t="str">
        <f aca="false">IFERROR(INDEX(PARAMETRES!$D$536:$D$586,MATCH(AG115,PARAMETRES!$J$536:$J$586,0)),"")</f>
        <v/>
      </c>
      <c r="AJ115" s="61" t="str">
        <f aca="false">IFERROR(INDEX(PARAMETRES!$F$536:$F$586,MATCH(AG115,PARAMETRES!$J$536:$J$586,0)),"")</f>
        <v/>
      </c>
      <c r="AK115" s="61" t="str">
        <f aca="false">IFERROR(INDEX(PARAMETRES!$H$536:$H$586,MATCH(AG115,PARAMETRES!$J$536:$J$586,0)),"")</f>
        <v/>
      </c>
      <c r="AL115" s="79"/>
      <c r="AM115" s="79"/>
      <c r="AN115" s="86"/>
      <c r="AO115" s="86"/>
      <c r="AP115" s="80"/>
      <c r="AQ115" s="80"/>
      <c r="AR115" s="81" t="str">
        <f aca="false">IF(OR(AP115="",AQ115=""),"",AP115-AQ115)</f>
        <v/>
      </c>
      <c r="AS115" s="86"/>
      <c r="AT115" s="61" t="n">
        <f aca="false">IF(A115="",0,COUNTIF(tbl_Partenaires_Projets[ID Partenaire],A115))</f>
        <v>0</v>
      </c>
      <c r="AU115" s="61" t="n">
        <f aca="false">IF(A115="",0,COUNTIF(tbl_Partenaires_Conventions[ID Partenaire],A115))</f>
        <v>0</v>
      </c>
      <c r="AV115" s="61" t="n">
        <f aca="false">IF(A115="",0,COUNTIFS(tbl_Partenaires_Conventions[ID Partenaire],A115,tbl_Partenaires_Conventions[Statut],"Active"))</f>
        <v>0</v>
      </c>
      <c r="AW115" s="61" t="str">
        <f aca="false">IF(A115="","",IF(COUNTIFS(tbl_Partenaires_Conventions[ID Partenaire],A115,tbl_Partenaires_Conventions[Statut],"Active")=0,"NON",IF(_xlfn.MINIFS(tbl_Partenaires_Conventions[Date fin],tbl_Partenaires_Conventions[ID Partenaire],A115,tbl_Partenaires_Conventions[Statut],"Active")-TODAY()&lt;=60,"OUI","NON")))</f>
        <v/>
      </c>
      <c r="AX115" s="61" t="n">
        <f aca="false">IF(A115="",0,COUNTIF(tbl_Partenaires_Documents[ID Partenaire],A115))</f>
        <v>0</v>
      </c>
      <c r="AY115" s="92" t="str">
        <f aca="false">IFERROR(AVERAGEIFS(tbl_Partenaires_Evaluations[Note globale],tbl_Partenaires_Evaluations[ID Partenaire],A115),"")</f>
        <v/>
      </c>
      <c r="AZ115" s="102" t="n">
        <f aca="false">IFERROR(_xlfn.MAXIFS(tbl_Partenaires_Evaluations[Date evaluation],tbl_Partenaires_Evaluations[ID Partenaire],A115),"")</f>
        <v>0</v>
      </c>
      <c r="BA115" s="61" t="n">
        <f aca="false">IF(A115="",0,COUNTIF(tbl_Partenaires_Risques[ID Partenaire],A115))</f>
        <v>0</v>
      </c>
      <c r="BB115" s="61" t="str">
        <f aca="false">IF(A115="","",IF(COUNTIFS(tbl_Partenaires_Risques[ID Partenaire],A115,tbl_Partenaires_Risques[Niveau],"Eleve")+COUNTIFS(tbl_Partenaires_Risques[ID Partenaire],A115,tbl_Partenaires_Risques[Niveau],"Critique")&gt;0,"OUI","NON"))</f>
        <v/>
      </c>
      <c r="BC115" s="61" t="n">
        <f aca="false">IF(A115="",0,COUNTIF(tbl_Partenaires_Contacts[ID Partenaire],A115))</f>
        <v>0</v>
      </c>
      <c r="BD115" s="61" t="n">
        <f aca="false">IF(A115="",0,COUNTIFS(tbl_Partenaires_Opportunites[ID Partenaire],A115,tbl_Partenaires_Opportunites[Statut],"&lt;&gt;Cloturee"))</f>
        <v>0</v>
      </c>
      <c r="BE115" s="61" t="n">
        <f aca="false">IF(A115="",0,COUNTIF(tbl_Partenaires_Prospection[ID Partenaire],A115))</f>
        <v>0</v>
      </c>
      <c r="BF115" s="86"/>
      <c r="BG115" s="86"/>
      <c r="BH115" s="86"/>
      <c r="BI115" s="86"/>
      <c r="BJ115" s="86"/>
      <c r="BK115" s="86"/>
      <c r="BL115" s="86"/>
      <c r="BM115" s="86"/>
      <c r="BN115" s="86"/>
      <c r="BO115" s="86"/>
      <c r="BP115" s="86"/>
      <c r="BQ115" s="86"/>
      <c r="BR115" s="61" t="str">
        <f aca="false">IF(C115="","",IF(OR(COUNTIF(C56:C115,C115)&gt;1,AND(E115&lt;&gt;"",COUNTIF(E56:E115,E115)&gt;1),AND(S115&lt;&gt;"",COUNTIF(S56:S115,S115)&gt;1),AND(U115&lt;&gt;"",COUNTIF(U56:U115,U115)&gt;1)),"OUI","NON"))</f>
        <v/>
      </c>
      <c r="BS115" s="86"/>
    </row>
    <row r="118" customFormat="false" ht="19.5" hidden="false" customHeight="true" outlineLevel="0" collapsed="false">
      <c r="A118" s="55" t="s">
        <v>1850</v>
      </c>
      <c r="B118" s="55"/>
    </row>
    <row r="119" customFormat="false" ht="25.5" hidden="false" customHeight="true" outlineLevel="0" collapsed="false">
      <c r="A119" s="59" t="s">
        <v>1803</v>
      </c>
      <c r="B119" s="59" t="s">
        <v>1790</v>
      </c>
    </row>
    <row r="120" customFormat="false" ht="15" hidden="false" customHeight="true" outlineLevel="0" collapsed="false">
      <c r="A120" s="103" t="s">
        <v>887</v>
      </c>
      <c r="B120" s="61" t="n">
        <f aca="false">COUNTIF(tbl_Partenaires[Departement (siege)],A120)</f>
        <v>0</v>
      </c>
    </row>
    <row r="121" customFormat="false" ht="15" hidden="false" customHeight="true" outlineLevel="0" collapsed="false">
      <c r="A121" s="103" t="s">
        <v>917</v>
      </c>
      <c r="B121" s="61" t="n">
        <f aca="false">COUNTIF(tbl_Partenaires[Departement (siege)],A121)</f>
        <v>0</v>
      </c>
    </row>
    <row r="122" customFormat="false" ht="15" hidden="false" customHeight="true" outlineLevel="0" collapsed="false">
      <c r="A122" s="103" t="s">
        <v>938</v>
      </c>
      <c r="B122" s="61" t="n">
        <f aca="false">COUNTIF(tbl_Partenaires[Departement (siege)],A122)</f>
        <v>0</v>
      </c>
    </row>
    <row r="123" customFormat="false" ht="15" hidden="false" customHeight="true" outlineLevel="0" collapsed="false">
      <c r="A123" s="103" t="s">
        <v>950</v>
      </c>
      <c r="B123" s="61" t="n">
        <f aca="false">COUNTIF(tbl_Partenaires[Departement (siege)],A123)</f>
        <v>0</v>
      </c>
    </row>
    <row r="124" customFormat="false" ht="15" hidden="false" customHeight="true" outlineLevel="0" collapsed="false">
      <c r="A124" s="103" t="s">
        <v>961</v>
      </c>
      <c r="B124" s="61" t="n">
        <f aca="false">COUNTIF(tbl_Partenaires[Departement (siege)],A124)</f>
        <v>0</v>
      </c>
    </row>
    <row r="125" customFormat="false" ht="15" hidden="false" customHeight="true" outlineLevel="0" collapsed="false">
      <c r="A125" s="103" t="s">
        <v>970</v>
      </c>
      <c r="B125" s="61" t="n">
        <f aca="false">COUNTIF(tbl_Partenaires[Departement (siege)],A125)</f>
        <v>0</v>
      </c>
    </row>
    <row r="126" customFormat="false" ht="15" hidden="false" customHeight="true" outlineLevel="0" collapsed="false">
      <c r="A126" s="103" t="s">
        <v>1851</v>
      </c>
      <c r="B126" s="61" t="n">
        <f aca="false">COUNTIF(tbl_Partenaires[Departement (siege)],A126)</f>
        <v>0</v>
      </c>
    </row>
    <row r="127" customFormat="false" ht="15" hidden="false" customHeight="true" outlineLevel="0" collapsed="false">
      <c r="A127" s="103" t="s">
        <v>990</v>
      </c>
      <c r="B127" s="61" t="n">
        <f aca="false">COUNTIF(tbl_Partenaires[Departement (siege)],A127)</f>
        <v>0</v>
      </c>
    </row>
    <row r="128" customFormat="false" ht="15" hidden="false" customHeight="true" outlineLevel="0" collapsed="false">
      <c r="A128" s="103" t="s">
        <v>1001</v>
      </c>
      <c r="B128" s="61" t="n">
        <f aca="false">COUNTIF(tbl_Partenaires[Departement (siege)],A128)</f>
        <v>0</v>
      </c>
    </row>
    <row r="129" customFormat="false" ht="15" hidden="false" customHeight="true" outlineLevel="0" collapsed="false">
      <c r="A129" s="103" t="s">
        <v>1012</v>
      </c>
      <c r="B129" s="61" t="n">
        <f aca="false">COUNTIF(tbl_Partenaires[Departement (siege)],A129)</f>
        <v>0</v>
      </c>
    </row>
    <row r="130" customFormat="false" ht="15" hidden="false" customHeight="true" outlineLevel="0" collapsed="false">
      <c r="A130" s="103" t="s">
        <v>1023</v>
      </c>
      <c r="B130" s="61" t="n">
        <f aca="false">COUNTIF(tbl_Partenaires[Departement (siege)],A130)</f>
        <v>0</v>
      </c>
    </row>
    <row r="131" customFormat="false" ht="15" hidden="false" customHeight="true" outlineLevel="0" collapsed="false">
      <c r="A131" s="103" t="s">
        <v>1032</v>
      </c>
      <c r="B131" s="61" t="n">
        <f aca="false">COUNTIF(tbl_Partenaires[Departement (siege)],A131)</f>
        <v>0</v>
      </c>
    </row>
    <row r="134" customFormat="false" ht="19.5" hidden="false" customHeight="true" outlineLevel="0" collapsed="false">
      <c r="A134" s="55" t="s">
        <v>1852</v>
      </c>
      <c r="B134" s="55"/>
      <c r="C134" s="55"/>
      <c r="D134" s="55"/>
      <c r="E134" s="55"/>
      <c r="F134" s="55"/>
      <c r="G134" s="55"/>
      <c r="H134" s="55"/>
    </row>
    <row r="135" customFormat="false" ht="25.5" hidden="false" customHeight="true" outlineLevel="0" collapsed="false">
      <c r="A135" s="59" t="s">
        <v>1797</v>
      </c>
      <c r="B135" s="59" t="s">
        <v>1853</v>
      </c>
      <c r="C135" s="59" t="s">
        <v>1467</v>
      </c>
      <c r="D135" s="59" t="s">
        <v>1298</v>
      </c>
      <c r="E135" s="59" t="s">
        <v>1295</v>
      </c>
      <c r="F135" s="59" t="s">
        <v>1300</v>
      </c>
      <c r="G135" s="59" t="s">
        <v>1854</v>
      </c>
      <c r="H135" s="59" t="s">
        <v>54</v>
      </c>
    </row>
    <row r="136" customFormat="false" ht="15" hidden="false" customHeight="true" outlineLevel="0" collapsed="false">
      <c r="A136" s="86"/>
      <c r="B136" s="61" t="str">
        <f aca="false">IF(A136="","",A136&amp;"-C"&amp;TEXT(ROW()-135,"00"))</f>
        <v/>
      </c>
      <c r="C136" s="86"/>
      <c r="D136" s="86"/>
      <c r="E136" s="86"/>
      <c r="F136" s="86"/>
      <c r="G136" s="86"/>
      <c r="H136" s="86"/>
    </row>
    <row r="137" customFormat="false" ht="15" hidden="false" customHeight="true" outlineLevel="0" collapsed="false">
      <c r="A137" s="86"/>
      <c r="B137" s="61" t="str">
        <f aca="false">IF(A137="","",A137&amp;"-C"&amp;TEXT(ROW()-135,"00"))</f>
        <v/>
      </c>
      <c r="C137" s="86"/>
      <c r="D137" s="86"/>
      <c r="E137" s="86"/>
      <c r="F137" s="86"/>
      <c r="G137" s="86"/>
      <c r="H137" s="86"/>
    </row>
    <row r="138" customFormat="false" ht="15" hidden="false" customHeight="true" outlineLevel="0" collapsed="false">
      <c r="A138" s="86"/>
      <c r="B138" s="61" t="str">
        <f aca="false">IF(A138="","",A138&amp;"-C"&amp;TEXT(ROW()-135,"00"))</f>
        <v/>
      </c>
      <c r="C138" s="86"/>
      <c r="D138" s="86"/>
      <c r="E138" s="86"/>
      <c r="F138" s="86"/>
      <c r="G138" s="86"/>
      <c r="H138" s="86"/>
    </row>
    <row r="139" customFormat="false" ht="15" hidden="false" customHeight="true" outlineLevel="0" collapsed="false">
      <c r="A139" s="86"/>
      <c r="B139" s="61" t="str">
        <f aca="false">IF(A139="","",A139&amp;"-C"&amp;TEXT(ROW()-135,"00"))</f>
        <v/>
      </c>
      <c r="C139" s="86"/>
      <c r="D139" s="86"/>
      <c r="E139" s="86"/>
      <c r="F139" s="86"/>
      <c r="G139" s="86"/>
      <c r="H139" s="86"/>
    </row>
    <row r="140" customFormat="false" ht="15" hidden="false" customHeight="true" outlineLevel="0" collapsed="false">
      <c r="A140" s="86"/>
      <c r="B140" s="61" t="str">
        <f aca="false">IF(A140="","",A140&amp;"-C"&amp;TEXT(ROW()-135,"00"))</f>
        <v/>
      </c>
      <c r="C140" s="86"/>
      <c r="D140" s="86"/>
      <c r="E140" s="86"/>
      <c r="F140" s="86"/>
      <c r="G140" s="86"/>
      <c r="H140" s="86"/>
    </row>
    <row r="141" customFormat="false" ht="15" hidden="false" customHeight="true" outlineLevel="0" collapsed="false">
      <c r="A141" s="86"/>
      <c r="B141" s="61" t="str">
        <f aca="false">IF(A141="","",A141&amp;"-C"&amp;TEXT(ROW()-135,"00"))</f>
        <v/>
      </c>
      <c r="C141" s="86"/>
      <c r="D141" s="86"/>
      <c r="E141" s="86"/>
      <c r="F141" s="86"/>
      <c r="G141" s="86"/>
      <c r="H141" s="86"/>
    </row>
    <row r="142" customFormat="false" ht="15" hidden="false" customHeight="true" outlineLevel="0" collapsed="false">
      <c r="A142" s="86"/>
      <c r="B142" s="61" t="str">
        <f aca="false">IF(A142="","",A142&amp;"-C"&amp;TEXT(ROW()-135,"00"))</f>
        <v/>
      </c>
      <c r="C142" s="86"/>
      <c r="D142" s="86"/>
      <c r="E142" s="86"/>
      <c r="F142" s="86"/>
      <c r="G142" s="86"/>
      <c r="H142" s="86"/>
    </row>
    <row r="143" customFormat="false" ht="15" hidden="false" customHeight="true" outlineLevel="0" collapsed="false">
      <c r="A143" s="86"/>
      <c r="B143" s="61" t="str">
        <f aca="false">IF(A143="","",A143&amp;"-C"&amp;TEXT(ROW()-135,"00"))</f>
        <v/>
      </c>
      <c r="C143" s="86"/>
      <c r="D143" s="86"/>
      <c r="E143" s="86"/>
      <c r="F143" s="86"/>
      <c r="G143" s="86"/>
      <c r="H143" s="86"/>
    </row>
    <row r="144" customFormat="false" ht="15" hidden="false" customHeight="true" outlineLevel="0" collapsed="false">
      <c r="A144" s="86"/>
      <c r="B144" s="61" t="str">
        <f aca="false">IF(A144="","",A144&amp;"-C"&amp;TEXT(ROW()-135,"00"))</f>
        <v/>
      </c>
      <c r="C144" s="86"/>
      <c r="D144" s="86"/>
      <c r="E144" s="86"/>
      <c r="F144" s="86"/>
      <c r="G144" s="86"/>
      <c r="H144" s="86"/>
    </row>
    <row r="145" customFormat="false" ht="15" hidden="false" customHeight="true" outlineLevel="0" collapsed="false">
      <c r="A145" s="86"/>
      <c r="B145" s="61" t="str">
        <f aca="false">IF(A145="","",A145&amp;"-C"&amp;TEXT(ROW()-135,"00"))</f>
        <v/>
      </c>
      <c r="C145" s="86"/>
      <c r="D145" s="86"/>
      <c r="E145" s="86"/>
      <c r="F145" s="86"/>
      <c r="G145" s="86"/>
      <c r="H145" s="86"/>
    </row>
    <row r="146" customFormat="false" ht="15" hidden="false" customHeight="true" outlineLevel="0" collapsed="false">
      <c r="A146" s="86"/>
      <c r="B146" s="61" t="str">
        <f aca="false">IF(A146="","",A146&amp;"-C"&amp;TEXT(ROW()-135,"00"))</f>
        <v/>
      </c>
      <c r="C146" s="86"/>
      <c r="D146" s="86"/>
      <c r="E146" s="86"/>
      <c r="F146" s="86"/>
      <c r="G146" s="86"/>
      <c r="H146" s="86"/>
    </row>
    <row r="147" customFormat="false" ht="15" hidden="false" customHeight="true" outlineLevel="0" collapsed="false">
      <c r="A147" s="86"/>
      <c r="B147" s="61" t="str">
        <f aca="false">IF(A147="","",A147&amp;"-C"&amp;TEXT(ROW()-135,"00"))</f>
        <v/>
      </c>
      <c r="C147" s="86"/>
      <c r="D147" s="86"/>
      <c r="E147" s="86"/>
      <c r="F147" s="86"/>
      <c r="G147" s="86"/>
      <c r="H147" s="86"/>
    </row>
    <row r="148" customFormat="false" ht="15" hidden="false" customHeight="true" outlineLevel="0" collapsed="false">
      <c r="A148" s="86"/>
      <c r="B148" s="61" t="str">
        <f aca="false">IF(A148="","",A148&amp;"-C"&amp;TEXT(ROW()-135,"00"))</f>
        <v/>
      </c>
      <c r="C148" s="86"/>
      <c r="D148" s="86"/>
      <c r="E148" s="86"/>
      <c r="F148" s="86"/>
      <c r="G148" s="86"/>
      <c r="H148" s="86"/>
    </row>
    <row r="149" customFormat="false" ht="15" hidden="false" customHeight="true" outlineLevel="0" collapsed="false">
      <c r="A149" s="86"/>
      <c r="B149" s="61" t="str">
        <f aca="false">IF(A149="","",A149&amp;"-C"&amp;TEXT(ROW()-135,"00"))</f>
        <v/>
      </c>
      <c r="C149" s="86"/>
      <c r="D149" s="86"/>
      <c r="E149" s="86"/>
      <c r="F149" s="86"/>
      <c r="G149" s="86"/>
      <c r="H149" s="86"/>
    </row>
    <row r="150" customFormat="false" ht="15" hidden="false" customHeight="true" outlineLevel="0" collapsed="false">
      <c r="A150" s="86"/>
      <c r="B150" s="61" t="str">
        <f aca="false">IF(A150="","",A150&amp;"-C"&amp;TEXT(ROW()-135,"00"))</f>
        <v/>
      </c>
      <c r="C150" s="86"/>
      <c r="D150" s="86"/>
      <c r="E150" s="86"/>
      <c r="F150" s="86"/>
      <c r="G150" s="86"/>
      <c r="H150" s="86"/>
    </row>
    <row r="151" customFormat="false" ht="15" hidden="false" customHeight="true" outlineLevel="0" collapsed="false">
      <c r="A151" s="86"/>
      <c r="B151" s="61" t="str">
        <f aca="false">IF(A151="","",A151&amp;"-C"&amp;TEXT(ROW()-135,"00"))</f>
        <v/>
      </c>
      <c r="C151" s="86"/>
      <c r="D151" s="86"/>
      <c r="E151" s="86"/>
      <c r="F151" s="86"/>
      <c r="G151" s="86"/>
      <c r="H151" s="86"/>
    </row>
    <row r="152" customFormat="false" ht="15" hidden="false" customHeight="true" outlineLevel="0" collapsed="false">
      <c r="A152" s="86"/>
      <c r="B152" s="61" t="str">
        <f aca="false">IF(A152="","",A152&amp;"-C"&amp;TEXT(ROW()-135,"00"))</f>
        <v/>
      </c>
      <c r="C152" s="86"/>
      <c r="D152" s="86"/>
      <c r="E152" s="86"/>
      <c r="F152" s="86"/>
      <c r="G152" s="86"/>
      <c r="H152" s="86"/>
    </row>
    <row r="153" customFormat="false" ht="15" hidden="false" customHeight="true" outlineLevel="0" collapsed="false">
      <c r="A153" s="86"/>
      <c r="B153" s="61" t="str">
        <f aca="false">IF(A153="","",A153&amp;"-C"&amp;TEXT(ROW()-135,"00"))</f>
        <v/>
      </c>
      <c r="C153" s="86"/>
      <c r="D153" s="86"/>
      <c r="E153" s="86"/>
      <c r="F153" s="86"/>
      <c r="G153" s="86"/>
      <c r="H153" s="86"/>
    </row>
    <row r="154" customFormat="false" ht="15" hidden="false" customHeight="true" outlineLevel="0" collapsed="false">
      <c r="A154" s="86"/>
      <c r="B154" s="61" t="str">
        <f aca="false">IF(A154="","",A154&amp;"-C"&amp;TEXT(ROW()-135,"00"))</f>
        <v/>
      </c>
      <c r="C154" s="86"/>
      <c r="D154" s="86"/>
      <c r="E154" s="86"/>
      <c r="F154" s="86"/>
      <c r="G154" s="86"/>
      <c r="H154" s="86"/>
    </row>
    <row r="155" customFormat="false" ht="15" hidden="false" customHeight="true" outlineLevel="0" collapsed="false">
      <c r="A155" s="86"/>
      <c r="B155" s="61" t="str">
        <f aca="false">IF(A155="","",A155&amp;"-C"&amp;TEXT(ROW()-135,"00"))</f>
        <v/>
      </c>
      <c r="C155" s="86"/>
      <c r="D155" s="86"/>
      <c r="E155" s="86"/>
      <c r="F155" s="86"/>
      <c r="G155" s="86"/>
      <c r="H155" s="86"/>
    </row>
    <row r="156" customFormat="false" ht="15" hidden="false" customHeight="true" outlineLevel="0" collapsed="false">
      <c r="A156" s="86"/>
      <c r="B156" s="61" t="str">
        <f aca="false">IF(A156="","",A156&amp;"-C"&amp;TEXT(ROW()-135,"00"))</f>
        <v/>
      </c>
      <c r="C156" s="86"/>
      <c r="D156" s="86"/>
      <c r="E156" s="86"/>
      <c r="F156" s="86"/>
      <c r="G156" s="86"/>
      <c r="H156" s="86"/>
    </row>
    <row r="157" customFormat="false" ht="15" hidden="false" customHeight="true" outlineLevel="0" collapsed="false">
      <c r="A157" s="86"/>
      <c r="B157" s="61" t="str">
        <f aca="false">IF(A157="","",A157&amp;"-C"&amp;TEXT(ROW()-135,"00"))</f>
        <v/>
      </c>
      <c r="C157" s="86"/>
      <c r="D157" s="86"/>
      <c r="E157" s="86"/>
      <c r="F157" s="86"/>
      <c r="G157" s="86"/>
      <c r="H157" s="86"/>
    </row>
    <row r="158" customFormat="false" ht="15" hidden="false" customHeight="true" outlineLevel="0" collapsed="false">
      <c r="A158" s="86"/>
      <c r="B158" s="61" t="str">
        <f aca="false">IF(A158="","",A158&amp;"-C"&amp;TEXT(ROW()-135,"00"))</f>
        <v/>
      </c>
      <c r="C158" s="86"/>
      <c r="D158" s="86"/>
      <c r="E158" s="86"/>
      <c r="F158" s="86"/>
      <c r="G158" s="86"/>
      <c r="H158" s="86"/>
    </row>
    <row r="159" customFormat="false" ht="15" hidden="false" customHeight="true" outlineLevel="0" collapsed="false">
      <c r="A159" s="86"/>
      <c r="B159" s="61" t="str">
        <f aca="false">IF(A159="","",A159&amp;"-C"&amp;TEXT(ROW()-135,"00"))</f>
        <v/>
      </c>
      <c r="C159" s="86"/>
      <c r="D159" s="86"/>
      <c r="E159" s="86"/>
      <c r="F159" s="86"/>
      <c r="G159" s="86"/>
      <c r="H159" s="86"/>
    </row>
    <row r="160" customFormat="false" ht="15" hidden="false" customHeight="true" outlineLevel="0" collapsed="false">
      <c r="A160" s="86"/>
      <c r="B160" s="61" t="str">
        <f aca="false">IF(A160="","",A160&amp;"-C"&amp;TEXT(ROW()-135,"00"))</f>
        <v/>
      </c>
      <c r="C160" s="86"/>
      <c r="D160" s="86"/>
      <c r="E160" s="86"/>
      <c r="F160" s="86"/>
      <c r="G160" s="86"/>
      <c r="H160" s="86"/>
    </row>
    <row r="161" customFormat="false" ht="15" hidden="false" customHeight="true" outlineLevel="0" collapsed="false">
      <c r="A161" s="86"/>
      <c r="B161" s="61" t="str">
        <f aca="false">IF(A161="","",A161&amp;"-C"&amp;TEXT(ROW()-135,"00"))</f>
        <v/>
      </c>
      <c r="C161" s="86"/>
      <c r="D161" s="86"/>
      <c r="E161" s="86"/>
      <c r="F161" s="86"/>
      <c r="G161" s="86"/>
      <c r="H161" s="86"/>
    </row>
    <row r="162" customFormat="false" ht="15" hidden="false" customHeight="true" outlineLevel="0" collapsed="false">
      <c r="A162" s="86"/>
      <c r="B162" s="61" t="str">
        <f aca="false">IF(A162="","",A162&amp;"-C"&amp;TEXT(ROW()-135,"00"))</f>
        <v/>
      </c>
      <c r="C162" s="86"/>
      <c r="D162" s="86"/>
      <c r="E162" s="86"/>
      <c r="F162" s="86"/>
      <c r="G162" s="86"/>
      <c r="H162" s="86"/>
    </row>
    <row r="163" customFormat="false" ht="15" hidden="false" customHeight="true" outlineLevel="0" collapsed="false">
      <c r="A163" s="86"/>
      <c r="B163" s="61" t="str">
        <f aca="false">IF(A163="","",A163&amp;"-C"&amp;TEXT(ROW()-135,"00"))</f>
        <v/>
      </c>
      <c r="C163" s="86"/>
      <c r="D163" s="86"/>
      <c r="E163" s="86"/>
      <c r="F163" s="86"/>
      <c r="G163" s="86"/>
      <c r="H163" s="86"/>
    </row>
    <row r="164" customFormat="false" ht="15" hidden="false" customHeight="true" outlineLevel="0" collapsed="false">
      <c r="A164" s="86"/>
      <c r="B164" s="61" t="str">
        <f aca="false">IF(A164="","",A164&amp;"-C"&amp;TEXT(ROW()-135,"00"))</f>
        <v/>
      </c>
      <c r="C164" s="86"/>
      <c r="D164" s="86"/>
      <c r="E164" s="86"/>
      <c r="F164" s="86"/>
      <c r="G164" s="86"/>
      <c r="H164" s="86"/>
    </row>
    <row r="165" customFormat="false" ht="15" hidden="false" customHeight="true" outlineLevel="0" collapsed="false">
      <c r="A165" s="86"/>
      <c r="B165" s="61" t="str">
        <f aca="false">IF(A165="","",A165&amp;"-C"&amp;TEXT(ROW()-135,"00"))</f>
        <v/>
      </c>
      <c r="C165" s="86"/>
      <c r="D165" s="86"/>
      <c r="E165" s="86"/>
      <c r="F165" s="86"/>
      <c r="G165" s="86"/>
      <c r="H165" s="86"/>
    </row>
    <row r="168" customFormat="false" ht="19.5" hidden="false" customHeight="true" outlineLevel="0" collapsed="false">
      <c r="A168" s="55" t="s">
        <v>1855</v>
      </c>
      <c r="B168" s="55"/>
      <c r="C168" s="55"/>
      <c r="D168" s="55"/>
      <c r="E168" s="55"/>
      <c r="F168" s="55"/>
      <c r="G168" s="55"/>
      <c r="H168" s="55"/>
    </row>
    <row r="169" customFormat="false" ht="25.5" hidden="false" customHeight="true" outlineLevel="0" collapsed="false">
      <c r="A169" s="59" t="s">
        <v>1797</v>
      </c>
      <c r="B169" s="59" t="s">
        <v>1570</v>
      </c>
      <c r="C169" s="59" t="s">
        <v>1508</v>
      </c>
      <c r="D169" s="59" t="s">
        <v>1856</v>
      </c>
      <c r="E169" s="59" t="s">
        <v>629</v>
      </c>
      <c r="F169" s="59" t="s">
        <v>1857</v>
      </c>
      <c r="G169" s="59" t="s">
        <v>1858</v>
      </c>
      <c r="H169" s="59" t="s">
        <v>54</v>
      </c>
    </row>
    <row r="170" customFormat="false" ht="15" hidden="false" customHeight="true" outlineLevel="0" collapsed="false">
      <c r="A170" s="86"/>
      <c r="B170" s="86"/>
      <c r="C170" s="61" t="n">
        <f aca="false">IFERROR(INDEX(tbl_Projets[Titre complet du projet],MATCH(B170,tbl_Projets[ID Projet],0)),"")</f>
        <v>0</v>
      </c>
      <c r="D170" s="86"/>
      <c r="E170" s="86"/>
      <c r="F170" s="79"/>
      <c r="G170" s="79"/>
      <c r="H170" s="86"/>
    </row>
    <row r="171" customFormat="false" ht="15" hidden="false" customHeight="true" outlineLevel="0" collapsed="false">
      <c r="A171" s="86"/>
      <c r="B171" s="86"/>
      <c r="C171" s="61" t="n">
        <f aca="false">IFERROR(INDEX(tbl_Projets[Titre complet du projet],MATCH(B171,tbl_Projets[ID Projet],0)),"")</f>
        <v>0</v>
      </c>
      <c r="D171" s="86"/>
      <c r="E171" s="86"/>
      <c r="F171" s="79"/>
      <c r="G171" s="79"/>
      <c r="H171" s="86"/>
    </row>
    <row r="172" customFormat="false" ht="15" hidden="false" customHeight="true" outlineLevel="0" collapsed="false">
      <c r="A172" s="86"/>
      <c r="B172" s="86"/>
      <c r="C172" s="61" t="n">
        <f aca="false">IFERROR(INDEX(tbl_Projets[Titre complet du projet],MATCH(B172,tbl_Projets[ID Projet],0)),"")</f>
        <v>0</v>
      </c>
      <c r="D172" s="86"/>
      <c r="E172" s="86"/>
      <c r="F172" s="79"/>
      <c r="G172" s="79"/>
      <c r="H172" s="86"/>
    </row>
    <row r="173" customFormat="false" ht="15" hidden="false" customHeight="true" outlineLevel="0" collapsed="false">
      <c r="A173" s="86"/>
      <c r="B173" s="86"/>
      <c r="C173" s="61" t="n">
        <f aca="false">IFERROR(INDEX(tbl_Projets[Titre complet du projet],MATCH(B173,tbl_Projets[ID Projet],0)),"")</f>
        <v>0</v>
      </c>
      <c r="D173" s="86"/>
      <c r="E173" s="86"/>
      <c r="F173" s="79"/>
      <c r="G173" s="79"/>
      <c r="H173" s="86"/>
    </row>
    <row r="174" customFormat="false" ht="15" hidden="false" customHeight="true" outlineLevel="0" collapsed="false">
      <c r="A174" s="86"/>
      <c r="B174" s="86"/>
      <c r="C174" s="61" t="n">
        <f aca="false">IFERROR(INDEX(tbl_Projets[Titre complet du projet],MATCH(B174,tbl_Projets[ID Projet],0)),"")</f>
        <v>0</v>
      </c>
      <c r="D174" s="86"/>
      <c r="E174" s="86"/>
      <c r="F174" s="79"/>
      <c r="G174" s="79"/>
      <c r="H174" s="86"/>
    </row>
    <row r="175" customFormat="false" ht="15" hidden="false" customHeight="true" outlineLevel="0" collapsed="false">
      <c r="A175" s="86"/>
      <c r="B175" s="86"/>
      <c r="C175" s="61" t="n">
        <f aca="false">IFERROR(INDEX(tbl_Projets[Titre complet du projet],MATCH(B175,tbl_Projets[ID Projet],0)),"")</f>
        <v>0</v>
      </c>
      <c r="D175" s="86"/>
      <c r="E175" s="86"/>
      <c r="F175" s="79"/>
      <c r="G175" s="79"/>
      <c r="H175" s="86"/>
    </row>
    <row r="176" customFormat="false" ht="15" hidden="false" customHeight="true" outlineLevel="0" collapsed="false">
      <c r="A176" s="86"/>
      <c r="B176" s="86"/>
      <c r="C176" s="61" t="n">
        <f aca="false">IFERROR(INDEX(tbl_Projets[Titre complet du projet],MATCH(B176,tbl_Projets[ID Projet],0)),"")</f>
        <v>0</v>
      </c>
      <c r="D176" s="86"/>
      <c r="E176" s="86"/>
      <c r="F176" s="79"/>
      <c r="G176" s="79"/>
      <c r="H176" s="86"/>
    </row>
    <row r="177" customFormat="false" ht="15" hidden="false" customHeight="true" outlineLevel="0" collapsed="false">
      <c r="A177" s="86"/>
      <c r="B177" s="86"/>
      <c r="C177" s="61" t="n">
        <f aca="false">IFERROR(INDEX(tbl_Projets[Titre complet du projet],MATCH(B177,tbl_Projets[ID Projet],0)),"")</f>
        <v>0</v>
      </c>
      <c r="D177" s="86"/>
      <c r="E177" s="86"/>
      <c r="F177" s="79"/>
      <c r="G177" s="79"/>
      <c r="H177" s="86"/>
    </row>
    <row r="178" customFormat="false" ht="15" hidden="false" customHeight="true" outlineLevel="0" collapsed="false">
      <c r="A178" s="86"/>
      <c r="B178" s="86"/>
      <c r="C178" s="61" t="n">
        <f aca="false">IFERROR(INDEX(tbl_Projets[Titre complet du projet],MATCH(B178,tbl_Projets[ID Projet],0)),"")</f>
        <v>0</v>
      </c>
      <c r="D178" s="86"/>
      <c r="E178" s="86"/>
      <c r="F178" s="79"/>
      <c r="G178" s="79"/>
      <c r="H178" s="86"/>
    </row>
    <row r="179" customFormat="false" ht="15" hidden="false" customHeight="true" outlineLevel="0" collapsed="false">
      <c r="A179" s="86"/>
      <c r="B179" s="86"/>
      <c r="C179" s="61" t="n">
        <f aca="false">IFERROR(INDEX(tbl_Projets[Titre complet du projet],MATCH(B179,tbl_Projets[ID Projet],0)),"")</f>
        <v>0</v>
      </c>
      <c r="D179" s="86"/>
      <c r="E179" s="86"/>
      <c r="F179" s="79"/>
      <c r="G179" s="79"/>
      <c r="H179" s="86"/>
    </row>
    <row r="180" customFormat="false" ht="15" hidden="false" customHeight="true" outlineLevel="0" collapsed="false">
      <c r="A180" s="86"/>
      <c r="B180" s="86"/>
      <c r="C180" s="61" t="n">
        <f aca="false">IFERROR(INDEX(tbl_Projets[Titre complet du projet],MATCH(B180,tbl_Projets[ID Projet],0)),"")</f>
        <v>0</v>
      </c>
      <c r="D180" s="86"/>
      <c r="E180" s="86"/>
      <c r="F180" s="79"/>
      <c r="G180" s="79"/>
      <c r="H180" s="86"/>
    </row>
    <row r="181" customFormat="false" ht="15" hidden="false" customHeight="true" outlineLevel="0" collapsed="false">
      <c r="A181" s="86"/>
      <c r="B181" s="86"/>
      <c r="C181" s="61" t="n">
        <f aca="false">IFERROR(INDEX(tbl_Projets[Titre complet du projet],MATCH(B181,tbl_Projets[ID Projet],0)),"")</f>
        <v>0</v>
      </c>
      <c r="D181" s="86"/>
      <c r="E181" s="86"/>
      <c r="F181" s="79"/>
      <c r="G181" s="79"/>
      <c r="H181" s="86"/>
    </row>
    <row r="182" customFormat="false" ht="15" hidden="false" customHeight="true" outlineLevel="0" collapsed="false">
      <c r="A182" s="86"/>
      <c r="B182" s="86"/>
      <c r="C182" s="61" t="n">
        <f aca="false">IFERROR(INDEX(tbl_Projets[Titre complet du projet],MATCH(B182,tbl_Projets[ID Projet],0)),"")</f>
        <v>0</v>
      </c>
      <c r="D182" s="86"/>
      <c r="E182" s="86"/>
      <c r="F182" s="79"/>
      <c r="G182" s="79"/>
      <c r="H182" s="86"/>
    </row>
    <row r="183" customFormat="false" ht="15" hidden="false" customHeight="true" outlineLevel="0" collapsed="false">
      <c r="A183" s="86"/>
      <c r="B183" s="86"/>
      <c r="C183" s="61" t="n">
        <f aca="false">IFERROR(INDEX(tbl_Projets[Titre complet du projet],MATCH(B183,tbl_Projets[ID Projet],0)),"")</f>
        <v>0</v>
      </c>
      <c r="D183" s="86"/>
      <c r="E183" s="86"/>
      <c r="F183" s="79"/>
      <c r="G183" s="79"/>
      <c r="H183" s="86"/>
    </row>
    <row r="184" customFormat="false" ht="15" hidden="false" customHeight="true" outlineLevel="0" collapsed="false">
      <c r="A184" s="86"/>
      <c r="B184" s="86"/>
      <c r="C184" s="61" t="n">
        <f aca="false">IFERROR(INDEX(tbl_Projets[Titre complet du projet],MATCH(B184,tbl_Projets[ID Projet],0)),"")</f>
        <v>0</v>
      </c>
      <c r="D184" s="86"/>
      <c r="E184" s="86"/>
      <c r="F184" s="79"/>
      <c r="G184" s="79"/>
      <c r="H184" s="86"/>
    </row>
    <row r="185" customFormat="false" ht="15" hidden="false" customHeight="true" outlineLevel="0" collapsed="false">
      <c r="A185" s="86"/>
      <c r="B185" s="86"/>
      <c r="C185" s="61" t="n">
        <f aca="false">IFERROR(INDEX(tbl_Projets[Titre complet du projet],MATCH(B185,tbl_Projets[ID Projet],0)),"")</f>
        <v>0</v>
      </c>
      <c r="D185" s="86"/>
      <c r="E185" s="86"/>
      <c r="F185" s="79"/>
      <c r="G185" s="79"/>
      <c r="H185" s="86"/>
    </row>
    <row r="186" customFormat="false" ht="15" hidden="false" customHeight="true" outlineLevel="0" collapsed="false">
      <c r="A186" s="86"/>
      <c r="B186" s="86"/>
      <c r="C186" s="61" t="n">
        <f aca="false">IFERROR(INDEX(tbl_Projets[Titre complet du projet],MATCH(B186,tbl_Projets[ID Projet],0)),"")</f>
        <v>0</v>
      </c>
      <c r="D186" s="86"/>
      <c r="E186" s="86"/>
      <c r="F186" s="79"/>
      <c r="G186" s="79"/>
      <c r="H186" s="86"/>
    </row>
    <row r="187" customFormat="false" ht="15" hidden="false" customHeight="true" outlineLevel="0" collapsed="false">
      <c r="A187" s="86"/>
      <c r="B187" s="86"/>
      <c r="C187" s="61" t="n">
        <f aca="false">IFERROR(INDEX(tbl_Projets[Titre complet du projet],MATCH(B187,tbl_Projets[ID Projet],0)),"")</f>
        <v>0</v>
      </c>
      <c r="D187" s="86"/>
      <c r="E187" s="86"/>
      <c r="F187" s="79"/>
      <c r="G187" s="79"/>
      <c r="H187" s="86"/>
    </row>
    <row r="188" customFormat="false" ht="15" hidden="false" customHeight="true" outlineLevel="0" collapsed="false">
      <c r="A188" s="86"/>
      <c r="B188" s="86"/>
      <c r="C188" s="61" t="n">
        <f aca="false">IFERROR(INDEX(tbl_Projets[Titre complet du projet],MATCH(B188,tbl_Projets[ID Projet],0)),"")</f>
        <v>0</v>
      </c>
      <c r="D188" s="86"/>
      <c r="E188" s="86"/>
      <c r="F188" s="79"/>
      <c r="G188" s="79"/>
      <c r="H188" s="86"/>
    </row>
    <row r="189" customFormat="false" ht="15" hidden="false" customHeight="true" outlineLevel="0" collapsed="false">
      <c r="A189" s="86"/>
      <c r="B189" s="86"/>
      <c r="C189" s="61" t="n">
        <f aca="false">IFERROR(INDEX(tbl_Projets[Titre complet du projet],MATCH(B189,tbl_Projets[ID Projet],0)),"")</f>
        <v>0</v>
      </c>
      <c r="D189" s="86"/>
      <c r="E189" s="86"/>
      <c r="F189" s="79"/>
      <c r="G189" s="79"/>
      <c r="H189" s="86"/>
    </row>
    <row r="190" customFormat="false" ht="15" hidden="false" customHeight="true" outlineLevel="0" collapsed="false">
      <c r="A190" s="86"/>
      <c r="B190" s="86"/>
      <c r="C190" s="61" t="n">
        <f aca="false">IFERROR(INDEX(tbl_Projets[Titre complet du projet],MATCH(B190,tbl_Projets[ID Projet],0)),"")</f>
        <v>0</v>
      </c>
      <c r="D190" s="86"/>
      <c r="E190" s="86"/>
      <c r="F190" s="79"/>
      <c r="G190" s="79"/>
      <c r="H190" s="86"/>
    </row>
    <row r="191" customFormat="false" ht="15" hidden="false" customHeight="true" outlineLevel="0" collapsed="false">
      <c r="A191" s="86"/>
      <c r="B191" s="86"/>
      <c r="C191" s="61" t="n">
        <f aca="false">IFERROR(INDEX(tbl_Projets[Titre complet du projet],MATCH(B191,tbl_Projets[ID Projet],0)),"")</f>
        <v>0</v>
      </c>
      <c r="D191" s="86"/>
      <c r="E191" s="86"/>
      <c r="F191" s="79"/>
      <c r="G191" s="79"/>
      <c r="H191" s="86"/>
    </row>
    <row r="192" customFormat="false" ht="15" hidden="false" customHeight="true" outlineLevel="0" collapsed="false">
      <c r="A192" s="86"/>
      <c r="B192" s="86"/>
      <c r="C192" s="61" t="n">
        <f aca="false">IFERROR(INDEX(tbl_Projets[Titre complet du projet],MATCH(B192,tbl_Projets[ID Projet],0)),"")</f>
        <v>0</v>
      </c>
      <c r="D192" s="86"/>
      <c r="E192" s="86"/>
      <c r="F192" s="79"/>
      <c r="G192" s="79"/>
      <c r="H192" s="86"/>
    </row>
    <row r="193" customFormat="false" ht="15" hidden="false" customHeight="true" outlineLevel="0" collapsed="false">
      <c r="A193" s="86"/>
      <c r="B193" s="86"/>
      <c r="C193" s="61" t="n">
        <f aca="false">IFERROR(INDEX(tbl_Projets[Titre complet du projet],MATCH(B193,tbl_Projets[ID Projet],0)),"")</f>
        <v>0</v>
      </c>
      <c r="D193" s="86"/>
      <c r="E193" s="86"/>
      <c r="F193" s="79"/>
      <c r="G193" s="79"/>
      <c r="H193" s="86"/>
    </row>
    <row r="194" customFormat="false" ht="15" hidden="false" customHeight="true" outlineLevel="0" collapsed="false">
      <c r="A194" s="86"/>
      <c r="B194" s="86"/>
      <c r="C194" s="61" t="n">
        <f aca="false">IFERROR(INDEX(tbl_Projets[Titre complet du projet],MATCH(B194,tbl_Projets[ID Projet],0)),"")</f>
        <v>0</v>
      </c>
      <c r="D194" s="86"/>
      <c r="E194" s="86"/>
      <c r="F194" s="79"/>
      <c r="G194" s="79"/>
      <c r="H194" s="86"/>
    </row>
    <row r="195" customFormat="false" ht="15" hidden="false" customHeight="true" outlineLevel="0" collapsed="false">
      <c r="A195" s="86"/>
      <c r="B195" s="86"/>
      <c r="C195" s="61" t="n">
        <f aca="false">IFERROR(INDEX(tbl_Projets[Titre complet du projet],MATCH(B195,tbl_Projets[ID Projet],0)),"")</f>
        <v>0</v>
      </c>
      <c r="D195" s="86"/>
      <c r="E195" s="86"/>
      <c r="F195" s="79"/>
      <c r="G195" s="79"/>
      <c r="H195" s="86"/>
    </row>
    <row r="196" customFormat="false" ht="15" hidden="false" customHeight="true" outlineLevel="0" collapsed="false">
      <c r="A196" s="86"/>
      <c r="B196" s="86"/>
      <c r="C196" s="61" t="n">
        <f aca="false">IFERROR(INDEX(tbl_Projets[Titre complet du projet],MATCH(B196,tbl_Projets[ID Projet],0)),"")</f>
        <v>0</v>
      </c>
      <c r="D196" s="86"/>
      <c r="E196" s="86"/>
      <c r="F196" s="79"/>
      <c r="G196" s="79"/>
      <c r="H196" s="86"/>
    </row>
    <row r="197" customFormat="false" ht="15" hidden="false" customHeight="true" outlineLevel="0" collapsed="false">
      <c r="A197" s="86"/>
      <c r="B197" s="86"/>
      <c r="C197" s="61" t="n">
        <f aca="false">IFERROR(INDEX(tbl_Projets[Titre complet du projet],MATCH(B197,tbl_Projets[ID Projet],0)),"")</f>
        <v>0</v>
      </c>
      <c r="D197" s="86"/>
      <c r="E197" s="86"/>
      <c r="F197" s="79"/>
      <c r="G197" s="79"/>
      <c r="H197" s="86"/>
    </row>
    <row r="198" customFormat="false" ht="15" hidden="false" customHeight="true" outlineLevel="0" collapsed="false">
      <c r="A198" s="86"/>
      <c r="B198" s="86"/>
      <c r="C198" s="61" t="n">
        <f aca="false">IFERROR(INDEX(tbl_Projets[Titre complet du projet],MATCH(B198,tbl_Projets[ID Projet],0)),"")</f>
        <v>0</v>
      </c>
      <c r="D198" s="86"/>
      <c r="E198" s="86"/>
      <c r="F198" s="79"/>
      <c r="G198" s="79"/>
      <c r="H198" s="86"/>
    </row>
    <row r="199" customFormat="false" ht="15" hidden="false" customHeight="true" outlineLevel="0" collapsed="false">
      <c r="A199" s="86"/>
      <c r="B199" s="86"/>
      <c r="C199" s="61" t="n">
        <f aca="false">IFERROR(INDEX(tbl_Projets[Titre complet du projet],MATCH(B199,tbl_Projets[ID Projet],0)),"")</f>
        <v>0</v>
      </c>
      <c r="D199" s="86"/>
      <c r="E199" s="86"/>
      <c r="F199" s="79"/>
      <c r="G199" s="79"/>
      <c r="H199" s="86"/>
    </row>
    <row r="202" customFormat="false" ht="19.5" hidden="false" customHeight="true" outlineLevel="0" collapsed="false">
      <c r="A202" s="55" t="s">
        <v>1859</v>
      </c>
      <c r="B202" s="55"/>
      <c r="C202" s="55"/>
      <c r="D202" s="55"/>
      <c r="E202" s="55"/>
      <c r="F202" s="55"/>
      <c r="G202" s="55"/>
      <c r="H202" s="55"/>
    </row>
    <row r="203" customFormat="false" ht="25.5" hidden="false" customHeight="true" outlineLevel="0" collapsed="false">
      <c r="A203" s="59" t="s">
        <v>1797</v>
      </c>
      <c r="B203" s="59" t="s">
        <v>1356</v>
      </c>
      <c r="C203" s="59" t="s">
        <v>1860</v>
      </c>
      <c r="D203" s="59" t="s">
        <v>1861</v>
      </c>
      <c r="E203" s="59" t="s">
        <v>1857</v>
      </c>
      <c r="F203" s="59" t="s">
        <v>1858</v>
      </c>
      <c r="G203" s="59" t="s">
        <v>54</v>
      </c>
      <c r="H203" s="59" t="s">
        <v>1862</v>
      </c>
    </row>
    <row r="204" customFormat="false" ht="15" hidden="false" customHeight="true" outlineLevel="0" collapsed="false">
      <c r="A204" s="86"/>
      <c r="B204" s="86"/>
      <c r="C204" s="86"/>
      <c r="D204" s="79"/>
      <c r="E204" s="79"/>
      <c r="F204" s="79"/>
      <c r="G204" s="86"/>
      <c r="H204" s="61" t="str">
        <f aca="true">IF(F204="","",F204-TODAY())</f>
        <v/>
      </c>
    </row>
    <row r="205" customFormat="false" ht="15" hidden="false" customHeight="true" outlineLevel="0" collapsed="false">
      <c r="A205" s="86"/>
      <c r="B205" s="86"/>
      <c r="C205" s="86"/>
      <c r="D205" s="79"/>
      <c r="E205" s="79"/>
      <c r="F205" s="79"/>
      <c r="G205" s="86"/>
      <c r="H205" s="61" t="str">
        <f aca="true">IF(F205="","",F205-TODAY())</f>
        <v/>
      </c>
    </row>
    <row r="206" customFormat="false" ht="15" hidden="false" customHeight="true" outlineLevel="0" collapsed="false">
      <c r="A206" s="86"/>
      <c r="B206" s="86"/>
      <c r="C206" s="86"/>
      <c r="D206" s="79"/>
      <c r="E206" s="79"/>
      <c r="F206" s="79"/>
      <c r="G206" s="86"/>
      <c r="H206" s="61" t="str">
        <f aca="true">IF(F206="","",F206-TODAY())</f>
        <v/>
      </c>
    </row>
    <row r="207" customFormat="false" ht="15" hidden="false" customHeight="true" outlineLevel="0" collapsed="false">
      <c r="A207" s="86"/>
      <c r="B207" s="86"/>
      <c r="C207" s="86"/>
      <c r="D207" s="79"/>
      <c r="E207" s="79"/>
      <c r="F207" s="79"/>
      <c r="G207" s="86"/>
      <c r="H207" s="61" t="str">
        <f aca="true">IF(F207="","",F207-TODAY())</f>
        <v/>
      </c>
    </row>
    <row r="208" customFormat="false" ht="15" hidden="false" customHeight="true" outlineLevel="0" collapsed="false">
      <c r="A208" s="86"/>
      <c r="B208" s="86"/>
      <c r="C208" s="86"/>
      <c r="D208" s="79"/>
      <c r="E208" s="79"/>
      <c r="F208" s="79"/>
      <c r="G208" s="86"/>
      <c r="H208" s="61" t="str">
        <f aca="true">IF(F208="","",F208-TODAY())</f>
        <v/>
      </c>
    </row>
    <row r="209" customFormat="false" ht="15" hidden="false" customHeight="true" outlineLevel="0" collapsed="false">
      <c r="A209" s="86"/>
      <c r="B209" s="86"/>
      <c r="C209" s="86"/>
      <c r="D209" s="79"/>
      <c r="E209" s="79"/>
      <c r="F209" s="79"/>
      <c r="G209" s="86"/>
      <c r="H209" s="61" t="str">
        <f aca="true">IF(F209="","",F209-TODAY())</f>
        <v/>
      </c>
    </row>
    <row r="210" customFormat="false" ht="15" hidden="false" customHeight="true" outlineLevel="0" collapsed="false">
      <c r="A210" s="86"/>
      <c r="B210" s="86"/>
      <c r="C210" s="86"/>
      <c r="D210" s="79"/>
      <c r="E210" s="79"/>
      <c r="F210" s="79"/>
      <c r="G210" s="86"/>
      <c r="H210" s="61" t="str">
        <f aca="true">IF(F210="","",F210-TODAY())</f>
        <v/>
      </c>
    </row>
    <row r="211" customFormat="false" ht="15" hidden="false" customHeight="true" outlineLevel="0" collapsed="false">
      <c r="A211" s="86"/>
      <c r="B211" s="86"/>
      <c r="C211" s="86"/>
      <c r="D211" s="79"/>
      <c r="E211" s="79"/>
      <c r="F211" s="79"/>
      <c r="G211" s="86"/>
      <c r="H211" s="61" t="str">
        <f aca="true">IF(F211="","",F211-TODAY())</f>
        <v/>
      </c>
    </row>
    <row r="212" customFormat="false" ht="15" hidden="false" customHeight="true" outlineLevel="0" collapsed="false">
      <c r="A212" s="86"/>
      <c r="B212" s="86"/>
      <c r="C212" s="86"/>
      <c r="D212" s="79"/>
      <c r="E212" s="79"/>
      <c r="F212" s="79"/>
      <c r="G212" s="86"/>
      <c r="H212" s="61" t="str">
        <f aca="true">IF(F212="","",F212-TODAY())</f>
        <v/>
      </c>
    </row>
    <row r="213" customFormat="false" ht="15" hidden="false" customHeight="true" outlineLevel="0" collapsed="false">
      <c r="A213" s="86"/>
      <c r="B213" s="86"/>
      <c r="C213" s="86"/>
      <c r="D213" s="79"/>
      <c r="E213" s="79"/>
      <c r="F213" s="79"/>
      <c r="G213" s="86"/>
      <c r="H213" s="61" t="str">
        <f aca="true">IF(F213="","",F213-TODAY())</f>
        <v/>
      </c>
    </row>
    <row r="214" customFormat="false" ht="15" hidden="false" customHeight="true" outlineLevel="0" collapsed="false">
      <c r="A214" s="86"/>
      <c r="B214" s="86"/>
      <c r="C214" s="86"/>
      <c r="D214" s="79"/>
      <c r="E214" s="79"/>
      <c r="F214" s="79"/>
      <c r="G214" s="86"/>
      <c r="H214" s="61" t="str">
        <f aca="true">IF(F214="","",F214-TODAY())</f>
        <v/>
      </c>
    </row>
    <row r="215" customFormat="false" ht="15" hidden="false" customHeight="true" outlineLevel="0" collapsed="false">
      <c r="A215" s="86"/>
      <c r="B215" s="86"/>
      <c r="C215" s="86"/>
      <c r="D215" s="79"/>
      <c r="E215" s="79"/>
      <c r="F215" s="79"/>
      <c r="G215" s="86"/>
      <c r="H215" s="61" t="str">
        <f aca="true">IF(F215="","",F215-TODAY())</f>
        <v/>
      </c>
    </row>
    <row r="216" customFormat="false" ht="15" hidden="false" customHeight="true" outlineLevel="0" collapsed="false">
      <c r="A216" s="86"/>
      <c r="B216" s="86"/>
      <c r="C216" s="86"/>
      <c r="D216" s="79"/>
      <c r="E216" s="79"/>
      <c r="F216" s="79"/>
      <c r="G216" s="86"/>
      <c r="H216" s="61" t="str">
        <f aca="true">IF(F216="","",F216-TODAY())</f>
        <v/>
      </c>
    </row>
    <row r="217" customFormat="false" ht="15" hidden="false" customHeight="true" outlineLevel="0" collapsed="false">
      <c r="A217" s="86"/>
      <c r="B217" s="86"/>
      <c r="C217" s="86"/>
      <c r="D217" s="79"/>
      <c r="E217" s="79"/>
      <c r="F217" s="79"/>
      <c r="G217" s="86"/>
      <c r="H217" s="61" t="str">
        <f aca="true">IF(F217="","",F217-TODAY())</f>
        <v/>
      </c>
    </row>
    <row r="218" customFormat="false" ht="15" hidden="false" customHeight="true" outlineLevel="0" collapsed="false">
      <c r="A218" s="86"/>
      <c r="B218" s="86"/>
      <c r="C218" s="86"/>
      <c r="D218" s="79"/>
      <c r="E218" s="79"/>
      <c r="F218" s="79"/>
      <c r="G218" s="86"/>
      <c r="H218" s="61" t="str">
        <f aca="true">IF(F218="","",F218-TODAY())</f>
        <v/>
      </c>
    </row>
    <row r="219" customFormat="false" ht="15" hidden="false" customHeight="true" outlineLevel="0" collapsed="false">
      <c r="A219" s="86"/>
      <c r="B219" s="86"/>
      <c r="C219" s="86"/>
      <c r="D219" s="79"/>
      <c r="E219" s="79"/>
      <c r="F219" s="79"/>
      <c r="G219" s="86"/>
      <c r="H219" s="61" t="str">
        <f aca="true">IF(F219="","",F219-TODAY())</f>
        <v/>
      </c>
    </row>
    <row r="220" customFormat="false" ht="15" hidden="false" customHeight="true" outlineLevel="0" collapsed="false">
      <c r="A220" s="86"/>
      <c r="B220" s="86"/>
      <c r="C220" s="86"/>
      <c r="D220" s="79"/>
      <c r="E220" s="79"/>
      <c r="F220" s="79"/>
      <c r="G220" s="86"/>
      <c r="H220" s="61" t="str">
        <f aca="true">IF(F220="","",F220-TODAY())</f>
        <v/>
      </c>
    </row>
    <row r="221" customFormat="false" ht="15" hidden="false" customHeight="true" outlineLevel="0" collapsed="false">
      <c r="A221" s="86"/>
      <c r="B221" s="86"/>
      <c r="C221" s="86"/>
      <c r="D221" s="79"/>
      <c r="E221" s="79"/>
      <c r="F221" s="79"/>
      <c r="G221" s="86"/>
      <c r="H221" s="61" t="str">
        <f aca="true">IF(F221="","",F221-TODAY())</f>
        <v/>
      </c>
    </row>
    <row r="222" customFormat="false" ht="15" hidden="false" customHeight="true" outlineLevel="0" collapsed="false">
      <c r="A222" s="86"/>
      <c r="B222" s="86"/>
      <c r="C222" s="86"/>
      <c r="D222" s="79"/>
      <c r="E222" s="79"/>
      <c r="F222" s="79"/>
      <c r="G222" s="86"/>
      <c r="H222" s="61" t="str">
        <f aca="true">IF(F222="","",F222-TODAY())</f>
        <v/>
      </c>
    </row>
    <row r="223" customFormat="false" ht="15" hidden="false" customHeight="true" outlineLevel="0" collapsed="false">
      <c r="A223" s="86"/>
      <c r="B223" s="86"/>
      <c r="C223" s="86"/>
      <c r="D223" s="79"/>
      <c r="E223" s="79"/>
      <c r="F223" s="79"/>
      <c r="G223" s="86"/>
      <c r="H223" s="61" t="str">
        <f aca="true">IF(F223="","",F223-TODAY())</f>
        <v/>
      </c>
    </row>
    <row r="224" customFormat="false" ht="15" hidden="false" customHeight="true" outlineLevel="0" collapsed="false">
      <c r="A224" s="86"/>
      <c r="B224" s="86"/>
      <c r="C224" s="86"/>
      <c r="D224" s="79"/>
      <c r="E224" s="79"/>
      <c r="F224" s="79"/>
      <c r="G224" s="86"/>
      <c r="H224" s="61" t="str">
        <f aca="true">IF(F224="","",F224-TODAY())</f>
        <v/>
      </c>
    </row>
    <row r="225" customFormat="false" ht="15" hidden="false" customHeight="true" outlineLevel="0" collapsed="false">
      <c r="A225" s="86"/>
      <c r="B225" s="86"/>
      <c r="C225" s="86"/>
      <c r="D225" s="79"/>
      <c r="E225" s="79"/>
      <c r="F225" s="79"/>
      <c r="G225" s="86"/>
      <c r="H225" s="61" t="str">
        <f aca="true">IF(F225="","",F225-TODAY())</f>
        <v/>
      </c>
    </row>
    <row r="226" customFormat="false" ht="15" hidden="false" customHeight="true" outlineLevel="0" collapsed="false">
      <c r="A226" s="86"/>
      <c r="B226" s="86"/>
      <c r="C226" s="86"/>
      <c r="D226" s="79"/>
      <c r="E226" s="79"/>
      <c r="F226" s="79"/>
      <c r="G226" s="86"/>
      <c r="H226" s="61" t="str">
        <f aca="true">IF(F226="","",F226-TODAY())</f>
        <v/>
      </c>
    </row>
    <row r="227" customFormat="false" ht="15" hidden="false" customHeight="true" outlineLevel="0" collapsed="false">
      <c r="A227" s="86"/>
      <c r="B227" s="86"/>
      <c r="C227" s="86"/>
      <c r="D227" s="79"/>
      <c r="E227" s="79"/>
      <c r="F227" s="79"/>
      <c r="G227" s="86"/>
      <c r="H227" s="61" t="str">
        <f aca="true">IF(F227="","",F227-TODAY())</f>
        <v/>
      </c>
    </row>
    <row r="228" customFormat="false" ht="15" hidden="false" customHeight="true" outlineLevel="0" collapsed="false">
      <c r="A228" s="86"/>
      <c r="B228" s="86"/>
      <c r="C228" s="86"/>
      <c r="D228" s="79"/>
      <c r="E228" s="79"/>
      <c r="F228" s="79"/>
      <c r="G228" s="86"/>
      <c r="H228" s="61" t="str">
        <f aca="true">IF(F228="","",F228-TODAY())</f>
        <v/>
      </c>
    </row>
    <row r="229" customFormat="false" ht="15" hidden="false" customHeight="true" outlineLevel="0" collapsed="false">
      <c r="A229" s="86"/>
      <c r="B229" s="86"/>
      <c r="C229" s="86"/>
      <c r="D229" s="79"/>
      <c r="E229" s="79"/>
      <c r="F229" s="79"/>
      <c r="G229" s="86"/>
      <c r="H229" s="61" t="str">
        <f aca="true">IF(F229="","",F229-TODAY())</f>
        <v/>
      </c>
    </row>
    <row r="230" customFormat="false" ht="15" hidden="false" customHeight="true" outlineLevel="0" collapsed="false">
      <c r="A230" s="86"/>
      <c r="B230" s="86"/>
      <c r="C230" s="86"/>
      <c r="D230" s="79"/>
      <c r="E230" s="79"/>
      <c r="F230" s="79"/>
      <c r="G230" s="86"/>
      <c r="H230" s="61" t="str">
        <f aca="true">IF(F230="","",F230-TODAY())</f>
        <v/>
      </c>
    </row>
    <row r="231" customFormat="false" ht="15" hidden="false" customHeight="true" outlineLevel="0" collapsed="false">
      <c r="A231" s="86"/>
      <c r="B231" s="86"/>
      <c r="C231" s="86"/>
      <c r="D231" s="79"/>
      <c r="E231" s="79"/>
      <c r="F231" s="79"/>
      <c r="G231" s="86"/>
      <c r="H231" s="61" t="str">
        <f aca="true">IF(F231="","",F231-TODAY())</f>
        <v/>
      </c>
    </row>
    <row r="232" customFormat="false" ht="15" hidden="false" customHeight="true" outlineLevel="0" collapsed="false">
      <c r="A232" s="86"/>
      <c r="B232" s="86"/>
      <c r="C232" s="86"/>
      <c r="D232" s="79"/>
      <c r="E232" s="79"/>
      <c r="F232" s="79"/>
      <c r="G232" s="86"/>
      <c r="H232" s="61" t="str">
        <f aca="true">IF(F232="","",F232-TODAY())</f>
        <v/>
      </c>
    </row>
    <row r="233" customFormat="false" ht="15" hidden="false" customHeight="true" outlineLevel="0" collapsed="false">
      <c r="A233" s="86"/>
      <c r="B233" s="86"/>
      <c r="C233" s="86"/>
      <c r="D233" s="79"/>
      <c r="E233" s="79"/>
      <c r="F233" s="79"/>
      <c r="G233" s="86"/>
      <c r="H233" s="61" t="str">
        <f aca="true">IF(F233="","",F233-TODAY())</f>
        <v/>
      </c>
    </row>
    <row r="236" customFormat="false" ht="19.5" hidden="false" customHeight="true" outlineLevel="0" collapsed="false">
      <c r="A236" s="55" t="s">
        <v>1863</v>
      </c>
      <c r="B236" s="55"/>
      <c r="C236" s="55"/>
      <c r="D236" s="55"/>
      <c r="E236" s="55"/>
      <c r="F236" s="55"/>
    </row>
    <row r="237" customFormat="false" ht="25.5" hidden="false" customHeight="true" outlineLevel="0" collapsed="false">
      <c r="A237" s="59" t="s">
        <v>1797</v>
      </c>
      <c r="B237" s="59" t="s">
        <v>1356</v>
      </c>
      <c r="C237" s="59" t="s">
        <v>1525</v>
      </c>
      <c r="D237" s="59" t="s">
        <v>1357</v>
      </c>
      <c r="E237" s="59" t="s">
        <v>54</v>
      </c>
      <c r="F237" s="59" t="s">
        <v>1864</v>
      </c>
    </row>
    <row r="238" customFormat="false" ht="15" hidden="false" customHeight="true" outlineLevel="0" collapsed="false">
      <c r="A238" s="86"/>
      <c r="B238" s="86"/>
      <c r="C238" s="86"/>
      <c r="D238" s="79"/>
      <c r="E238" s="86"/>
      <c r="F238" s="86"/>
    </row>
    <row r="239" customFormat="false" ht="15" hidden="false" customHeight="true" outlineLevel="0" collapsed="false">
      <c r="A239" s="86"/>
      <c r="B239" s="86"/>
      <c r="C239" s="86"/>
      <c r="D239" s="79"/>
      <c r="E239" s="86"/>
      <c r="F239" s="86"/>
    </row>
    <row r="240" customFormat="false" ht="15" hidden="false" customHeight="true" outlineLevel="0" collapsed="false">
      <c r="A240" s="86"/>
      <c r="B240" s="86"/>
      <c r="C240" s="86"/>
      <c r="D240" s="79"/>
      <c r="E240" s="86"/>
      <c r="F240" s="86"/>
    </row>
    <row r="241" customFormat="false" ht="15" hidden="false" customHeight="true" outlineLevel="0" collapsed="false">
      <c r="A241" s="86"/>
      <c r="B241" s="86"/>
      <c r="C241" s="86"/>
      <c r="D241" s="79"/>
      <c r="E241" s="86"/>
      <c r="F241" s="86"/>
    </row>
    <row r="242" customFormat="false" ht="15" hidden="false" customHeight="true" outlineLevel="0" collapsed="false">
      <c r="A242" s="86"/>
      <c r="B242" s="86"/>
      <c r="C242" s="86"/>
      <c r="D242" s="79"/>
      <c r="E242" s="86"/>
      <c r="F242" s="86"/>
    </row>
    <row r="243" customFormat="false" ht="15" hidden="false" customHeight="true" outlineLevel="0" collapsed="false">
      <c r="A243" s="86"/>
      <c r="B243" s="86"/>
      <c r="C243" s="86"/>
      <c r="D243" s="79"/>
      <c r="E243" s="86"/>
      <c r="F243" s="86"/>
    </row>
    <row r="244" customFormat="false" ht="15" hidden="false" customHeight="true" outlineLevel="0" collapsed="false">
      <c r="A244" s="86"/>
      <c r="B244" s="86"/>
      <c r="C244" s="86"/>
      <c r="D244" s="79"/>
      <c r="E244" s="86"/>
      <c r="F244" s="86"/>
    </row>
    <row r="245" customFormat="false" ht="15" hidden="false" customHeight="true" outlineLevel="0" collapsed="false">
      <c r="A245" s="86"/>
      <c r="B245" s="86"/>
      <c r="C245" s="86"/>
      <c r="D245" s="79"/>
      <c r="E245" s="86"/>
      <c r="F245" s="86"/>
    </row>
    <row r="246" customFormat="false" ht="15" hidden="false" customHeight="true" outlineLevel="0" collapsed="false">
      <c r="A246" s="86"/>
      <c r="B246" s="86"/>
      <c r="C246" s="86"/>
      <c r="D246" s="79"/>
      <c r="E246" s="86"/>
      <c r="F246" s="86"/>
    </row>
    <row r="247" customFormat="false" ht="15" hidden="false" customHeight="true" outlineLevel="0" collapsed="false">
      <c r="A247" s="86"/>
      <c r="B247" s="86"/>
      <c r="C247" s="86"/>
      <c r="D247" s="79"/>
      <c r="E247" s="86"/>
      <c r="F247" s="86"/>
    </row>
    <row r="248" customFormat="false" ht="15" hidden="false" customHeight="true" outlineLevel="0" collapsed="false">
      <c r="A248" s="86"/>
      <c r="B248" s="86"/>
      <c r="C248" s="86"/>
      <c r="D248" s="79"/>
      <c r="E248" s="86"/>
      <c r="F248" s="86"/>
    </row>
    <row r="249" customFormat="false" ht="15" hidden="false" customHeight="true" outlineLevel="0" collapsed="false">
      <c r="A249" s="86"/>
      <c r="B249" s="86"/>
      <c r="C249" s="86"/>
      <c r="D249" s="79"/>
      <c r="E249" s="86"/>
      <c r="F249" s="86"/>
    </row>
    <row r="250" customFormat="false" ht="15" hidden="false" customHeight="true" outlineLevel="0" collapsed="false">
      <c r="A250" s="86"/>
      <c r="B250" s="86"/>
      <c r="C250" s="86"/>
      <c r="D250" s="79"/>
      <c r="E250" s="86"/>
      <c r="F250" s="86"/>
    </row>
    <row r="251" customFormat="false" ht="15" hidden="false" customHeight="true" outlineLevel="0" collapsed="false">
      <c r="A251" s="86"/>
      <c r="B251" s="86"/>
      <c r="C251" s="86"/>
      <c r="D251" s="79"/>
      <c r="E251" s="86"/>
      <c r="F251" s="86"/>
    </row>
    <row r="252" customFormat="false" ht="15" hidden="false" customHeight="true" outlineLevel="0" collapsed="false">
      <c r="A252" s="86"/>
      <c r="B252" s="86"/>
      <c r="C252" s="86"/>
      <c r="D252" s="79"/>
      <c r="E252" s="86"/>
      <c r="F252" s="86"/>
    </row>
    <row r="253" customFormat="false" ht="15" hidden="false" customHeight="true" outlineLevel="0" collapsed="false">
      <c r="A253" s="86"/>
      <c r="B253" s="86"/>
      <c r="C253" s="86"/>
      <c r="D253" s="79"/>
      <c r="E253" s="86"/>
      <c r="F253" s="86"/>
    </row>
    <row r="254" customFormat="false" ht="15" hidden="false" customHeight="true" outlineLevel="0" collapsed="false">
      <c r="A254" s="86"/>
      <c r="B254" s="86"/>
      <c r="C254" s="86"/>
      <c r="D254" s="79"/>
      <c r="E254" s="86"/>
      <c r="F254" s="86"/>
    </row>
    <row r="255" customFormat="false" ht="15" hidden="false" customHeight="true" outlineLevel="0" collapsed="false">
      <c r="A255" s="86"/>
      <c r="B255" s="86"/>
      <c r="C255" s="86"/>
      <c r="D255" s="79"/>
      <c r="E255" s="86"/>
      <c r="F255" s="86"/>
    </row>
    <row r="256" customFormat="false" ht="15" hidden="false" customHeight="true" outlineLevel="0" collapsed="false">
      <c r="A256" s="86"/>
      <c r="B256" s="86"/>
      <c r="C256" s="86"/>
      <c r="D256" s="79"/>
      <c r="E256" s="86"/>
      <c r="F256" s="86"/>
    </row>
    <row r="257" customFormat="false" ht="15" hidden="false" customHeight="true" outlineLevel="0" collapsed="false">
      <c r="A257" s="86"/>
      <c r="B257" s="86"/>
      <c r="C257" s="86"/>
      <c r="D257" s="79"/>
      <c r="E257" s="86"/>
      <c r="F257" s="86"/>
    </row>
    <row r="258" customFormat="false" ht="15" hidden="false" customHeight="true" outlineLevel="0" collapsed="false">
      <c r="A258" s="86"/>
      <c r="B258" s="86"/>
      <c r="C258" s="86"/>
      <c r="D258" s="79"/>
      <c r="E258" s="86"/>
      <c r="F258" s="86"/>
    </row>
    <row r="259" customFormat="false" ht="15" hidden="false" customHeight="true" outlineLevel="0" collapsed="false">
      <c r="A259" s="86"/>
      <c r="B259" s="86"/>
      <c r="C259" s="86"/>
      <c r="D259" s="79"/>
      <c r="E259" s="86"/>
      <c r="F259" s="86"/>
    </row>
    <row r="260" customFormat="false" ht="15" hidden="false" customHeight="true" outlineLevel="0" collapsed="false">
      <c r="A260" s="86"/>
      <c r="B260" s="86"/>
      <c r="C260" s="86"/>
      <c r="D260" s="79"/>
      <c r="E260" s="86"/>
      <c r="F260" s="86"/>
    </row>
    <row r="261" customFormat="false" ht="15" hidden="false" customHeight="true" outlineLevel="0" collapsed="false">
      <c r="A261" s="86"/>
      <c r="B261" s="86"/>
      <c r="C261" s="86"/>
      <c r="D261" s="79"/>
      <c r="E261" s="86"/>
      <c r="F261" s="86"/>
    </row>
    <row r="262" customFormat="false" ht="15" hidden="false" customHeight="true" outlineLevel="0" collapsed="false">
      <c r="A262" s="86"/>
      <c r="B262" s="86"/>
      <c r="C262" s="86"/>
      <c r="D262" s="79"/>
      <c r="E262" s="86"/>
      <c r="F262" s="86"/>
    </row>
    <row r="263" customFormat="false" ht="15" hidden="false" customHeight="true" outlineLevel="0" collapsed="false">
      <c r="A263" s="86"/>
      <c r="B263" s="86"/>
      <c r="C263" s="86"/>
      <c r="D263" s="79"/>
      <c r="E263" s="86"/>
      <c r="F263" s="86"/>
    </row>
    <row r="264" customFormat="false" ht="15" hidden="false" customHeight="true" outlineLevel="0" collapsed="false">
      <c r="A264" s="86"/>
      <c r="B264" s="86"/>
      <c r="C264" s="86"/>
      <c r="D264" s="79"/>
      <c r="E264" s="86"/>
      <c r="F264" s="86"/>
    </row>
    <row r="265" customFormat="false" ht="15" hidden="false" customHeight="true" outlineLevel="0" collapsed="false">
      <c r="A265" s="86"/>
      <c r="B265" s="86"/>
      <c r="C265" s="86"/>
      <c r="D265" s="79"/>
      <c r="E265" s="86"/>
      <c r="F265" s="86"/>
    </row>
    <row r="266" customFormat="false" ht="15" hidden="false" customHeight="true" outlineLevel="0" collapsed="false">
      <c r="A266" s="86"/>
      <c r="B266" s="86"/>
      <c r="C266" s="86"/>
      <c r="D266" s="79"/>
      <c r="E266" s="86"/>
      <c r="F266" s="86"/>
    </row>
    <row r="267" customFormat="false" ht="15" hidden="false" customHeight="true" outlineLevel="0" collapsed="false">
      <c r="A267" s="86"/>
      <c r="B267" s="86"/>
      <c r="C267" s="86"/>
      <c r="D267" s="79"/>
      <c r="E267" s="86"/>
      <c r="F267" s="86"/>
    </row>
    <row r="270" customFormat="false" ht="19.5" hidden="false" customHeight="true" outlineLevel="0" collapsed="false">
      <c r="A270" s="55" t="s">
        <v>1865</v>
      </c>
      <c r="B270" s="55"/>
      <c r="C270" s="55"/>
      <c r="D270" s="55"/>
      <c r="E270" s="55"/>
      <c r="F270" s="55"/>
      <c r="G270" s="55"/>
    </row>
    <row r="271" customFormat="false" ht="25.5" hidden="false" customHeight="true" outlineLevel="0" collapsed="false">
      <c r="A271" s="59" t="s">
        <v>1797</v>
      </c>
      <c r="B271" s="59" t="s">
        <v>1357</v>
      </c>
      <c r="C271" s="59" t="s">
        <v>1866</v>
      </c>
      <c r="D271" s="59" t="s">
        <v>1867</v>
      </c>
      <c r="E271" s="59" t="s">
        <v>1548</v>
      </c>
      <c r="F271" s="59" t="s">
        <v>1335</v>
      </c>
      <c r="G271" s="59" t="s">
        <v>1432</v>
      </c>
    </row>
    <row r="272" customFormat="false" ht="15" hidden="false" customHeight="true" outlineLevel="0" collapsed="false">
      <c r="A272" s="86"/>
      <c r="B272" s="79"/>
      <c r="C272" s="86"/>
      <c r="D272" s="86"/>
      <c r="E272" s="86"/>
      <c r="F272" s="86"/>
      <c r="G272" s="86"/>
    </row>
    <row r="273" customFormat="false" ht="15" hidden="false" customHeight="true" outlineLevel="0" collapsed="false">
      <c r="A273" s="86"/>
      <c r="B273" s="79"/>
      <c r="C273" s="86"/>
      <c r="D273" s="86"/>
      <c r="E273" s="86"/>
      <c r="F273" s="86"/>
      <c r="G273" s="86"/>
    </row>
    <row r="274" customFormat="false" ht="15" hidden="false" customHeight="true" outlineLevel="0" collapsed="false">
      <c r="A274" s="86"/>
      <c r="B274" s="79"/>
      <c r="C274" s="86"/>
      <c r="D274" s="86"/>
      <c r="E274" s="86"/>
      <c r="F274" s="86"/>
      <c r="G274" s="86"/>
    </row>
    <row r="275" customFormat="false" ht="15" hidden="false" customHeight="true" outlineLevel="0" collapsed="false">
      <c r="A275" s="86"/>
      <c r="B275" s="79"/>
      <c r="C275" s="86"/>
      <c r="D275" s="86"/>
      <c r="E275" s="86"/>
      <c r="F275" s="86"/>
      <c r="G275" s="86"/>
    </row>
    <row r="276" customFormat="false" ht="15" hidden="false" customHeight="true" outlineLevel="0" collapsed="false">
      <c r="A276" s="86"/>
      <c r="B276" s="79"/>
      <c r="C276" s="86"/>
      <c r="D276" s="86"/>
      <c r="E276" s="86"/>
      <c r="F276" s="86"/>
      <c r="G276" s="86"/>
    </row>
    <row r="277" customFormat="false" ht="15" hidden="false" customHeight="true" outlineLevel="0" collapsed="false">
      <c r="A277" s="86"/>
      <c r="B277" s="79"/>
      <c r="C277" s="86"/>
      <c r="D277" s="86"/>
      <c r="E277" s="86"/>
      <c r="F277" s="86"/>
      <c r="G277" s="86"/>
    </row>
    <row r="278" customFormat="false" ht="15" hidden="false" customHeight="true" outlineLevel="0" collapsed="false">
      <c r="A278" s="86"/>
      <c r="B278" s="79"/>
      <c r="C278" s="86"/>
      <c r="D278" s="86"/>
      <c r="E278" s="86"/>
      <c r="F278" s="86"/>
      <c r="G278" s="86"/>
    </row>
    <row r="279" customFormat="false" ht="15" hidden="false" customHeight="true" outlineLevel="0" collapsed="false">
      <c r="A279" s="86"/>
      <c r="B279" s="79"/>
      <c r="C279" s="86"/>
      <c r="D279" s="86"/>
      <c r="E279" s="86"/>
      <c r="F279" s="86"/>
      <c r="G279" s="86"/>
    </row>
    <row r="280" customFormat="false" ht="15" hidden="false" customHeight="true" outlineLevel="0" collapsed="false">
      <c r="A280" s="86"/>
      <c r="B280" s="79"/>
      <c r="C280" s="86"/>
      <c r="D280" s="86"/>
      <c r="E280" s="86"/>
      <c r="F280" s="86"/>
      <c r="G280" s="86"/>
    </row>
    <row r="281" customFormat="false" ht="15" hidden="false" customHeight="true" outlineLevel="0" collapsed="false">
      <c r="A281" s="86"/>
      <c r="B281" s="79"/>
      <c r="C281" s="86"/>
      <c r="D281" s="86"/>
      <c r="E281" s="86"/>
      <c r="F281" s="86"/>
      <c r="G281" s="86"/>
    </row>
    <row r="282" customFormat="false" ht="15" hidden="false" customHeight="true" outlineLevel="0" collapsed="false">
      <c r="A282" s="86"/>
      <c r="B282" s="79"/>
      <c r="C282" s="86"/>
      <c r="D282" s="86"/>
      <c r="E282" s="86"/>
      <c r="F282" s="86"/>
      <c r="G282" s="86"/>
    </row>
    <row r="283" customFormat="false" ht="15" hidden="false" customHeight="true" outlineLevel="0" collapsed="false">
      <c r="A283" s="86"/>
      <c r="B283" s="79"/>
      <c r="C283" s="86"/>
      <c r="D283" s="86"/>
      <c r="E283" s="86"/>
      <c r="F283" s="86"/>
      <c r="G283" s="86"/>
    </row>
    <row r="284" customFormat="false" ht="15" hidden="false" customHeight="true" outlineLevel="0" collapsed="false">
      <c r="A284" s="86"/>
      <c r="B284" s="79"/>
      <c r="C284" s="86"/>
      <c r="D284" s="86"/>
      <c r="E284" s="86"/>
      <c r="F284" s="86"/>
      <c r="G284" s="86"/>
    </row>
    <row r="285" customFormat="false" ht="15" hidden="false" customHeight="true" outlineLevel="0" collapsed="false">
      <c r="A285" s="86"/>
      <c r="B285" s="79"/>
      <c r="C285" s="86"/>
      <c r="D285" s="86"/>
      <c r="E285" s="86"/>
      <c r="F285" s="86"/>
      <c r="G285" s="86"/>
    </row>
    <row r="286" customFormat="false" ht="15" hidden="false" customHeight="true" outlineLevel="0" collapsed="false">
      <c r="A286" s="86"/>
      <c r="B286" s="79"/>
      <c r="C286" s="86"/>
      <c r="D286" s="86"/>
      <c r="E286" s="86"/>
      <c r="F286" s="86"/>
      <c r="G286" s="86"/>
    </row>
    <row r="287" customFormat="false" ht="15" hidden="false" customHeight="true" outlineLevel="0" collapsed="false">
      <c r="A287" s="86"/>
      <c r="B287" s="79"/>
      <c r="C287" s="86"/>
      <c r="D287" s="86"/>
      <c r="E287" s="86"/>
      <c r="F287" s="86"/>
      <c r="G287" s="86"/>
    </row>
    <row r="288" customFormat="false" ht="15" hidden="false" customHeight="true" outlineLevel="0" collapsed="false">
      <c r="A288" s="86"/>
      <c r="B288" s="79"/>
      <c r="C288" s="86"/>
      <c r="D288" s="86"/>
      <c r="E288" s="86"/>
      <c r="F288" s="86"/>
      <c r="G288" s="86"/>
    </row>
    <row r="289" customFormat="false" ht="15" hidden="false" customHeight="true" outlineLevel="0" collapsed="false">
      <c r="A289" s="86"/>
      <c r="B289" s="79"/>
      <c r="C289" s="86"/>
      <c r="D289" s="86"/>
      <c r="E289" s="86"/>
      <c r="F289" s="86"/>
      <c r="G289" s="86"/>
    </row>
    <row r="290" customFormat="false" ht="15" hidden="false" customHeight="true" outlineLevel="0" collapsed="false">
      <c r="A290" s="86"/>
      <c r="B290" s="79"/>
      <c r="C290" s="86"/>
      <c r="D290" s="86"/>
      <c r="E290" s="86"/>
      <c r="F290" s="86"/>
      <c r="G290" s="86"/>
    </row>
    <row r="291" customFormat="false" ht="15" hidden="false" customHeight="true" outlineLevel="0" collapsed="false">
      <c r="A291" s="86"/>
      <c r="B291" s="79"/>
      <c r="C291" s="86"/>
      <c r="D291" s="86"/>
      <c r="E291" s="86"/>
      <c r="F291" s="86"/>
      <c r="G291" s="86"/>
    </row>
    <row r="292" customFormat="false" ht="15" hidden="false" customHeight="true" outlineLevel="0" collapsed="false">
      <c r="A292" s="86"/>
      <c r="B292" s="79"/>
      <c r="C292" s="86"/>
      <c r="D292" s="86"/>
      <c r="E292" s="86"/>
      <c r="F292" s="86"/>
      <c r="G292" s="86"/>
    </row>
    <row r="293" customFormat="false" ht="15" hidden="false" customHeight="true" outlineLevel="0" collapsed="false">
      <c r="A293" s="86"/>
      <c r="B293" s="79"/>
      <c r="C293" s="86"/>
      <c r="D293" s="86"/>
      <c r="E293" s="86"/>
      <c r="F293" s="86"/>
      <c r="G293" s="86"/>
    </row>
    <row r="294" customFormat="false" ht="15" hidden="false" customHeight="true" outlineLevel="0" collapsed="false">
      <c r="A294" s="86"/>
      <c r="B294" s="79"/>
      <c r="C294" s="86"/>
      <c r="D294" s="86"/>
      <c r="E294" s="86"/>
      <c r="F294" s="86"/>
      <c r="G294" s="86"/>
    </row>
    <row r="295" customFormat="false" ht="15" hidden="false" customHeight="true" outlineLevel="0" collapsed="false">
      <c r="A295" s="86"/>
      <c r="B295" s="79"/>
      <c r="C295" s="86"/>
      <c r="D295" s="86"/>
      <c r="E295" s="86"/>
      <c r="F295" s="86"/>
      <c r="G295" s="86"/>
    </row>
    <row r="296" customFormat="false" ht="15" hidden="false" customHeight="true" outlineLevel="0" collapsed="false">
      <c r="A296" s="86"/>
      <c r="B296" s="79"/>
      <c r="C296" s="86"/>
      <c r="D296" s="86"/>
      <c r="E296" s="86"/>
      <c r="F296" s="86"/>
      <c r="G296" s="86"/>
    </row>
    <row r="297" customFormat="false" ht="15" hidden="false" customHeight="true" outlineLevel="0" collapsed="false">
      <c r="A297" s="86"/>
      <c r="B297" s="79"/>
      <c r="C297" s="86"/>
      <c r="D297" s="86"/>
      <c r="E297" s="86"/>
      <c r="F297" s="86"/>
      <c r="G297" s="86"/>
    </row>
    <row r="298" customFormat="false" ht="15" hidden="false" customHeight="true" outlineLevel="0" collapsed="false">
      <c r="A298" s="86"/>
      <c r="B298" s="79"/>
      <c r="C298" s="86"/>
      <c r="D298" s="86"/>
      <c r="E298" s="86"/>
      <c r="F298" s="86"/>
      <c r="G298" s="86"/>
    </row>
    <row r="299" customFormat="false" ht="15" hidden="false" customHeight="true" outlineLevel="0" collapsed="false">
      <c r="A299" s="86"/>
      <c r="B299" s="79"/>
      <c r="C299" s="86"/>
      <c r="D299" s="86"/>
      <c r="E299" s="86"/>
      <c r="F299" s="86"/>
      <c r="G299" s="86"/>
    </row>
    <row r="300" customFormat="false" ht="15" hidden="false" customHeight="true" outlineLevel="0" collapsed="false">
      <c r="A300" s="86"/>
      <c r="B300" s="79"/>
      <c r="C300" s="86"/>
      <c r="D300" s="86"/>
      <c r="E300" s="86"/>
      <c r="F300" s="86"/>
      <c r="G300" s="86"/>
    </row>
    <row r="301" customFormat="false" ht="15" hidden="false" customHeight="true" outlineLevel="0" collapsed="false">
      <c r="A301" s="86"/>
      <c r="B301" s="79"/>
      <c r="C301" s="86"/>
      <c r="D301" s="86"/>
      <c r="E301" s="86"/>
      <c r="F301" s="86"/>
      <c r="G301" s="86"/>
    </row>
    <row r="304" customFormat="false" ht="19.5" hidden="false" customHeight="true" outlineLevel="0" collapsed="false">
      <c r="A304" s="55" t="s">
        <v>1868</v>
      </c>
      <c r="B304" s="55"/>
      <c r="C304" s="55"/>
      <c r="D304" s="55"/>
      <c r="E304" s="55"/>
      <c r="F304" s="55"/>
      <c r="G304" s="55"/>
      <c r="H304" s="55"/>
      <c r="I304" s="55"/>
      <c r="J304" s="55"/>
    </row>
    <row r="305" customFormat="false" ht="25.5" hidden="false" customHeight="true" outlineLevel="0" collapsed="false">
      <c r="A305" s="59" t="s">
        <v>1797</v>
      </c>
      <c r="B305" s="59" t="s">
        <v>1753</v>
      </c>
      <c r="C305" s="59" t="s">
        <v>1869</v>
      </c>
      <c r="D305" s="59" t="s">
        <v>1870</v>
      </c>
      <c r="E305" s="59" t="s">
        <v>1871</v>
      </c>
      <c r="F305" s="59" t="s">
        <v>1872</v>
      </c>
      <c r="G305" s="59" t="s">
        <v>1873</v>
      </c>
      <c r="H305" s="59" t="s">
        <v>1755</v>
      </c>
      <c r="I305" s="59" t="s">
        <v>1874</v>
      </c>
      <c r="J305" s="59" t="s">
        <v>1875</v>
      </c>
    </row>
    <row r="306" customFormat="false" ht="15" hidden="false" customHeight="true" outlineLevel="0" collapsed="false">
      <c r="A306" s="86"/>
      <c r="B306" s="79"/>
      <c r="C306" s="86"/>
      <c r="D306" s="86"/>
      <c r="E306" s="86"/>
      <c r="F306" s="86"/>
      <c r="G306" s="86"/>
      <c r="H306" s="86"/>
      <c r="I306" s="92" t="str">
        <f aca="false">IFERROR(AVERAGE(C306:H306),"")</f>
        <v/>
      </c>
      <c r="J306" s="86"/>
    </row>
    <row r="307" customFormat="false" ht="15" hidden="false" customHeight="true" outlineLevel="0" collapsed="false">
      <c r="A307" s="86"/>
      <c r="B307" s="79"/>
      <c r="C307" s="86"/>
      <c r="D307" s="86"/>
      <c r="E307" s="86"/>
      <c r="F307" s="86"/>
      <c r="G307" s="86"/>
      <c r="H307" s="86"/>
      <c r="I307" s="92" t="str">
        <f aca="false">IFERROR(AVERAGE(C307:H307),"")</f>
        <v/>
      </c>
      <c r="J307" s="86"/>
    </row>
    <row r="308" customFormat="false" ht="15" hidden="false" customHeight="true" outlineLevel="0" collapsed="false">
      <c r="A308" s="86"/>
      <c r="B308" s="79"/>
      <c r="C308" s="86"/>
      <c r="D308" s="86"/>
      <c r="E308" s="86"/>
      <c r="F308" s="86"/>
      <c r="G308" s="86"/>
      <c r="H308" s="86"/>
      <c r="I308" s="92" t="str">
        <f aca="false">IFERROR(AVERAGE(C308:H308),"")</f>
        <v/>
      </c>
      <c r="J308" s="86"/>
    </row>
    <row r="309" customFormat="false" ht="15" hidden="false" customHeight="true" outlineLevel="0" collapsed="false">
      <c r="A309" s="86"/>
      <c r="B309" s="79"/>
      <c r="C309" s="86"/>
      <c r="D309" s="86"/>
      <c r="E309" s="86"/>
      <c r="F309" s="86"/>
      <c r="G309" s="86"/>
      <c r="H309" s="86"/>
      <c r="I309" s="92" t="str">
        <f aca="false">IFERROR(AVERAGE(C309:H309),"")</f>
        <v/>
      </c>
      <c r="J309" s="86"/>
    </row>
    <row r="310" customFormat="false" ht="15" hidden="false" customHeight="true" outlineLevel="0" collapsed="false">
      <c r="A310" s="86"/>
      <c r="B310" s="79"/>
      <c r="C310" s="86"/>
      <c r="D310" s="86"/>
      <c r="E310" s="86"/>
      <c r="F310" s="86"/>
      <c r="G310" s="86"/>
      <c r="H310" s="86"/>
      <c r="I310" s="92" t="str">
        <f aca="false">IFERROR(AVERAGE(C310:H310),"")</f>
        <v/>
      </c>
      <c r="J310" s="86"/>
    </row>
    <row r="311" customFormat="false" ht="15" hidden="false" customHeight="true" outlineLevel="0" collapsed="false">
      <c r="A311" s="86"/>
      <c r="B311" s="79"/>
      <c r="C311" s="86"/>
      <c r="D311" s="86"/>
      <c r="E311" s="86"/>
      <c r="F311" s="86"/>
      <c r="G311" s="86"/>
      <c r="H311" s="86"/>
      <c r="I311" s="92" t="str">
        <f aca="false">IFERROR(AVERAGE(C311:H311),"")</f>
        <v/>
      </c>
      <c r="J311" s="86"/>
    </row>
    <row r="312" customFormat="false" ht="15" hidden="false" customHeight="true" outlineLevel="0" collapsed="false">
      <c r="A312" s="86"/>
      <c r="B312" s="79"/>
      <c r="C312" s="86"/>
      <c r="D312" s="86"/>
      <c r="E312" s="86"/>
      <c r="F312" s="86"/>
      <c r="G312" s="86"/>
      <c r="H312" s="86"/>
      <c r="I312" s="92" t="str">
        <f aca="false">IFERROR(AVERAGE(C312:H312),"")</f>
        <v/>
      </c>
      <c r="J312" s="86"/>
    </row>
    <row r="313" customFormat="false" ht="15" hidden="false" customHeight="true" outlineLevel="0" collapsed="false">
      <c r="A313" s="86"/>
      <c r="B313" s="79"/>
      <c r="C313" s="86"/>
      <c r="D313" s="86"/>
      <c r="E313" s="86"/>
      <c r="F313" s="86"/>
      <c r="G313" s="86"/>
      <c r="H313" s="86"/>
      <c r="I313" s="92" t="str">
        <f aca="false">IFERROR(AVERAGE(C313:H313),"")</f>
        <v/>
      </c>
      <c r="J313" s="86"/>
    </row>
    <row r="314" customFormat="false" ht="15" hidden="false" customHeight="true" outlineLevel="0" collapsed="false">
      <c r="A314" s="86"/>
      <c r="B314" s="79"/>
      <c r="C314" s="86"/>
      <c r="D314" s="86"/>
      <c r="E314" s="86"/>
      <c r="F314" s="86"/>
      <c r="G314" s="86"/>
      <c r="H314" s="86"/>
      <c r="I314" s="92" t="str">
        <f aca="false">IFERROR(AVERAGE(C314:H314),"")</f>
        <v/>
      </c>
      <c r="J314" s="86"/>
    </row>
    <row r="315" customFormat="false" ht="15" hidden="false" customHeight="true" outlineLevel="0" collapsed="false">
      <c r="A315" s="86"/>
      <c r="B315" s="79"/>
      <c r="C315" s="86"/>
      <c r="D315" s="86"/>
      <c r="E315" s="86"/>
      <c r="F315" s="86"/>
      <c r="G315" s="86"/>
      <c r="H315" s="86"/>
      <c r="I315" s="92" t="str">
        <f aca="false">IFERROR(AVERAGE(C315:H315),"")</f>
        <v/>
      </c>
      <c r="J315" s="86"/>
    </row>
    <row r="316" customFormat="false" ht="15" hidden="false" customHeight="true" outlineLevel="0" collapsed="false">
      <c r="A316" s="86"/>
      <c r="B316" s="79"/>
      <c r="C316" s="86"/>
      <c r="D316" s="86"/>
      <c r="E316" s="86"/>
      <c r="F316" s="86"/>
      <c r="G316" s="86"/>
      <c r="H316" s="86"/>
      <c r="I316" s="92" t="str">
        <f aca="false">IFERROR(AVERAGE(C316:H316),"")</f>
        <v/>
      </c>
      <c r="J316" s="86"/>
    </row>
    <row r="317" customFormat="false" ht="15" hidden="false" customHeight="true" outlineLevel="0" collapsed="false">
      <c r="A317" s="86"/>
      <c r="B317" s="79"/>
      <c r="C317" s="86"/>
      <c r="D317" s="86"/>
      <c r="E317" s="86"/>
      <c r="F317" s="86"/>
      <c r="G317" s="86"/>
      <c r="H317" s="86"/>
      <c r="I317" s="92" t="str">
        <f aca="false">IFERROR(AVERAGE(C317:H317),"")</f>
        <v/>
      </c>
      <c r="J317" s="86"/>
    </row>
    <row r="318" customFormat="false" ht="15" hidden="false" customHeight="true" outlineLevel="0" collapsed="false">
      <c r="A318" s="86"/>
      <c r="B318" s="79"/>
      <c r="C318" s="86"/>
      <c r="D318" s="86"/>
      <c r="E318" s="86"/>
      <c r="F318" s="86"/>
      <c r="G318" s="86"/>
      <c r="H318" s="86"/>
      <c r="I318" s="92" t="str">
        <f aca="false">IFERROR(AVERAGE(C318:H318),"")</f>
        <v/>
      </c>
      <c r="J318" s="86"/>
    </row>
    <row r="319" customFormat="false" ht="15" hidden="false" customHeight="true" outlineLevel="0" collapsed="false">
      <c r="A319" s="86"/>
      <c r="B319" s="79"/>
      <c r="C319" s="86"/>
      <c r="D319" s="86"/>
      <c r="E319" s="86"/>
      <c r="F319" s="86"/>
      <c r="G319" s="86"/>
      <c r="H319" s="86"/>
      <c r="I319" s="92" t="str">
        <f aca="false">IFERROR(AVERAGE(C319:H319),"")</f>
        <v/>
      </c>
      <c r="J319" s="86"/>
    </row>
    <row r="320" customFormat="false" ht="15" hidden="false" customHeight="true" outlineLevel="0" collapsed="false">
      <c r="A320" s="86"/>
      <c r="B320" s="79"/>
      <c r="C320" s="86"/>
      <c r="D320" s="86"/>
      <c r="E320" s="86"/>
      <c r="F320" s="86"/>
      <c r="G320" s="86"/>
      <c r="H320" s="86"/>
      <c r="I320" s="92" t="str">
        <f aca="false">IFERROR(AVERAGE(C320:H320),"")</f>
        <v/>
      </c>
      <c r="J320" s="86"/>
    </row>
    <row r="321" customFormat="false" ht="15" hidden="false" customHeight="true" outlineLevel="0" collapsed="false">
      <c r="A321" s="86"/>
      <c r="B321" s="79"/>
      <c r="C321" s="86"/>
      <c r="D321" s="86"/>
      <c r="E321" s="86"/>
      <c r="F321" s="86"/>
      <c r="G321" s="86"/>
      <c r="H321" s="86"/>
      <c r="I321" s="92" t="str">
        <f aca="false">IFERROR(AVERAGE(C321:H321),"")</f>
        <v/>
      </c>
      <c r="J321" s="86"/>
    </row>
    <row r="322" customFormat="false" ht="15" hidden="false" customHeight="true" outlineLevel="0" collapsed="false">
      <c r="A322" s="86"/>
      <c r="B322" s="79"/>
      <c r="C322" s="86"/>
      <c r="D322" s="86"/>
      <c r="E322" s="86"/>
      <c r="F322" s="86"/>
      <c r="G322" s="86"/>
      <c r="H322" s="86"/>
      <c r="I322" s="92" t="str">
        <f aca="false">IFERROR(AVERAGE(C322:H322),"")</f>
        <v/>
      </c>
      <c r="J322" s="86"/>
    </row>
    <row r="323" customFormat="false" ht="15" hidden="false" customHeight="true" outlineLevel="0" collapsed="false">
      <c r="A323" s="86"/>
      <c r="B323" s="79"/>
      <c r="C323" s="86"/>
      <c r="D323" s="86"/>
      <c r="E323" s="86"/>
      <c r="F323" s="86"/>
      <c r="G323" s="86"/>
      <c r="H323" s="86"/>
      <c r="I323" s="92" t="str">
        <f aca="false">IFERROR(AVERAGE(C323:H323),"")</f>
        <v/>
      </c>
      <c r="J323" s="86"/>
    </row>
    <row r="324" customFormat="false" ht="15" hidden="false" customHeight="true" outlineLevel="0" collapsed="false">
      <c r="A324" s="86"/>
      <c r="B324" s="79"/>
      <c r="C324" s="86"/>
      <c r="D324" s="86"/>
      <c r="E324" s="86"/>
      <c r="F324" s="86"/>
      <c r="G324" s="86"/>
      <c r="H324" s="86"/>
      <c r="I324" s="92" t="str">
        <f aca="false">IFERROR(AVERAGE(C324:H324),"")</f>
        <v/>
      </c>
      <c r="J324" s="86"/>
    </row>
    <row r="325" customFormat="false" ht="15" hidden="false" customHeight="true" outlineLevel="0" collapsed="false">
      <c r="A325" s="86"/>
      <c r="B325" s="79"/>
      <c r="C325" s="86"/>
      <c r="D325" s="86"/>
      <c r="E325" s="86"/>
      <c r="F325" s="86"/>
      <c r="G325" s="86"/>
      <c r="H325" s="86"/>
      <c r="I325" s="92" t="str">
        <f aca="false">IFERROR(AVERAGE(C325:H325),"")</f>
        <v/>
      </c>
      <c r="J325" s="86"/>
    </row>
    <row r="326" customFormat="false" ht="15" hidden="false" customHeight="true" outlineLevel="0" collapsed="false">
      <c r="A326" s="86"/>
      <c r="B326" s="79"/>
      <c r="C326" s="86"/>
      <c r="D326" s="86"/>
      <c r="E326" s="86"/>
      <c r="F326" s="86"/>
      <c r="G326" s="86"/>
      <c r="H326" s="86"/>
      <c r="I326" s="92" t="str">
        <f aca="false">IFERROR(AVERAGE(C326:H326),"")</f>
        <v/>
      </c>
      <c r="J326" s="86"/>
    </row>
    <row r="327" customFormat="false" ht="15" hidden="false" customHeight="true" outlineLevel="0" collapsed="false">
      <c r="A327" s="86"/>
      <c r="B327" s="79"/>
      <c r="C327" s="86"/>
      <c r="D327" s="86"/>
      <c r="E327" s="86"/>
      <c r="F327" s="86"/>
      <c r="G327" s="86"/>
      <c r="H327" s="86"/>
      <c r="I327" s="92" t="str">
        <f aca="false">IFERROR(AVERAGE(C327:H327),"")</f>
        <v/>
      </c>
      <c r="J327" s="86"/>
    </row>
    <row r="328" customFormat="false" ht="15" hidden="false" customHeight="true" outlineLevel="0" collapsed="false">
      <c r="A328" s="86"/>
      <c r="B328" s="79"/>
      <c r="C328" s="86"/>
      <c r="D328" s="86"/>
      <c r="E328" s="86"/>
      <c r="F328" s="86"/>
      <c r="G328" s="86"/>
      <c r="H328" s="86"/>
      <c r="I328" s="92" t="str">
        <f aca="false">IFERROR(AVERAGE(C328:H328),"")</f>
        <v/>
      </c>
      <c r="J328" s="86"/>
    </row>
    <row r="329" customFormat="false" ht="15" hidden="false" customHeight="true" outlineLevel="0" collapsed="false">
      <c r="A329" s="86"/>
      <c r="B329" s="79"/>
      <c r="C329" s="86"/>
      <c r="D329" s="86"/>
      <c r="E329" s="86"/>
      <c r="F329" s="86"/>
      <c r="G329" s="86"/>
      <c r="H329" s="86"/>
      <c r="I329" s="92" t="str">
        <f aca="false">IFERROR(AVERAGE(C329:H329),"")</f>
        <v/>
      </c>
      <c r="J329" s="86"/>
    </row>
    <row r="330" customFormat="false" ht="15" hidden="false" customHeight="true" outlineLevel="0" collapsed="false">
      <c r="A330" s="86"/>
      <c r="B330" s="79"/>
      <c r="C330" s="86"/>
      <c r="D330" s="86"/>
      <c r="E330" s="86"/>
      <c r="F330" s="86"/>
      <c r="G330" s="86"/>
      <c r="H330" s="86"/>
      <c r="I330" s="92" t="str">
        <f aca="false">IFERROR(AVERAGE(C330:H330),"")</f>
        <v/>
      </c>
      <c r="J330" s="86"/>
    </row>
    <row r="331" customFormat="false" ht="15" hidden="false" customHeight="true" outlineLevel="0" collapsed="false">
      <c r="A331" s="86"/>
      <c r="B331" s="79"/>
      <c r="C331" s="86"/>
      <c r="D331" s="86"/>
      <c r="E331" s="86"/>
      <c r="F331" s="86"/>
      <c r="G331" s="86"/>
      <c r="H331" s="86"/>
      <c r="I331" s="92" t="str">
        <f aca="false">IFERROR(AVERAGE(C331:H331),"")</f>
        <v/>
      </c>
      <c r="J331" s="86"/>
    </row>
    <row r="332" customFormat="false" ht="15" hidden="false" customHeight="true" outlineLevel="0" collapsed="false">
      <c r="A332" s="86"/>
      <c r="B332" s="79"/>
      <c r="C332" s="86"/>
      <c r="D332" s="86"/>
      <c r="E332" s="86"/>
      <c r="F332" s="86"/>
      <c r="G332" s="86"/>
      <c r="H332" s="86"/>
      <c r="I332" s="92" t="str">
        <f aca="false">IFERROR(AVERAGE(C332:H332),"")</f>
        <v/>
      </c>
      <c r="J332" s="86"/>
    </row>
    <row r="333" customFormat="false" ht="15" hidden="false" customHeight="true" outlineLevel="0" collapsed="false">
      <c r="A333" s="86"/>
      <c r="B333" s="79"/>
      <c r="C333" s="86"/>
      <c r="D333" s="86"/>
      <c r="E333" s="86"/>
      <c r="F333" s="86"/>
      <c r="G333" s="86"/>
      <c r="H333" s="86"/>
      <c r="I333" s="92" t="str">
        <f aca="false">IFERROR(AVERAGE(C333:H333),"")</f>
        <v/>
      </c>
      <c r="J333" s="86"/>
    </row>
    <row r="334" customFormat="false" ht="15" hidden="false" customHeight="true" outlineLevel="0" collapsed="false">
      <c r="A334" s="86"/>
      <c r="B334" s="79"/>
      <c r="C334" s="86"/>
      <c r="D334" s="86"/>
      <c r="E334" s="86"/>
      <c r="F334" s="86"/>
      <c r="G334" s="86"/>
      <c r="H334" s="86"/>
      <c r="I334" s="92" t="str">
        <f aca="false">IFERROR(AVERAGE(C334:H334),"")</f>
        <v/>
      </c>
      <c r="J334" s="86"/>
    </row>
    <row r="335" customFormat="false" ht="15" hidden="false" customHeight="true" outlineLevel="0" collapsed="false">
      <c r="A335" s="86"/>
      <c r="B335" s="79"/>
      <c r="C335" s="86"/>
      <c r="D335" s="86"/>
      <c r="E335" s="86"/>
      <c r="F335" s="86"/>
      <c r="G335" s="86"/>
      <c r="H335" s="86"/>
      <c r="I335" s="92" t="str">
        <f aca="false">IFERROR(AVERAGE(C335:H335),"")</f>
        <v/>
      </c>
      <c r="J335" s="86"/>
    </row>
    <row r="338" customFormat="false" ht="19.5" hidden="false" customHeight="true" outlineLevel="0" collapsed="false">
      <c r="A338" s="55" t="s">
        <v>1876</v>
      </c>
      <c r="B338" s="55"/>
      <c r="C338" s="55"/>
      <c r="D338" s="55"/>
      <c r="E338" s="55"/>
      <c r="F338" s="55"/>
      <c r="G338" s="55"/>
      <c r="H338" s="55"/>
    </row>
    <row r="339" customFormat="false" ht="25.5" hidden="false" customHeight="true" outlineLevel="0" collapsed="false">
      <c r="A339" s="59" t="s">
        <v>1797</v>
      </c>
      <c r="B339" s="59" t="s">
        <v>1877</v>
      </c>
      <c r="C339" s="59" t="s">
        <v>1674</v>
      </c>
      <c r="D339" s="59" t="s">
        <v>1675</v>
      </c>
      <c r="E339" s="59" t="s">
        <v>1767</v>
      </c>
      <c r="F339" s="59" t="s">
        <v>1676</v>
      </c>
      <c r="G339" s="59" t="s">
        <v>1335</v>
      </c>
      <c r="H339" s="59" t="s">
        <v>54</v>
      </c>
    </row>
    <row r="340" customFormat="false" ht="15" hidden="false" customHeight="true" outlineLevel="0" collapsed="false">
      <c r="A340" s="86"/>
      <c r="B340" s="86"/>
      <c r="C340" s="86"/>
      <c r="D340" s="86"/>
      <c r="E340" s="86"/>
      <c r="F340" s="86"/>
      <c r="G340" s="86"/>
      <c r="H340" s="86"/>
    </row>
    <row r="341" customFormat="false" ht="15" hidden="false" customHeight="true" outlineLevel="0" collapsed="false">
      <c r="A341" s="86"/>
      <c r="B341" s="86"/>
      <c r="C341" s="86"/>
      <c r="D341" s="86"/>
      <c r="E341" s="86"/>
      <c r="F341" s="86"/>
      <c r="G341" s="86"/>
      <c r="H341" s="86"/>
    </row>
    <row r="342" customFormat="false" ht="15" hidden="false" customHeight="true" outlineLevel="0" collapsed="false">
      <c r="A342" s="86"/>
      <c r="B342" s="86"/>
      <c r="C342" s="86"/>
      <c r="D342" s="86"/>
      <c r="E342" s="86"/>
      <c r="F342" s="86"/>
      <c r="G342" s="86"/>
      <c r="H342" s="86"/>
    </row>
    <row r="343" customFormat="false" ht="15" hidden="false" customHeight="true" outlineLevel="0" collapsed="false">
      <c r="A343" s="86"/>
      <c r="B343" s="86"/>
      <c r="C343" s="86"/>
      <c r="D343" s="86"/>
      <c r="E343" s="86"/>
      <c r="F343" s="86"/>
      <c r="G343" s="86"/>
      <c r="H343" s="86"/>
    </row>
    <row r="344" customFormat="false" ht="15" hidden="false" customHeight="true" outlineLevel="0" collapsed="false">
      <c r="A344" s="86"/>
      <c r="B344" s="86"/>
      <c r="C344" s="86"/>
      <c r="D344" s="86"/>
      <c r="E344" s="86"/>
      <c r="F344" s="86"/>
      <c r="G344" s="86"/>
      <c r="H344" s="86"/>
    </row>
    <row r="345" customFormat="false" ht="15" hidden="false" customHeight="true" outlineLevel="0" collapsed="false">
      <c r="A345" s="86"/>
      <c r="B345" s="86"/>
      <c r="C345" s="86"/>
      <c r="D345" s="86"/>
      <c r="E345" s="86"/>
      <c r="F345" s="86"/>
      <c r="G345" s="86"/>
      <c r="H345" s="86"/>
    </row>
    <row r="346" customFormat="false" ht="15" hidden="false" customHeight="true" outlineLevel="0" collapsed="false">
      <c r="A346" s="86"/>
      <c r="B346" s="86"/>
      <c r="C346" s="86"/>
      <c r="D346" s="86"/>
      <c r="E346" s="86"/>
      <c r="F346" s="86"/>
      <c r="G346" s="86"/>
      <c r="H346" s="86"/>
    </row>
    <row r="347" customFormat="false" ht="15" hidden="false" customHeight="true" outlineLevel="0" collapsed="false">
      <c r="A347" s="86"/>
      <c r="B347" s="86"/>
      <c r="C347" s="86"/>
      <c r="D347" s="86"/>
      <c r="E347" s="86"/>
      <c r="F347" s="86"/>
      <c r="G347" s="86"/>
      <c r="H347" s="86"/>
    </row>
    <row r="348" customFormat="false" ht="15" hidden="false" customHeight="true" outlineLevel="0" collapsed="false">
      <c r="A348" s="86"/>
      <c r="B348" s="86"/>
      <c r="C348" s="86"/>
      <c r="D348" s="86"/>
      <c r="E348" s="86"/>
      <c r="F348" s="86"/>
      <c r="G348" s="86"/>
      <c r="H348" s="86"/>
    </row>
    <row r="349" customFormat="false" ht="15" hidden="false" customHeight="true" outlineLevel="0" collapsed="false">
      <c r="A349" s="86"/>
      <c r="B349" s="86"/>
      <c r="C349" s="86"/>
      <c r="D349" s="86"/>
      <c r="E349" s="86"/>
      <c r="F349" s="86"/>
      <c r="G349" s="86"/>
      <c r="H349" s="86"/>
    </row>
    <row r="350" customFormat="false" ht="15" hidden="false" customHeight="true" outlineLevel="0" collapsed="false">
      <c r="A350" s="86"/>
      <c r="B350" s="86"/>
      <c r="C350" s="86"/>
      <c r="D350" s="86"/>
      <c r="E350" s="86"/>
      <c r="F350" s="86"/>
      <c r="G350" s="86"/>
      <c r="H350" s="86"/>
    </row>
    <row r="351" customFormat="false" ht="15" hidden="false" customHeight="true" outlineLevel="0" collapsed="false">
      <c r="A351" s="86"/>
      <c r="B351" s="86"/>
      <c r="C351" s="86"/>
      <c r="D351" s="86"/>
      <c r="E351" s="86"/>
      <c r="F351" s="86"/>
      <c r="G351" s="86"/>
      <c r="H351" s="86"/>
    </row>
    <row r="352" customFormat="false" ht="15" hidden="false" customHeight="true" outlineLevel="0" collapsed="false">
      <c r="A352" s="86"/>
      <c r="B352" s="86"/>
      <c r="C352" s="86"/>
      <c r="D352" s="86"/>
      <c r="E352" s="86"/>
      <c r="F352" s="86"/>
      <c r="G352" s="86"/>
      <c r="H352" s="86"/>
    </row>
    <row r="353" customFormat="false" ht="15" hidden="false" customHeight="true" outlineLevel="0" collapsed="false">
      <c r="A353" s="86"/>
      <c r="B353" s="86"/>
      <c r="C353" s="86"/>
      <c r="D353" s="86"/>
      <c r="E353" s="86"/>
      <c r="F353" s="86"/>
      <c r="G353" s="86"/>
      <c r="H353" s="86"/>
    </row>
    <row r="354" customFormat="false" ht="15" hidden="false" customHeight="true" outlineLevel="0" collapsed="false">
      <c r="A354" s="86"/>
      <c r="B354" s="86"/>
      <c r="C354" s="86"/>
      <c r="D354" s="86"/>
      <c r="E354" s="86"/>
      <c r="F354" s="86"/>
      <c r="G354" s="86"/>
      <c r="H354" s="86"/>
    </row>
    <row r="355" customFormat="false" ht="15" hidden="false" customHeight="true" outlineLevel="0" collapsed="false">
      <c r="A355" s="86"/>
      <c r="B355" s="86"/>
      <c r="C355" s="86"/>
      <c r="D355" s="86"/>
      <c r="E355" s="86"/>
      <c r="F355" s="86"/>
      <c r="G355" s="86"/>
      <c r="H355" s="86"/>
    </row>
    <row r="356" customFormat="false" ht="15" hidden="false" customHeight="true" outlineLevel="0" collapsed="false">
      <c r="A356" s="86"/>
      <c r="B356" s="86"/>
      <c r="C356" s="86"/>
      <c r="D356" s="86"/>
      <c r="E356" s="86"/>
      <c r="F356" s="86"/>
      <c r="G356" s="86"/>
      <c r="H356" s="86"/>
    </row>
    <row r="357" customFormat="false" ht="15" hidden="false" customHeight="true" outlineLevel="0" collapsed="false">
      <c r="A357" s="86"/>
      <c r="B357" s="86"/>
      <c r="C357" s="86"/>
      <c r="D357" s="86"/>
      <c r="E357" s="86"/>
      <c r="F357" s="86"/>
      <c r="G357" s="86"/>
      <c r="H357" s="86"/>
    </row>
    <row r="358" customFormat="false" ht="15" hidden="false" customHeight="true" outlineLevel="0" collapsed="false">
      <c r="A358" s="86"/>
      <c r="B358" s="86"/>
      <c r="C358" s="86"/>
      <c r="D358" s="86"/>
      <c r="E358" s="86"/>
      <c r="F358" s="86"/>
      <c r="G358" s="86"/>
      <c r="H358" s="86"/>
    </row>
    <row r="359" customFormat="false" ht="15" hidden="false" customHeight="true" outlineLevel="0" collapsed="false">
      <c r="A359" s="86"/>
      <c r="B359" s="86"/>
      <c r="C359" s="86"/>
      <c r="D359" s="86"/>
      <c r="E359" s="86"/>
      <c r="F359" s="86"/>
      <c r="G359" s="86"/>
      <c r="H359" s="86"/>
    </row>
    <row r="360" customFormat="false" ht="15" hidden="false" customHeight="true" outlineLevel="0" collapsed="false">
      <c r="A360" s="86"/>
      <c r="B360" s="86"/>
      <c r="C360" s="86"/>
      <c r="D360" s="86"/>
      <c r="E360" s="86"/>
      <c r="F360" s="86"/>
      <c r="G360" s="86"/>
      <c r="H360" s="86"/>
    </row>
    <row r="361" customFormat="false" ht="15" hidden="false" customHeight="true" outlineLevel="0" collapsed="false">
      <c r="A361" s="86"/>
      <c r="B361" s="86"/>
      <c r="C361" s="86"/>
      <c r="D361" s="86"/>
      <c r="E361" s="86"/>
      <c r="F361" s="86"/>
      <c r="G361" s="86"/>
      <c r="H361" s="86"/>
    </row>
    <row r="362" customFormat="false" ht="15" hidden="false" customHeight="true" outlineLevel="0" collapsed="false">
      <c r="A362" s="86"/>
      <c r="B362" s="86"/>
      <c r="C362" s="86"/>
      <c r="D362" s="86"/>
      <c r="E362" s="86"/>
      <c r="F362" s="86"/>
      <c r="G362" s="86"/>
      <c r="H362" s="86"/>
    </row>
    <row r="363" customFormat="false" ht="15" hidden="false" customHeight="true" outlineLevel="0" collapsed="false">
      <c r="A363" s="86"/>
      <c r="B363" s="86"/>
      <c r="C363" s="86"/>
      <c r="D363" s="86"/>
      <c r="E363" s="86"/>
      <c r="F363" s="86"/>
      <c r="G363" s="86"/>
      <c r="H363" s="86"/>
    </row>
    <row r="364" customFormat="false" ht="15" hidden="false" customHeight="true" outlineLevel="0" collapsed="false">
      <c r="A364" s="86"/>
      <c r="B364" s="86"/>
      <c r="C364" s="86"/>
      <c r="D364" s="86"/>
      <c r="E364" s="86"/>
      <c r="F364" s="86"/>
      <c r="G364" s="86"/>
      <c r="H364" s="86"/>
    </row>
    <row r="365" customFormat="false" ht="15" hidden="false" customHeight="true" outlineLevel="0" collapsed="false">
      <c r="A365" s="86"/>
      <c r="B365" s="86"/>
      <c r="C365" s="86"/>
      <c r="D365" s="86"/>
      <c r="E365" s="86"/>
      <c r="F365" s="86"/>
      <c r="G365" s="86"/>
      <c r="H365" s="86"/>
    </row>
    <row r="366" customFormat="false" ht="15" hidden="false" customHeight="true" outlineLevel="0" collapsed="false">
      <c r="A366" s="86"/>
      <c r="B366" s="86"/>
      <c r="C366" s="86"/>
      <c r="D366" s="86"/>
      <c r="E366" s="86"/>
      <c r="F366" s="86"/>
      <c r="G366" s="86"/>
      <c r="H366" s="86"/>
    </row>
    <row r="367" customFormat="false" ht="15" hidden="false" customHeight="true" outlineLevel="0" collapsed="false">
      <c r="A367" s="86"/>
      <c r="B367" s="86"/>
      <c r="C367" s="86"/>
      <c r="D367" s="86"/>
      <c r="E367" s="86"/>
      <c r="F367" s="86"/>
      <c r="G367" s="86"/>
      <c r="H367" s="86"/>
    </row>
    <row r="368" customFormat="false" ht="15" hidden="false" customHeight="true" outlineLevel="0" collapsed="false">
      <c r="A368" s="86"/>
      <c r="B368" s="86"/>
      <c r="C368" s="86"/>
      <c r="D368" s="86"/>
      <c r="E368" s="86"/>
      <c r="F368" s="86"/>
      <c r="G368" s="86"/>
      <c r="H368" s="86"/>
    </row>
    <row r="369" customFormat="false" ht="15" hidden="false" customHeight="true" outlineLevel="0" collapsed="false">
      <c r="A369" s="86"/>
      <c r="B369" s="86"/>
      <c r="C369" s="86"/>
      <c r="D369" s="86"/>
      <c r="E369" s="86"/>
      <c r="F369" s="86"/>
      <c r="G369" s="86"/>
      <c r="H369" s="86"/>
    </row>
    <row r="372" customFormat="false" ht="19.5" hidden="false" customHeight="true" outlineLevel="0" collapsed="false">
      <c r="A372" s="55" t="s">
        <v>1878</v>
      </c>
      <c r="B372" s="55"/>
      <c r="C372" s="55"/>
      <c r="D372" s="55"/>
      <c r="E372" s="55"/>
      <c r="F372" s="55"/>
      <c r="G372" s="55"/>
      <c r="H372" s="55"/>
    </row>
    <row r="373" customFormat="false" ht="25.5" hidden="false" customHeight="true" outlineLevel="0" collapsed="false">
      <c r="A373" s="59" t="s">
        <v>1797</v>
      </c>
      <c r="B373" s="59" t="s">
        <v>1879</v>
      </c>
      <c r="C373" s="59" t="s">
        <v>1327</v>
      </c>
      <c r="D373" s="59" t="s">
        <v>1880</v>
      </c>
      <c r="E373" s="59" t="s">
        <v>1357</v>
      </c>
      <c r="F373" s="59" t="s">
        <v>1335</v>
      </c>
      <c r="G373" s="59" t="s">
        <v>54</v>
      </c>
      <c r="H373" s="59" t="s">
        <v>1881</v>
      </c>
    </row>
    <row r="374" customFormat="false" ht="15" hidden="false" customHeight="true" outlineLevel="0" collapsed="false">
      <c r="A374" s="86"/>
      <c r="B374" s="86"/>
      <c r="C374" s="86"/>
      <c r="D374" s="86"/>
      <c r="E374" s="79"/>
      <c r="F374" s="86"/>
      <c r="G374" s="86"/>
      <c r="H374" s="86"/>
    </row>
    <row r="375" customFormat="false" ht="15" hidden="false" customHeight="true" outlineLevel="0" collapsed="false">
      <c r="A375" s="86"/>
      <c r="B375" s="86"/>
      <c r="C375" s="86"/>
      <c r="D375" s="86"/>
      <c r="E375" s="79"/>
      <c r="F375" s="86"/>
      <c r="G375" s="86"/>
      <c r="H375" s="86"/>
    </row>
    <row r="376" customFormat="false" ht="15" hidden="false" customHeight="true" outlineLevel="0" collapsed="false">
      <c r="A376" s="86"/>
      <c r="B376" s="86"/>
      <c r="C376" s="86"/>
      <c r="D376" s="86"/>
      <c r="E376" s="79"/>
      <c r="F376" s="86"/>
      <c r="G376" s="86"/>
      <c r="H376" s="86"/>
    </row>
    <row r="377" customFormat="false" ht="15" hidden="false" customHeight="true" outlineLevel="0" collapsed="false">
      <c r="A377" s="86"/>
      <c r="B377" s="86"/>
      <c r="C377" s="86"/>
      <c r="D377" s="86"/>
      <c r="E377" s="79"/>
      <c r="F377" s="86"/>
      <c r="G377" s="86"/>
      <c r="H377" s="86"/>
    </row>
    <row r="378" customFormat="false" ht="15" hidden="false" customHeight="true" outlineLevel="0" collapsed="false">
      <c r="A378" s="86"/>
      <c r="B378" s="86"/>
      <c r="C378" s="86"/>
      <c r="D378" s="86"/>
      <c r="E378" s="79"/>
      <c r="F378" s="86"/>
      <c r="G378" s="86"/>
      <c r="H378" s="86"/>
    </row>
    <row r="379" customFormat="false" ht="15" hidden="false" customHeight="true" outlineLevel="0" collapsed="false">
      <c r="A379" s="86"/>
      <c r="B379" s="86"/>
      <c r="C379" s="86"/>
      <c r="D379" s="86"/>
      <c r="E379" s="79"/>
      <c r="F379" s="86"/>
      <c r="G379" s="86"/>
      <c r="H379" s="86"/>
    </row>
    <row r="380" customFormat="false" ht="15" hidden="false" customHeight="true" outlineLevel="0" collapsed="false">
      <c r="A380" s="86"/>
      <c r="B380" s="86"/>
      <c r="C380" s="86"/>
      <c r="D380" s="86"/>
      <c r="E380" s="79"/>
      <c r="F380" s="86"/>
      <c r="G380" s="86"/>
      <c r="H380" s="86"/>
    </row>
    <row r="381" customFormat="false" ht="15" hidden="false" customHeight="true" outlineLevel="0" collapsed="false">
      <c r="A381" s="86"/>
      <c r="B381" s="86"/>
      <c r="C381" s="86"/>
      <c r="D381" s="86"/>
      <c r="E381" s="79"/>
      <c r="F381" s="86"/>
      <c r="G381" s="86"/>
      <c r="H381" s="86"/>
    </row>
    <row r="382" customFormat="false" ht="15" hidden="false" customHeight="true" outlineLevel="0" collapsed="false">
      <c r="A382" s="86"/>
      <c r="B382" s="86"/>
      <c r="C382" s="86"/>
      <c r="D382" s="86"/>
      <c r="E382" s="79"/>
      <c r="F382" s="86"/>
      <c r="G382" s="86"/>
      <c r="H382" s="86"/>
    </row>
    <row r="383" customFormat="false" ht="15" hidden="false" customHeight="true" outlineLevel="0" collapsed="false">
      <c r="A383" s="86"/>
      <c r="B383" s="86"/>
      <c r="C383" s="86"/>
      <c r="D383" s="86"/>
      <c r="E383" s="79"/>
      <c r="F383" s="86"/>
      <c r="G383" s="86"/>
      <c r="H383" s="86"/>
    </row>
    <row r="384" customFormat="false" ht="15" hidden="false" customHeight="true" outlineLevel="0" collapsed="false">
      <c r="A384" s="86"/>
      <c r="B384" s="86"/>
      <c r="C384" s="86"/>
      <c r="D384" s="86"/>
      <c r="E384" s="79"/>
      <c r="F384" s="86"/>
      <c r="G384" s="86"/>
      <c r="H384" s="86"/>
    </row>
    <row r="385" customFormat="false" ht="15" hidden="false" customHeight="true" outlineLevel="0" collapsed="false">
      <c r="A385" s="86"/>
      <c r="B385" s="86"/>
      <c r="C385" s="86"/>
      <c r="D385" s="86"/>
      <c r="E385" s="79"/>
      <c r="F385" s="86"/>
      <c r="G385" s="86"/>
      <c r="H385" s="86"/>
    </row>
    <row r="386" customFormat="false" ht="15" hidden="false" customHeight="true" outlineLevel="0" collapsed="false">
      <c r="A386" s="86"/>
      <c r="B386" s="86"/>
      <c r="C386" s="86"/>
      <c r="D386" s="86"/>
      <c r="E386" s="79"/>
      <c r="F386" s="86"/>
      <c r="G386" s="86"/>
      <c r="H386" s="86"/>
    </row>
    <row r="387" customFormat="false" ht="15" hidden="false" customHeight="true" outlineLevel="0" collapsed="false">
      <c r="A387" s="86"/>
      <c r="B387" s="86"/>
      <c r="C387" s="86"/>
      <c r="D387" s="86"/>
      <c r="E387" s="79"/>
      <c r="F387" s="86"/>
      <c r="G387" s="86"/>
      <c r="H387" s="86"/>
    </row>
    <row r="388" customFormat="false" ht="15" hidden="false" customHeight="true" outlineLevel="0" collapsed="false">
      <c r="A388" s="86"/>
      <c r="B388" s="86"/>
      <c r="C388" s="86"/>
      <c r="D388" s="86"/>
      <c r="E388" s="79"/>
      <c r="F388" s="86"/>
      <c r="G388" s="86"/>
      <c r="H388" s="86"/>
    </row>
    <row r="389" customFormat="false" ht="15" hidden="false" customHeight="true" outlineLevel="0" collapsed="false">
      <c r="A389" s="86"/>
      <c r="B389" s="86"/>
      <c r="C389" s="86"/>
      <c r="D389" s="86"/>
      <c r="E389" s="79"/>
      <c r="F389" s="86"/>
      <c r="G389" s="86"/>
      <c r="H389" s="86"/>
    </row>
    <row r="390" customFormat="false" ht="15" hidden="false" customHeight="true" outlineLevel="0" collapsed="false">
      <c r="A390" s="86"/>
      <c r="B390" s="86"/>
      <c r="C390" s="86"/>
      <c r="D390" s="86"/>
      <c r="E390" s="79"/>
      <c r="F390" s="86"/>
      <c r="G390" s="86"/>
      <c r="H390" s="86"/>
    </row>
    <row r="391" customFormat="false" ht="15" hidden="false" customHeight="true" outlineLevel="0" collapsed="false">
      <c r="A391" s="86"/>
      <c r="B391" s="86"/>
      <c r="C391" s="86"/>
      <c r="D391" s="86"/>
      <c r="E391" s="79"/>
      <c r="F391" s="86"/>
      <c r="G391" s="86"/>
      <c r="H391" s="86"/>
    </row>
    <row r="392" customFormat="false" ht="15" hidden="false" customHeight="true" outlineLevel="0" collapsed="false">
      <c r="A392" s="86"/>
      <c r="B392" s="86"/>
      <c r="C392" s="86"/>
      <c r="D392" s="86"/>
      <c r="E392" s="79"/>
      <c r="F392" s="86"/>
      <c r="G392" s="86"/>
      <c r="H392" s="86"/>
    </row>
    <row r="393" customFormat="false" ht="15" hidden="false" customHeight="true" outlineLevel="0" collapsed="false">
      <c r="A393" s="86"/>
      <c r="B393" s="86"/>
      <c r="C393" s="86"/>
      <c r="D393" s="86"/>
      <c r="E393" s="79"/>
      <c r="F393" s="86"/>
      <c r="G393" s="86"/>
      <c r="H393" s="86"/>
    </row>
    <row r="394" customFormat="false" ht="15" hidden="false" customHeight="true" outlineLevel="0" collapsed="false">
      <c r="A394" s="86"/>
      <c r="B394" s="86"/>
      <c r="C394" s="86"/>
      <c r="D394" s="86"/>
      <c r="E394" s="79"/>
      <c r="F394" s="86"/>
      <c r="G394" s="86"/>
      <c r="H394" s="86"/>
    </row>
    <row r="395" customFormat="false" ht="15" hidden="false" customHeight="true" outlineLevel="0" collapsed="false">
      <c r="A395" s="86"/>
      <c r="B395" s="86"/>
      <c r="C395" s="86"/>
      <c r="D395" s="86"/>
      <c r="E395" s="79"/>
      <c r="F395" s="86"/>
      <c r="G395" s="86"/>
      <c r="H395" s="86"/>
    </row>
    <row r="396" customFormat="false" ht="15" hidden="false" customHeight="true" outlineLevel="0" collapsed="false">
      <c r="A396" s="86"/>
      <c r="B396" s="86"/>
      <c r="C396" s="86"/>
      <c r="D396" s="86"/>
      <c r="E396" s="79"/>
      <c r="F396" s="86"/>
      <c r="G396" s="86"/>
      <c r="H396" s="86"/>
    </row>
    <row r="397" customFormat="false" ht="15" hidden="false" customHeight="true" outlineLevel="0" collapsed="false">
      <c r="A397" s="86"/>
      <c r="B397" s="86"/>
      <c r="C397" s="86"/>
      <c r="D397" s="86"/>
      <c r="E397" s="79"/>
      <c r="F397" s="86"/>
      <c r="G397" s="86"/>
      <c r="H397" s="86"/>
    </row>
    <row r="398" customFormat="false" ht="15" hidden="false" customHeight="true" outlineLevel="0" collapsed="false">
      <c r="A398" s="86"/>
      <c r="B398" s="86"/>
      <c r="C398" s="86"/>
      <c r="D398" s="86"/>
      <c r="E398" s="79"/>
      <c r="F398" s="86"/>
      <c r="G398" s="86"/>
      <c r="H398" s="86"/>
    </row>
    <row r="399" customFormat="false" ht="15" hidden="false" customHeight="true" outlineLevel="0" collapsed="false">
      <c r="A399" s="86"/>
      <c r="B399" s="86"/>
      <c r="C399" s="86"/>
      <c r="D399" s="86"/>
      <c r="E399" s="79"/>
      <c r="F399" s="86"/>
      <c r="G399" s="86"/>
      <c r="H399" s="86"/>
    </row>
    <row r="400" customFormat="false" ht="15" hidden="false" customHeight="true" outlineLevel="0" collapsed="false">
      <c r="A400" s="86"/>
      <c r="B400" s="86"/>
      <c r="C400" s="86"/>
      <c r="D400" s="86"/>
      <c r="E400" s="79"/>
      <c r="F400" s="86"/>
      <c r="G400" s="86"/>
      <c r="H400" s="86"/>
    </row>
    <row r="401" customFormat="false" ht="15" hidden="false" customHeight="true" outlineLevel="0" collapsed="false">
      <c r="A401" s="86"/>
      <c r="B401" s="86"/>
      <c r="C401" s="86"/>
      <c r="D401" s="86"/>
      <c r="E401" s="79"/>
      <c r="F401" s="86"/>
      <c r="G401" s="86"/>
      <c r="H401" s="86"/>
    </row>
    <row r="402" customFormat="false" ht="15" hidden="false" customHeight="true" outlineLevel="0" collapsed="false">
      <c r="A402" s="86"/>
      <c r="B402" s="86"/>
      <c r="C402" s="86"/>
      <c r="D402" s="86"/>
      <c r="E402" s="79"/>
      <c r="F402" s="86"/>
      <c r="G402" s="86"/>
      <c r="H402" s="86"/>
    </row>
    <row r="403" customFormat="false" ht="15" hidden="false" customHeight="true" outlineLevel="0" collapsed="false">
      <c r="A403" s="86"/>
      <c r="B403" s="86"/>
      <c r="C403" s="86"/>
      <c r="D403" s="86"/>
      <c r="E403" s="79"/>
      <c r="F403" s="86"/>
      <c r="G403" s="86"/>
      <c r="H403" s="86"/>
    </row>
    <row r="406" customFormat="false" ht="19.5" hidden="false" customHeight="true" outlineLevel="0" collapsed="false">
      <c r="A406" s="55" t="s">
        <v>1882</v>
      </c>
      <c r="B406" s="55"/>
      <c r="C406" s="55"/>
      <c r="D406" s="55"/>
      <c r="E406" s="55"/>
      <c r="F406" s="55"/>
      <c r="G406" s="55"/>
      <c r="H406" s="55"/>
      <c r="I406" s="55"/>
      <c r="J406" s="55"/>
    </row>
    <row r="407" customFormat="false" ht="25.5" hidden="false" customHeight="true" outlineLevel="0" collapsed="false">
      <c r="A407" s="59" t="s">
        <v>1797</v>
      </c>
      <c r="B407" s="59" t="s">
        <v>1883</v>
      </c>
      <c r="C407" s="59" t="s">
        <v>1884</v>
      </c>
      <c r="D407" s="59" t="s">
        <v>1885</v>
      </c>
      <c r="E407" s="59" t="s">
        <v>1886</v>
      </c>
      <c r="F407" s="59" t="s">
        <v>1548</v>
      </c>
      <c r="G407" s="59" t="s">
        <v>1881</v>
      </c>
      <c r="H407" s="59" t="s">
        <v>1887</v>
      </c>
      <c r="I407" s="59" t="s">
        <v>1335</v>
      </c>
      <c r="J407" s="59" t="s">
        <v>54</v>
      </c>
    </row>
    <row r="408" customFormat="false" ht="15" hidden="false" customHeight="true" outlineLevel="0" collapsed="false">
      <c r="A408" s="86"/>
      <c r="B408" s="79"/>
      <c r="C408" s="86"/>
      <c r="D408" s="86"/>
      <c r="E408" s="86"/>
      <c r="F408" s="86"/>
      <c r="G408" s="86"/>
      <c r="H408" s="79"/>
      <c r="I408" s="86"/>
      <c r="J408" s="86"/>
    </row>
    <row r="409" customFormat="false" ht="15" hidden="false" customHeight="true" outlineLevel="0" collapsed="false">
      <c r="A409" s="86"/>
      <c r="B409" s="79"/>
      <c r="C409" s="86"/>
      <c r="D409" s="86"/>
      <c r="E409" s="86"/>
      <c r="F409" s="86"/>
      <c r="G409" s="86"/>
      <c r="H409" s="79"/>
      <c r="I409" s="86"/>
      <c r="J409" s="86"/>
    </row>
    <row r="410" customFormat="false" ht="15" hidden="false" customHeight="true" outlineLevel="0" collapsed="false">
      <c r="A410" s="86"/>
      <c r="B410" s="79"/>
      <c r="C410" s="86"/>
      <c r="D410" s="86"/>
      <c r="E410" s="86"/>
      <c r="F410" s="86"/>
      <c r="G410" s="86"/>
      <c r="H410" s="79"/>
      <c r="I410" s="86"/>
      <c r="J410" s="86"/>
    </row>
    <row r="411" customFormat="false" ht="15" hidden="false" customHeight="true" outlineLevel="0" collapsed="false">
      <c r="A411" s="86"/>
      <c r="B411" s="79"/>
      <c r="C411" s="86"/>
      <c r="D411" s="86"/>
      <c r="E411" s="86"/>
      <c r="F411" s="86"/>
      <c r="G411" s="86"/>
      <c r="H411" s="79"/>
      <c r="I411" s="86"/>
      <c r="J411" s="86"/>
    </row>
    <row r="412" customFormat="false" ht="15" hidden="false" customHeight="true" outlineLevel="0" collapsed="false">
      <c r="A412" s="86"/>
      <c r="B412" s="79"/>
      <c r="C412" s="86"/>
      <c r="D412" s="86"/>
      <c r="E412" s="86"/>
      <c r="F412" s="86"/>
      <c r="G412" s="86"/>
      <c r="H412" s="79"/>
      <c r="I412" s="86"/>
      <c r="J412" s="86"/>
    </row>
    <row r="413" customFormat="false" ht="15" hidden="false" customHeight="true" outlineLevel="0" collapsed="false">
      <c r="A413" s="86"/>
      <c r="B413" s="79"/>
      <c r="C413" s="86"/>
      <c r="D413" s="86"/>
      <c r="E413" s="86"/>
      <c r="F413" s="86"/>
      <c r="G413" s="86"/>
      <c r="H413" s="79"/>
      <c r="I413" s="86"/>
      <c r="J413" s="86"/>
    </row>
    <row r="414" customFormat="false" ht="15" hidden="false" customHeight="true" outlineLevel="0" collapsed="false">
      <c r="A414" s="86"/>
      <c r="B414" s="79"/>
      <c r="C414" s="86"/>
      <c r="D414" s="86"/>
      <c r="E414" s="86"/>
      <c r="F414" s="86"/>
      <c r="G414" s="86"/>
      <c r="H414" s="79"/>
      <c r="I414" s="86"/>
      <c r="J414" s="86"/>
    </row>
    <row r="415" customFormat="false" ht="15" hidden="false" customHeight="true" outlineLevel="0" collapsed="false">
      <c r="A415" s="86"/>
      <c r="B415" s="79"/>
      <c r="C415" s="86"/>
      <c r="D415" s="86"/>
      <c r="E415" s="86"/>
      <c r="F415" s="86"/>
      <c r="G415" s="86"/>
      <c r="H415" s="79"/>
      <c r="I415" s="86"/>
      <c r="J415" s="86"/>
    </row>
    <row r="416" customFormat="false" ht="15" hidden="false" customHeight="true" outlineLevel="0" collapsed="false">
      <c r="A416" s="86"/>
      <c r="B416" s="79"/>
      <c r="C416" s="86"/>
      <c r="D416" s="86"/>
      <c r="E416" s="86"/>
      <c r="F416" s="86"/>
      <c r="G416" s="86"/>
      <c r="H416" s="79"/>
      <c r="I416" s="86"/>
      <c r="J416" s="86"/>
    </row>
    <row r="417" customFormat="false" ht="15" hidden="false" customHeight="true" outlineLevel="0" collapsed="false">
      <c r="A417" s="86"/>
      <c r="B417" s="79"/>
      <c r="C417" s="86"/>
      <c r="D417" s="86"/>
      <c r="E417" s="86"/>
      <c r="F417" s="86"/>
      <c r="G417" s="86"/>
      <c r="H417" s="79"/>
      <c r="I417" s="86"/>
      <c r="J417" s="86"/>
    </row>
    <row r="418" customFormat="false" ht="15" hidden="false" customHeight="true" outlineLevel="0" collapsed="false">
      <c r="A418" s="86"/>
      <c r="B418" s="79"/>
      <c r="C418" s="86"/>
      <c r="D418" s="86"/>
      <c r="E418" s="86"/>
      <c r="F418" s="86"/>
      <c r="G418" s="86"/>
      <c r="H418" s="79"/>
      <c r="I418" s="86"/>
      <c r="J418" s="86"/>
    </row>
    <row r="419" customFormat="false" ht="15" hidden="false" customHeight="true" outlineLevel="0" collapsed="false">
      <c r="A419" s="86"/>
      <c r="B419" s="79"/>
      <c r="C419" s="86"/>
      <c r="D419" s="86"/>
      <c r="E419" s="86"/>
      <c r="F419" s="86"/>
      <c r="G419" s="86"/>
      <c r="H419" s="79"/>
      <c r="I419" s="86"/>
      <c r="J419" s="86"/>
    </row>
    <row r="420" customFormat="false" ht="15" hidden="false" customHeight="true" outlineLevel="0" collapsed="false">
      <c r="A420" s="86"/>
      <c r="B420" s="79"/>
      <c r="C420" s="86"/>
      <c r="D420" s="86"/>
      <c r="E420" s="86"/>
      <c r="F420" s="86"/>
      <c r="G420" s="86"/>
      <c r="H420" s="79"/>
      <c r="I420" s="86"/>
      <c r="J420" s="86"/>
    </row>
    <row r="421" customFormat="false" ht="15" hidden="false" customHeight="true" outlineLevel="0" collapsed="false">
      <c r="A421" s="86"/>
      <c r="B421" s="79"/>
      <c r="C421" s="86"/>
      <c r="D421" s="86"/>
      <c r="E421" s="86"/>
      <c r="F421" s="86"/>
      <c r="G421" s="86"/>
      <c r="H421" s="79"/>
      <c r="I421" s="86"/>
      <c r="J421" s="86"/>
    </row>
    <row r="422" customFormat="false" ht="15" hidden="false" customHeight="true" outlineLevel="0" collapsed="false">
      <c r="A422" s="86"/>
      <c r="B422" s="79"/>
      <c r="C422" s="86"/>
      <c r="D422" s="86"/>
      <c r="E422" s="86"/>
      <c r="F422" s="86"/>
      <c r="G422" s="86"/>
      <c r="H422" s="79"/>
      <c r="I422" s="86"/>
      <c r="J422" s="86"/>
    </row>
    <row r="423" customFormat="false" ht="15" hidden="false" customHeight="true" outlineLevel="0" collapsed="false">
      <c r="A423" s="86"/>
      <c r="B423" s="79"/>
      <c r="C423" s="86"/>
      <c r="D423" s="86"/>
      <c r="E423" s="86"/>
      <c r="F423" s="86"/>
      <c r="G423" s="86"/>
      <c r="H423" s="79"/>
      <c r="I423" s="86"/>
      <c r="J423" s="86"/>
    </row>
    <row r="424" customFormat="false" ht="15" hidden="false" customHeight="true" outlineLevel="0" collapsed="false">
      <c r="A424" s="86"/>
      <c r="B424" s="79"/>
      <c r="C424" s="86"/>
      <c r="D424" s="86"/>
      <c r="E424" s="86"/>
      <c r="F424" s="86"/>
      <c r="G424" s="86"/>
      <c r="H424" s="79"/>
      <c r="I424" s="86"/>
      <c r="J424" s="86"/>
    </row>
    <row r="425" customFormat="false" ht="15" hidden="false" customHeight="true" outlineLevel="0" collapsed="false">
      <c r="A425" s="86"/>
      <c r="B425" s="79"/>
      <c r="C425" s="86"/>
      <c r="D425" s="86"/>
      <c r="E425" s="86"/>
      <c r="F425" s="86"/>
      <c r="G425" s="86"/>
      <c r="H425" s="79"/>
      <c r="I425" s="86"/>
      <c r="J425" s="86"/>
    </row>
    <row r="426" customFormat="false" ht="15" hidden="false" customHeight="true" outlineLevel="0" collapsed="false">
      <c r="A426" s="86"/>
      <c r="B426" s="79"/>
      <c r="C426" s="86"/>
      <c r="D426" s="86"/>
      <c r="E426" s="86"/>
      <c r="F426" s="86"/>
      <c r="G426" s="86"/>
      <c r="H426" s="79"/>
      <c r="I426" s="86"/>
      <c r="J426" s="86"/>
    </row>
    <row r="427" customFormat="false" ht="15" hidden="false" customHeight="true" outlineLevel="0" collapsed="false">
      <c r="A427" s="86"/>
      <c r="B427" s="79"/>
      <c r="C427" s="86"/>
      <c r="D427" s="86"/>
      <c r="E427" s="86"/>
      <c r="F427" s="86"/>
      <c r="G427" s="86"/>
      <c r="H427" s="79"/>
      <c r="I427" s="86"/>
      <c r="J427" s="86"/>
    </row>
    <row r="428" customFormat="false" ht="15" hidden="false" customHeight="true" outlineLevel="0" collapsed="false">
      <c r="A428" s="86"/>
      <c r="B428" s="79"/>
      <c r="C428" s="86"/>
      <c r="D428" s="86"/>
      <c r="E428" s="86"/>
      <c r="F428" s="86"/>
      <c r="G428" s="86"/>
      <c r="H428" s="79"/>
      <c r="I428" s="86"/>
      <c r="J428" s="86"/>
    </row>
    <row r="429" customFormat="false" ht="15" hidden="false" customHeight="true" outlineLevel="0" collapsed="false">
      <c r="A429" s="86"/>
      <c r="B429" s="79"/>
      <c r="C429" s="86"/>
      <c r="D429" s="86"/>
      <c r="E429" s="86"/>
      <c r="F429" s="86"/>
      <c r="G429" s="86"/>
      <c r="H429" s="79"/>
      <c r="I429" s="86"/>
      <c r="J429" s="86"/>
    </row>
    <row r="430" customFormat="false" ht="15" hidden="false" customHeight="true" outlineLevel="0" collapsed="false">
      <c r="A430" s="86"/>
      <c r="B430" s="79"/>
      <c r="C430" s="86"/>
      <c r="D430" s="86"/>
      <c r="E430" s="86"/>
      <c r="F430" s="86"/>
      <c r="G430" s="86"/>
      <c r="H430" s="79"/>
      <c r="I430" s="86"/>
      <c r="J430" s="86"/>
    </row>
    <row r="431" customFormat="false" ht="15" hidden="false" customHeight="true" outlineLevel="0" collapsed="false">
      <c r="A431" s="86"/>
      <c r="B431" s="79"/>
      <c r="C431" s="86"/>
      <c r="D431" s="86"/>
      <c r="E431" s="86"/>
      <c r="F431" s="86"/>
      <c r="G431" s="86"/>
      <c r="H431" s="79"/>
      <c r="I431" s="86"/>
      <c r="J431" s="86"/>
    </row>
    <row r="432" customFormat="false" ht="15" hidden="false" customHeight="true" outlineLevel="0" collapsed="false">
      <c r="A432" s="86"/>
      <c r="B432" s="79"/>
      <c r="C432" s="86"/>
      <c r="D432" s="86"/>
      <c r="E432" s="86"/>
      <c r="F432" s="86"/>
      <c r="G432" s="86"/>
      <c r="H432" s="79"/>
      <c r="I432" s="86"/>
      <c r="J432" s="86"/>
    </row>
    <row r="433" customFormat="false" ht="15" hidden="false" customHeight="true" outlineLevel="0" collapsed="false">
      <c r="A433" s="86"/>
      <c r="B433" s="79"/>
      <c r="C433" s="86"/>
      <c r="D433" s="86"/>
      <c r="E433" s="86"/>
      <c r="F433" s="86"/>
      <c r="G433" s="86"/>
      <c r="H433" s="79"/>
      <c r="I433" s="86"/>
      <c r="J433" s="86"/>
    </row>
    <row r="434" customFormat="false" ht="15" hidden="false" customHeight="true" outlineLevel="0" collapsed="false">
      <c r="A434" s="86"/>
      <c r="B434" s="79"/>
      <c r="C434" s="86"/>
      <c r="D434" s="86"/>
      <c r="E434" s="86"/>
      <c r="F434" s="86"/>
      <c r="G434" s="86"/>
      <c r="H434" s="79"/>
      <c r="I434" s="86"/>
      <c r="J434" s="86"/>
    </row>
    <row r="435" customFormat="false" ht="15" hidden="false" customHeight="true" outlineLevel="0" collapsed="false">
      <c r="A435" s="86"/>
      <c r="B435" s="79"/>
      <c r="C435" s="86"/>
      <c r="D435" s="86"/>
      <c r="E435" s="86"/>
      <c r="F435" s="86"/>
      <c r="G435" s="86"/>
      <c r="H435" s="79"/>
      <c r="I435" s="86"/>
      <c r="J435" s="86"/>
    </row>
    <row r="436" customFormat="false" ht="15" hidden="false" customHeight="true" outlineLevel="0" collapsed="false">
      <c r="A436" s="86"/>
      <c r="B436" s="79"/>
      <c r="C436" s="86"/>
      <c r="D436" s="86"/>
      <c r="E436" s="86"/>
      <c r="F436" s="86"/>
      <c r="G436" s="86"/>
      <c r="H436" s="79"/>
      <c r="I436" s="86"/>
      <c r="J436" s="86"/>
    </row>
    <row r="437" customFormat="false" ht="15" hidden="false" customHeight="true" outlineLevel="0" collapsed="false">
      <c r="A437" s="86"/>
      <c r="B437" s="79"/>
      <c r="C437" s="86"/>
      <c r="D437" s="86"/>
      <c r="E437" s="86"/>
      <c r="F437" s="86"/>
      <c r="G437" s="86"/>
      <c r="H437" s="79"/>
      <c r="I437" s="86"/>
      <c r="J437" s="86"/>
    </row>
  </sheetData>
  <mergeCells count="16">
    <mergeCell ref="A1:P1"/>
    <mergeCell ref="A2:R2"/>
    <mergeCell ref="A4:R4"/>
    <mergeCell ref="A6:R6"/>
    <mergeCell ref="A10:R10"/>
    <mergeCell ref="A54:BS54"/>
    <mergeCell ref="A118:B118"/>
    <mergeCell ref="A134:H134"/>
    <mergeCell ref="A168:H168"/>
    <mergeCell ref="A202:H202"/>
    <mergeCell ref="A236:F236"/>
    <mergeCell ref="A270:G270"/>
    <mergeCell ref="A304:J304"/>
    <mergeCell ref="A338:H338"/>
    <mergeCell ref="A372:H372"/>
    <mergeCell ref="A406:J406"/>
  </mergeCells>
  <conditionalFormatting sqref="AW56:AW115">
    <cfRule type="cellIs" priority="2" operator="equal" aboveAverage="0" equalAverage="0" bottom="0" percent="0" rank="0" text="" dxfId="23">
      <formula>"OUI"</formula>
    </cfRule>
  </conditionalFormatting>
  <conditionalFormatting sqref="BB56:BB115">
    <cfRule type="cellIs" priority="3" operator="equal" aboveAverage="0" equalAverage="0" bottom="0" percent="0" rank="0" text="" dxfId="23">
      <formula>"OUI"</formula>
    </cfRule>
  </conditionalFormatting>
  <conditionalFormatting sqref="BR56:BR115">
    <cfRule type="cellIs" priority="4" operator="equal" aboveAverage="0" equalAverage="0" bottom="0" percent="0" rank="0" text="" dxfId="23">
      <formula>"OUI"</formula>
    </cfRule>
  </conditionalFormatting>
  <conditionalFormatting sqref="H204:H233">
    <cfRule type="cellIs" priority="5" operator="lessThanOrEqual" aboveAverage="0" equalAverage="0" bottom="0" percent="0" rank="0" text="" dxfId="23">
      <formula>60</formula>
    </cfRule>
  </conditionalFormatting>
  <dataValidations count="37">
    <dataValidation allowBlank="true" errorStyle="stop" operator="between" showDropDown="false" showErrorMessage="false" showInputMessage="false" sqref="F56:F115" type="list">
      <formula1>Liste_TypesPartenaires</formula1>
      <formula2>0</formula2>
    </dataValidation>
    <dataValidation allowBlank="true" errorStyle="stop" operator="between" showDropDown="false" showErrorMessage="false" showInputMessage="false" sqref="G56:G115" type="list">
      <formula1>"Technique,Financier,Institutionnel,Operationnel,Logistique,Academique,Commercial,Communication,Formation,Recherche,Plaidoyer,Communautaire,Strategique,Autre"</formula1>
      <formula2>0</formula2>
    </dataValidation>
    <dataValidation allowBlank="true" errorStyle="stop" operator="between" showDropDown="false" showErrorMessage="false" showInputMessage="false" sqref="M56:M115" type="list">
      <formula1>Liste_ZonesGeo</formula1>
      <formula2>0</formula2>
    </dataValidation>
    <dataValidation allowBlank="true" errorStyle="stop" operator="between" showDropDown="false" showErrorMessage="false" showInputMessage="false" sqref="Y56:Y115" type="list">
      <formula1>Liste_Fonctions</formula1>
      <formula2>0</formula2>
    </dataValidation>
    <dataValidation allowBlank="true" errorStyle="stop" operator="between" showDropDown="false" showErrorMessage="false" showInputMessage="false" sqref="AD56:AD115" type="list">
      <formula1>"Actif,Inactif"</formula1>
      <formula2>0</formula2>
    </dataValidation>
    <dataValidation allowBlank="true" errorStyle="stop" operator="between" showDropDown="false" showErrorMessage="false" showInputMessage="false" sqref="AE56:AE115" type="list">
      <formula1>Liste_Domaines</formula1>
      <formula2>0</formula2>
    </dataValidation>
    <dataValidation allowBlank="true" errorStyle="stop" operator="between" showDropDown="false" showErrorMessage="false" showInputMessage="false" sqref="AF56:AF115" type="list">
      <formula1>Liste_Domaines</formula1>
      <formula2>0</formula2>
    </dataValidation>
    <dataValidation allowBlank="true" errorStyle="stop" operator="between" showDropDown="false" showErrorMessage="false" showInputMessage="false" sqref="AG56:AG115" type="list">
      <formula1>Liste_ZonesGeo</formula1>
      <formula2>0</formula2>
    </dataValidation>
    <dataValidation allowBlank="true" errorStyle="stop" operator="between" showDropDown="false" showErrorMessage="false" showInputMessage="false" sqref="AN56:AN115" type="list">
      <formula1>"Prospect,En discussion,Actif,En partenariat,Suspendu,Inactif,Termine,A renouveler,Autre"</formula1>
      <formula2>0</formula2>
    </dataValidation>
    <dataValidation allowBlank="true" errorStyle="stop" operator="between" showDropDown="false" showErrorMessage="false" showInputMessage="false" sqref="AO56:AO115" type="list">
      <formula1>"Local,Departemental,National,Regional,International"</formula1>
      <formula2>0</formula2>
    </dataValidation>
    <dataValidation allowBlank="true" errorStyle="stop" operator="between" showDropDown="false" showErrorMessage="false" showInputMessage="false" sqref="AS56:AS115" type="list">
      <formula1>"Financiere,Technique,Materielle,Humaine,Logistique,Institutionnelle,En nature,Autre"</formula1>
      <formula2>0</formula2>
    </dataValidation>
    <dataValidation allowBlank="true" errorStyle="stop" operator="between" showDropDown="false" showErrorMessage="false" showInputMessage="false" sqref="BH56:BH115" type="list">
      <formula1>Liste_Fonctions</formula1>
      <formula2>0</formula2>
    </dataValidation>
    <dataValidation allowBlank="true" errorStyle="stop" operator="between" showDropDown="false" showErrorMessage="false" showInputMessage="false" sqref="BP56:BP115" type="list">
      <formula1>"Oui,Non"</formula1>
      <formula2>0</formula2>
    </dataValidation>
    <dataValidation allowBlank="true" errorStyle="stop" operator="between" showDropDown="false" showErrorMessage="false" showInputMessage="false" sqref="A136:A165" type="list">
      <formula1>Liste_PartenairesID</formula1>
      <formula2>0</formula2>
    </dataValidation>
    <dataValidation allowBlank="true" errorStyle="stop" operator="between" showDropDown="false" showErrorMessage="false" showInputMessage="false" sqref="D136:D165" type="list">
      <formula1>Liste_Fonctions</formula1>
      <formula2>0</formula2>
    </dataValidation>
    <dataValidation allowBlank="true" errorStyle="stop" operator="between" showDropDown="false" showErrorMessage="false" showInputMessage="false" sqref="G136:G165" type="list">
      <formula1>"Oui,Non"</formula1>
      <formula2>0</formula2>
    </dataValidation>
    <dataValidation allowBlank="true" errorStyle="stop" operator="between" showDropDown="false" showErrorMessage="false" showInputMessage="false" sqref="H136:H165" type="list">
      <formula1>Liste_StatutsGeneraux</formula1>
      <formula2>0</formula2>
    </dataValidation>
    <dataValidation allowBlank="true" errorStyle="stop" operator="between" showDropDown="false" showErrorMessage="false" showInputMessage="false" sqref="A170:A199" type="list">
      <formula1>Liste_PartenairesID</formula1>
      <formula2>0</formula2>
    </dataValidation>
    <dataValidation allowBlank="true" errorStyle="stop" operator="between" showDropDown="false" showErrorMessage="false" showInputMessage="false" sqref="B170:B199" type="list">
      <formula1>Liste_ActivitesIDProjets</formula1>
      <formula2>0</formula2>
    </dataValidation>
    <dataValidation allowBlank="true" errorStyle="stop" operator="between" showDropDown="false" showErrorMessage="false" showInputMessage="false" sqref="H170:H199" type="list">
      <formula1>Liste_StatutsGeneraux</formula1>
      <formula2>0</formula2>
    </dataValidation>
    <dataValidation allowBlank="true" errorStyle="stop" operator="between" showDropDown="false" showErrorMessage="false" showInputMessage="false" sqref="A204:A233" type="list">
      <formula1>Liste_PartenairesID</formula1>
      <formula2>0</formula2>
    </dataValidation>
    <dataValidation allowBlank="true" errorStyle="stop" operator="between" showDropDown="false" showErrorMessage="false" showInputMessage="false" sqref="C204:C233" type="list">
      <formula1>"Convention de partenariat,MOU,Contrat,Accord-cadre,Convention de financement,Protocole,Lettre entente,Autre"</formula1>
      <formula2>0</formula2>
    </dataValidation>
    <dataValidation allowBlank="true" errorStyle="stop" operator="between" showDropDown="false" showErrorMessage="false" showInputMessage="false" sqref="G204:G233" type="list">
      <formula1>"Active,En negociation,Expiree,Resiliee,A renouveler,Annulee"</formula1>
      <formula2>0</formula2>
    </dataValidation>
    <dataValidation allowBlank="true" errorStyle="stop" operator="between" showDropDown="false" showErrorMessage="false" showInputMessage="false" sqref="A238:A267" type="list">
      <formula1>Liste_PartenairesID</formula1>
      <formula2>0</formula2>
    </dataValidation>
    <dataValidation allowBlank="true" errorStyle="stop" operator="between" showDropDown="false" showErrorMessage="false" showInputMessage="false" sqref="C238:C267" type="list">
      <formula1>Liste_TypesDocuments</formula1>
      <formula2>0</formula2>
    </dataValidation>
    <dataValidation allowBlank="true" errorStyle="stop" operator="between" showDropDown="false" showErrorMessage="false" showInputMessage="false" sqref="E238:E267" type="list">
      <formula1>Liste_StatutsDocuments</formula1>
      <formula2>0</formula2>
    </dataValidation>
    <dataValidation allowBlank="true" errorStyle="stop" operator="between" showDropDown="false" showErrorMessage="false" showInputMessage="false" sqref="A272:A301" type="list">
      <formula1>Liste_PartenairesID</formula1>
      <formula2>0</formula2>
    </dataValidation>
    <dataValidation allowBlank="true" errorStyle="stop" operator="between" showDropDown="false" showErrorMessage="false" showInputMessage="false" sqref="A306:A335" type="list">
      <formula1>Liste_PartenairesID</formula1>
      <formula2>0</formula2>
    </dataValidation>
    <dataValidation allowBlank="true" errorStyle="stop" operator="between" showDropDown="false" showErrorMessage="false" showInputMessage="false" sqref="C306:H335" type="whole">
      <formula1>1</formula1>
      <formula2>5</formula2>
    </dataValidation>
    <dataValidation allowBlank="true" errorStyle="stop" operator="between" showDropDown="false" showErrorMessage="false" showInputMessage="false" sqref="A340:A369" type="list">
      <formula1>Liste_PartenairesID</formula1>
      <formula2>0</formula2>
    </dataValidation>
    <dataValidation allowBlank="true" errorStyle="stop" operator="between" showDropDown="false" showErrorMessage="false" showInputMessage="false" sqref="C340:E369" type="list">
      <formula1>Liste_NiveauxRisque</formula1>
      <formula2>0</formula2>
    </dataValidation>
    <dataValidation allowBlank="true" errorStyle="stop" operator="between" showDropDown="false" showErrorMessage="false" showInputMessage="false" sqref="H340:H369" type="list">
      <formula1>Liste_StatutsRisques</formula1>
      <formula2>0</formula2>
    </dataValidation>
    <dataValidation allowBlank="true" errorStyle="stop" operator="between" showDropDown="false" showErrorMessage="false" showInputMessage="false" sqref="A374:A403" type="list">
      <formula1>Liste_PartenairesID</formula1>
      <formula2>0</formula2>
    </dataValidation>
    <dataValidation allowBlank="true" errorStyle="stop" operator="between" showDropDown="false" showErrorMessage="false" showInputMessage="false" sqref="C374:C403" type="list">
      <formula1>Liste_Domaines</formula1>
      <formula2>0</formula2>
    </dataValidation>
    <dataValidation allowBlank="true" errorStyle="stop" operator="between" showDropDown="false" showErrorMessage="false" showInputMessage="false" sqref="G374:G403" type="list">
      <formula1>Liste_StatutsGeneraux</formula1>
      <formula2>0</formula2>
    </dataValidation>
    <dataValidation allowBlank="true" errorStyle="stop" operator="between" showDropDown="false" showErrorMessage="false" showInputMessage="false" sqref="A408:A437" type="list">
      <formula1>Liste_PartenairesID</formula1>
      <formula2>0</formula2>
    </dataValidation>
    <dataValidation allowBlank="true" errorStyle="stop" operator="between" showDropDown="false" showErrorMessage="false" showInputMessage="false" sqref="J408:J437" type="list">
      <formula1>Liste_StatutsGeneraux</formula1>
      <formula2>0</formula2>
    </dataValidation>
  </dataValidations>
  <hyperlinks>
    <hyperlink ref="Q1" location="PROJETS!A1" display="-&gt; PROJETS"/>
    <hyperlink ref="R1" location="ACTIVITES!A1" display="-&gt; ACTIVITES"/>
    <hyperlink ref="S1" location="PARAMETRES!A1" display="-&gt; PARAMETR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6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U8" activeCellId="0" sqref="U8"/>
    </sheetView>
  </sheetViews>
  <sheetFormatPr defaultColWidth="8.71484375" defaultRowHeight="15" customHeight="true"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18"/>
    <col collapsed="false" customWidth="true" hidden="false" outlineLevel="0" max="4" min="4" style="1" width="12"/>
    <col collapsed="false" customWidth="true" hidden="false" outlineLevel="0" max="6" min="5" style="1" width="20"/>
    <col collapsed="false" customWidth="true" hidden="false" outlineLevel="0" max="8" min="7" style="1" width="14"/>
    <col collapsed="false" customWidth="true" hidden="false" outlineLevel="0" max="9" min="9" style="1" width="20"/>
    <col collapsed="false" customWidth="true" hidden="false" outlineLevel="0" max="10" min="10" style="1" width="22"/>
    <col collapsed="false" customWidth="true" hidden="false" outlineLevel="0" max="11" min="11" style="1" width="16"/>
    <col collapsed="false" customWidth="true" hidden="false" outlineLevel="0" max="12" min="12" style="1" width="22"/>
    <col collapsed="false" customWidth="true" hidden="false" outlineLevel="0" max="13" min="13" style="1" width="26"/>
    <col collapsed="false" customWidth="true" hidden="false" outlineLevel="0" max="14" min="14" style="1" width="18"/>
    <col collapsed="false" customWidth="true" hidden="false" outlineLevel="0" max="15" min="15" style="1" width="16"/>
    <col collapsed="false" customWidth="true" hidden="false" outlineLevel="0" max="16" min="16" style="1" width="20"/>
    <col collapsed="false" customWidth="true" hidden="false" outlineLevel="0" max="17" min="17" style="1" width="18"/>
    <col collapsed="false" customWidth="true" hidden="false" outlineLevel="0" max="18" min="18" style="1" width="22"/>
    <col collapsed="false" customWidth="true" hidden="false" outlineLevel="0" max="19" min="19" style="1" width="18"/>
    <col collapsed="false" customWidth="true" hidden="false" outlineLevel="0" max="21" min="20" style="1" width="16"/>
    <col collapsed="false" customWidth="true" hidden="false" outlineLevel="0" max="23" min="22" style="1" width="22"/>
    <col collapsed="false" customWidth="true" hidden="false" outlineLevel="0" max="24" min="24" style="1" width="18"/>
    <col collapsed="false" customWidth="true" hidden="false" outlineLevel="0" max="25" min="25" style="1" width="14"/>
    <col collapsed="false" customWidth="true" hidden="false" outlineLevel="0" max="27" min="26" style="1" width="16"/>
    <col collapsed="false" customWidth="true" hidden="false" outlineLevel="0" max="29" min="28" style="1" width="18"/>
    <col collapsed="false" customWidth="true" hidden="false" outlineLevel="0" max="30" min="30" style="1" width="20"/>
    <col collapsed="false" customWidth="true" hidden="false" outlineLevel="0" max="32" min="31" style="1" width="14"/>
    <col collapsed="false" customWidth="true" hidden="false" outlineLevel="0" max="33" min="33" style="1" width="18"/>
    <col collapsed="false" customWidth="true" hidden="false" outlineLevel="0" max="34" min="34" style="1" width="16"/>
    <col collapsed="false" customWidth="true" hidden="false" outlineLevel="0" max="35" min="35" style="1" width="12"/>
    <col collapsed="false" customWidth="true" hidden="false" outlineLevel="0" max="36" min="36" style="1" width="14"/>
    <col collapsed="false" customWidth="true" hidden="false" outlineLevel="0" max="37" min="37" style="1" width="12"/>
    <col collapsed="false" customWidth="true" hidden="false" outlineLevel="0" max="38" min="38" style="1" width="16"/>
    <col collapsed="false" customWidth="true" hidden="false" outlineLevel="0" max="41" min="39" style="1" width="20"/>
    <col collapsed="false" customWidth="true" hidden="false" outlineLevel="0" max="42" min="42" style="1" width="14"/>
    <col collapsed="false" customWidth="true" hidden="false" outlineLevel="0" max="43" min="43" style="1" width="16"/>
    <col collapsed="false" customWidth="true" hidden="false" outlineLevel="0" max="45" min="44" style="1" width="12"/>
    <col collapsed="false" customWidth="true" hidden="false" outlineLevel="0" max="46" min="46" style="1" width="16"/>
    <col collapsed="false" customWidth="true" hidden="false" outlineLevel="0" max="47" min="47" style="1" width="18"/>
    <col collapsed="false" customWidth="true" hidden="false" outlineLevel="0" max="49" min="48" style="1" width="14"/>
    <col collapsed="false" customWidth="true" hidden="false" outlineLevel="0" max="50" min="50" style="1" width="26"/>
  </cols>
  <sheetData>
    <row r="1" customFormat="false" ht="25.5" hidden="false" customHeight="true" outlineLevel="0" collapsed="false">
      <c r="A1" s="47" t="s">
        <v>1888</v>
      </c>
      <c r="B1" s="47"/>
      <c r="C1" s="47"/>
      <c r="D1" s="47"/>
      <c r="E1" s="47"/>
      <c r="F1" s="47"/>
      <c r="G1" s="47"/>
      <c r="H1" s="47"/>
      <c r="I1" s="47"/>
      <c r="J1" s="47"/>
      <c r="K1" s="47"/>
      <c r="L1" s="47"/>
      <c r="M1" s="47"/>
      <c r="N1" s="47"/>
      <c r="O1" s="47"/>
      <c r="P1" s="47"/>
      <c r="Q1" s="104" t="s">
        <v>1683</v>
      </c>
      <c r="R1" s="104" t="s">
        <v>1889</v>
      </c>
      <c r="S1" s="104" t="s">
        <v>1444</v>
      </c>
    </row>
    <row r="2" customFormat="false" ht="15.75" hidden="false" customHeight="true" outlineLevel="0" collapsed="false">
      <c r="A2" s="49" t="s">
        <v>1890</v>
      </c>
      <c r="B2" s="49"/>
      <c r="C2" s="49"/>
      <c r="D2" s="49"/>
      <c r="E2" s="49"/>
      <c r="F2" s="49"/>
      <c r="G2" s="49"/>
      <c r="H2" s="49"/>
      <c r="I2" s="49"/>
      <c r="J2" s="49"/>
      <c r="K2" s="49"/>
      <c r="L2" s="49"/>
      <c r="M2" s="49"/>
      <c r="N2" s="49"/>
      <c r="O2" s="49"/>
      <c r="P2" s="49"/>
      <c r="Q2" s="49"/>
      <c r="R2" s="49"/>
    </row>
    <row r="4" customFormat="false" ht="15" hidden="false" customHeight="true" outlineLevel="0" collapsed="false">
      <c r="A4" s="105" t="s">
        <v>1779</v>
      </c>
    </row>
    <row r="6" customFormat="false" ht="24" hidden="false" customHeight="true" outlineLevel="0" collapsed="false">
      <c r="A6" s="55" t="s">
        <v>1891</v>
      </c>
      <c r="B6" s="55"/>
      <c r="C6" s="55"/>
      <c r="D6" s="55"/>
      <c r="E6" s="55"/>
      <c r="F6" s="55"/>
      <c r="G6" s="55"/>
      <c r="H6" s="55"/>
      <c r="I6" s="55"/>
      <c r="J6" s="55"/>
      <c r="K6" s="55"/>
      <c r="L6" s="55"/>
      <c r="M6" s="55"/>
      <c r="N6" s="55"/>
      <c r="O6" s="55"/>
      <c r="P6" s="55"/>
      <c r="Q6" s="55"/>
      <c r="R6" s="55"/>
    </row>
    <row r="7" customFormat="false" ht="24" hidden="false" customHeight="true" outlineLevel="0" collapsed="false">
      <c r="A7" s="106" t="s">
        <v>1892</v>
      </c>
      <c r="B7" s="106" t="s">
        <v>1455</v>
      </c>
      <c r="C7" s="106" t="s">
        <v>1893</v>
      </c>
      <c r="D7" s="106" t="s">
        <v>1894</v>
      </c>
      <c r="E7" s="106" t="s">
        <v>1895</v>
      </c>
      <c r="F7" s="106" t="s">
        <v>1896</v>
      </c>
      <c r="G7" s="106" t="s">
        <v>1897</v>
      </c>
      <c r="H7" s="106" t="s">
        <v>1898</v>
      </c>
      <c r="I7" s="106" t="s">
        <v>1899</v>
      </c>
      <c r="J7" s="106" t="s">
        <v>1900</v>
      </c>
    </row>
    <row r="8" customFormat="false" ht="15" hidden="false" customHeight="true" outlineLevel="0" collapsed="false">
      <c r="A8" s="107" t="n">
        <f aca="false">COUNTIF(B56:B205,"&lt;&gt;")</f>
        <v>1</v>
      </c>
      <c r="B8" s="107" t="n">
        <f aca="false">COUNTIF(AB56:AB205,"Actif")+COUNTIF(AB56:AB205,"Financement obtenu")</f>
        <v>1</v>
      </c>
      <c r="C8" s="107" t="n">
        <f aca="false">COUNTIF(AB56:AB205,"Prospect")</f>
        <v>0</v>
      </c>
      <c r="D8" s="107" t="n">
        <f aca="false">COUNTIF(tbl_Donateurs_Opportunites[ID Donateur],"&lt;&gt;")</f>
        <v>0</v>
      </c>
      <c r="E8" s="107" t="n">
        <f aca="false">COUNTIF(tbl_Donateurs_Opportunites[Statut],"Ouverte")</f>
        <v>0</v>
      </c>
      <c r="F8" s="107" t="n">
        <f aca="false">COUNTIFS(tbl_Donateurs_Demandes[Statut],"&lt;&gt;A preparer",tbl_Donateurs_Demandes[Statut],"&lt;&gt;En preparation")</f>
        <v>60</v>
      </c>
      <c r="G8" s="107" t="n">
        <f aca="false">COUNTIF(tbl_Donateurs_Demandes[Statut],"Approuvee")+COUNTIF(tbl_Donateurs_Demandes[Statut],"Financement recu")</f>
        <v>0</v>
      </c>
      <c r="H8" s="108" t="n">
        <f aca="false">SUM(tbl_Donateurs_Demandes[Montant demande])</f>
        <v>0</v>
      </c>
      <c r="I8" s="108" t="n">
        <f aca="false">SUM(tbl_Donateurs_Demandes[Montant accorde])</f>
        <v>0</v>
      </c>
      <c r="J8" s="109" t="n">
        <f aca="false">IFERROR(G8/F8,"")</f>
        <v>0</v>
      </c>
    </row>
    <row r="10" customFormat="false" ht="24" hidden="false" customHeight="true" outlineLevel="0" collapsed="false">
      <c r="A10" s="55" t="s">
        <v>1566</v>
      </c>
      <c r="B10" s="55"/>
      <c r="C10" s="55"/>
      <c r="D10" s="55"/>
      <c r="E10" s="55"/>
      <c r="F10" s="55"/>
      <c r="G10" s="55"/>
      <c r="H10" s="55"/>
      <c r="I10" s="55"/>
      <c r="J10" s="55"/>
      <c r="K10" s="55"/>
      <c r="L10" s="55"/>
      <c r="M10" s="55"/>
      <c r="N10" s="55"/>
      <c r="O10" s="55"/>
      <c r="P10" s="55"/>
      <c r="Q10" s="55"/>
      <c r="R10" s="55"/>
    </row>
    <row r="11" customFormat="false" ht="24" hidden="false" customHeight="true" outlineLevel="0" collapsed="false">
      <c r="A11" s="110" t="s">
        <v>1901</v>
      </c>
      <c r="B11" s="110" t="s">
        <v>1902</v>
      </c>
      <c r="D11" s="110" t="s">
        <v>1903</v>
      </c>
      <c r="E11" s="110" t="s">
        <v>1902</v>
      </c>
      <c r="G11" s="110" t="s">
        <v>1904</v>
      </c>
      <c r="H11" s="110" t="s">
        <v>1902</v>
      </c>
    </row>
    <row r="12" customFormat="false" ht="15" hidden="false" customHeight="true" outlineLevel="0" collapsed="false">
      <c r="A12" s="111" t="s">
        <v>1792</v>
      </c>
      <c r="B12" s="107" t="n">
        <f aca="false">COUNTIF(tbl_Donateurs[Statut du donateur],A12)</f>
        <v>0</v>
      </c>
      <c r="D12" s="111" t="s">
        <v>494</v>
      </c>
      <c r="E12" s="107" t="n">
        <f aca="false">COUNTIF(tbl_Donateurs[Type de donateur],D12)</f>
        <v>0</v>
      </c>
      <c r="G12" s="111" t="s">
        <v>146</v>
      </c>
      <c r="H12" s="107" t="n">
        <f aca="false">COUNTIF(tbl_Donateurs[Domaine finance principal],G12)</f>
        <v>0</v>
      </c>
    </row>
    <row r="13" customFormat="false" ht="15" hidden="false" customHeight="true" outlineLevel="0" collapsed="false">
      <c r="A13" s="111" t="s">
        <v>1905</v>
      </c>
      <c r="B13" s="107" t="n">
        <f aca="false">COUNTIF(tbl_Donateurs[Statut du donateur],A13)</f>
        <v>0</v>
      </c>
      <c r="D13" s="111" t="s">
        <v>496</v>
      </c>
      <c r="E13" s="107" t="n">
        <f aca="false">COUNTIF(tbl_Donateurs[Type de donateur],D13)</f>
        <v>0</v>
      </c>
      <c r="G13" s="111" t="s">
        <v>150</v>
      </c>
      <c r="H13" s="107" t="n">
        <f aca="false">COUNTIF(tbl_Donateurs[Domaine finance principal],G13)</f>
        <v>0</v>
      </c>
    </row>
    <row r="14" customFormat="false" ht="15" hidden="false" customHeight="true" outlineLevel="0" collapsed="false">
      <c r="A14" s="111" t="s">
        <v>1793</v>
      </c>
      <c r="B14" s="107" t="n">
        <f aca="false">COUNTIF(tbl_Donateurs[Statut du donateur],A14)</f>
        <v>0</v>
      </c>
      <c r="D14" s="111" t="s">
        <v>498</v>
      </c>
      <c r="E14" s="107" t="n">
        <f aca="false">COUNTIF(tbl_Donateurs[Type de donateur],D14)</f>
        <v>0</v>
      </c>
      <c r="G14" s="111" t="s">
        <v>153</v>
      </c>
      <c r="H14" s="107" t="n">
        <f aca="false">COUNTIF(tbl_Donateurs[Domaine finance principal],G14)</f>
        <v>0</v>
      </c>
    </row>
    <row r="15" customFormat="false" ht="15" hidden="false" customHeight="true" outlineLevel="0" collapsed="false">
      <c r="A15" s="111" t="s">
        <v>56</v>
      </c>
      <c r="B15" s="107" t="n">
        <f aca="false">COUNTIF(tbl_Donateurs[Statut du donateur],A15)</f>
        <v>0</v>
      </c>
      <c r="D15" s="111" t="s">
        <v>500</v>
      </c>
      <c r="E15" s="107" t="n">
        <f aca="false">COUNTIF(tbl_Donateurs[Type de donateur],D15)</f>
        <v>0</v>
      </c>
      <c r="G15" s="111" t="s">
        <v>156</v>
      </c>
      <c r="H15" s="107" t="n">
        <f aca="false">COUNTIF(tbl_Donateurs[Domaine finance principal],G15)</f>
        <v>0</v>
      </c>
    </row>
    <row r="16" customFormat="false" ht="15" hidden="false" customHeight="true" outlineLevel="0" collapsed="false">
      <c r="A16" s="111" t="s">
        <v>1906</v>
      </c>
      <c r="B16" s="107" t="n">
        <f aca="false">COUNTIF(tbl_Donateurs[Statut du donateur],A16)</f>
        <v>1</v>
      </c>
      <c r="D16" s="111" t="s">
        <v>469</v>
      </c>
      <c r="E16" s="107" t="n">
        <f aca="false">COUNTIF(tbl_Donateurs[Type de donateur],D16)</f>
        <v>0</v>
      </c>
      <c r="G16" s="111" t="s">
        <v>159</v>
      </c>
      <c r="H16" s="107" t="n">
        <f aca="false">COUNTIF(tbl_Donateurs[Domaine finance principal],G16)</f>
        <v>0</v>
      </c>
    </row>
    <row r="17" customFormat="false" ht="15" hidden="false" customHeight="true" outlineLevel="0" collapsed="false">
      <c r="A17" s="111" t="s">
        <v>1907</v>
      </c>
      <c r="B17" s="107" t="n">
        <f aca="false">COUNTIF(tbl_Donateurs[Statut du donateur],A17)</f>
        <v>0</v>
      </c>
      <c r="D17" s="111" t="s">
        <v>478</v>
      </c>
      <c r="E17" s="107" t="n">
        <f aca="false">COUNTIF(tbl_Donateurs[Type de donateur],D17)</f>
        <v>0</v>
      </c>
      <c r="G17" s="111" t="s">
        <v>162</v>
      </c>
      <c r="H17" s="107" t="n">
        <f aca="false">COUNTIF(tbl_Donateurs[Domaine finance principal],G17)</f>
        <v>0</v>
      </c>
    </row>
    <row r="18" customFormat="false" ht="15" hidden="false" customHeight="true" outlineLevel="0" collapsed="false">
      <c r="A18" s="111" t="s">
        <v>1042</v>
      </c>
      <c r="B18" s="107" t="n">
        <f aca="false">COUNTIF(tbl_Donateurs[Statut du donateur],A18)</f>
        <v>0</v>
      </c>
      <c r="D18" s="111" t="s">
        <v>504</v>
      </c>
      <c r="E18" s="107" t="n">
        <f aca="false">COUNTIF(tbl_Donateurs[Type de donateur],D18)</f>
        <v>0</v>
      </c>
      <c r="G18" s="111" t="s">
        <v>165</v>
      </c>
      <c r="H18" s="107" t="n">
        <f aca="false">COUNTIF(tbl_Donateurs[Domaine finance principal],G18)</f>
        <v>0</v>
      </c>
    </row>
    <row r="19" customFormat="false" ht="15" hidden="false" customHeight="true" outlineLevel="0" collapsed="false">
      <c r="A19" s="111" t="s">
        <v>116</v>
      </c>
      <c r="B19" s="107" t="n">
        <f aca="false">COUNTIF(tbl_Donateurs[Statut du donateur],A19)</f>
        <v>0</v>
      </c>
      <c r="D19" s="111" t="s">
        <v>506</v>
      </c>
      <c r="E19" s="107" t="n">
        <f aca="false">COUNTIF(tbl_Donateurs[Type de donateur],D19)</f>
        <v>0</v>
      </c>
      <c r="G19" s="111" t="s">
        <v>168</v>
      </c>
      <c r="H19" s="107" t="n">
        <f aca="false">COUNTIF(tbl_Donateurs[Domaine finance principal],G19)</f>
        <v>0</v>
      </c>
    </row>
    <row r="20" customFormat="false" ht="15" hidden="false" customHeight="true" outlineLevel="0" collapsed="false">
      <c r="A20" s="111" t="s">
        <v>120</v>
      </c>
      <c r="B20" s="107" t="n">
        <f aca="false">COUNTIF(tbl_Donateurs[Statut du donateur],A20)</f>
        <v>0</v>
      </c>
      <c r="D20" s="111" t="s">
        <v>491</v>
      </c>
      <c r="E20" s="107" t="n">
        <f aca="false">COUNTIF(tbl_Donateurs[Type de donateur],D20)</f>
        <v>0</v>
      </c>
      <c r="G20" s="111" t="s">
        <v>171</v>
      </c>
      <c r="H20" s="107" t="n">
        <f aca="false">COUNTIF(tbl_Donateurs[Domaine finance principal],G20)</f>
        <v>0</v>
      </c>
    </row>
    <row r="21" customFormat="false" ht="15" hidden="false" customHeight="true" outlineLevel="0" collapsed="false">
      <c r="D21" s="111" t="s">
        <v>509</v>
      </c>
      <c r="E21" s="107" t="n">
        <f aca="false">COUNTIF(tbl_Donateurs[Type de donateur],D21)</f>
        <v>1</v>
      </c>
      <c r="G21" s="111" t="s">
        <v>174</v>
      </c>
      <c r="H21" s="107" t="n">
        <f aca="false">COUNTIF(tbl_Donateurs[Domaine finance principal],G21)</f>
        <v>0</v>
      </c>
    </row>
    <row r="22" customFormat="false" ht="15" hidden="false" customHeight="true" outlineLevel="0" collapsed="false">
      <c r="D22" s="111" t="s">
        <v>511</v>
      </c>
      <c r="E22" s="107" t="n">
        <f aca="false">COUNTIF(tbl_Donateurs[Type de donateur],D22)</f>
        <v>0</v>
      </c>
      <c r="G22" s="111" t="s">
        <v>178</v>
      </c>
      <c r="H22" s="107" t="n">
        <f aca="false">COUNTIF(tbl_Donateurs[Domaine finance principal],G22)</f>
        <v>0</v>
      </c>
    </row>
    <row r="23" customFormat="false" ht="15" hidden="false" customHeight="true" outlineLevel="0" collapsed="false">
      <c r="D23" s="111" t="s">
        <v>513</v>
      </c>
      <c r="E23" s="107" t="n">
        <f aca="false">COUNTIF(tbl_Donateurs[Type de donateur],D23)</f>
        <v>0</v>
      </c>
      <c r="G23" s="111" t="s">
        <v>181</v>
      </c>
      <c r="H23" s="107" t="n">
        <f aca="false">COUNTIF(tbl_Donateurs[Domaine finance principal],G23)</f>
        <v>0</v>
      </c>
    </row>
    <row r="24" customFormat="false" ht="15" hidden="false" customHeight="true" outlineLevel="0" collapsed="false">
      <c r="D24" s="111" t="s">
        <v>314</v>
      </c>
      <c r="E24" s="107" t="n">
        <f aca="false">COUNTIF(tbl_Donateurs[Type de donateur],D24)</f>
        <v>0</v>
      </c>
      <c r="G24" s="111" t="s">
        <v>184</v>
      </c>
      <c r="H24" s="107" t="n">
        <f aca="false">COUNTIF(tbl_Donateurs[Domaine finance principal],G24)</f>
        <v>0</v>
      </c>
    </row>
    <row r="25" customFormat="false" ht="15" hidden="false" customHeight="true" outlineLevel="0" collapsed="false">
      <c r="G25" s="111" t="s">
        <v>187</v>
      </c>
      <c r="H25" s="107" t="n">
        <f aca="false">COUNTIF(tbl_Donateurs[Domaine finance principal],G25)</f>
        <v>0</v>
      </c>
    </row>
    <row r="26" customFormat="false" ht="15" hidden="false" customHeight="true" outlineLevel="0" collapsed="false">
      <c r="G26" s="111" t="s">
        <v>190</v>
      </c>
      <c r="H26" s="107" t="n">
        <f aca="false">COUNTIF(tbl_Donateurs[Domaine finance principal],G26)</f>
        <v>0</v>
      </c>
    </row>
    <row r="27" customFormat="false" ht="15" hidden="false" customHeight="true" outlineLevel="0" collapsed="false">
      <c r="G27" s="111" t="s">
        <v>193</v>
      </c>
      <c r="H27" s="107" t="n">
        <f aca="false">COUNTIF(tbl_Donateurs[Domaine finance principal],G27)</f>
        <v>0</v>
      </c>
    </row>
    <row r="28" customFormat="false" ht="15" hidden="false" customHeight="true" outlineLevel="0" collapsed="false">
      <c r="G28" s="111" t="s">
        <v>196</v>
      </c>
      <c r="H28" s="107" t="n">
        <f aca="false">COUNTIF(tbl_Donateurs[Domaine finance principal],G28)</f>
        <v>0</v>
      </c>
    </row>
    <row r="29" customFormat="false" ht="15" hidden="false" customHeight="true" outlineLevel="0" collapsed="false">
      <c r="G29" s="111" t="s">
        <v>199</v>
      </c>
      <c r="H29" s="107" t="n">
        <f aca="false">COUNTIF(tbl_Donateurs[Domaine finance principal],G29)</f>
        <v>0</v>
      </c>
    </row>
    <row r="30" customFormat="false" ht="15" hidden="false" customHeight="true" outlineLevel="0" collapsed="false">
      <c r="G30" s="111" t="s">
        <v>202</v>
      </c>
      <c r="H30" s="107" t="n">
        <f aca="false">COUNTIF(tbl_Donateurs[Domaine finance principal],G30)</f>
        <v>0</v>
      </c>
    </row>
    <row r="31" customFormat="false" ht="15" hidden="false" customHeight="true" outlineLevel="0" collapsed="false">
      <c r="G31" s="111" t="s">
        <v>205</v>
      </c>
      <c r="H31" s="107" t="n">
        <f aca="false">COUNTIF(tbl_Donateurs[Domaine finance principal],G31)</f>
        <v>0</v>
      </c>
    </row>
    <row r="32" customFormat="false" ht="15" hidden="false" customHeight="true" outlineLevel="0" collapsed="false">
      <c r="G32" s="111" t="s">
        <v>208</v>
      </c>
      <c r="H32" s="107" t="n">
        <f aca="false">COUNTIF(tbl_Donateurs[Domaine finance principal],G32)</f>
        <v>0</v>
      </c>
    </row>
    <row r="33" customFormat="false" ht="15" hidden="false" customHeight="true" outlineLevel="0" collapsed="false">
      <c r="G33" s="111" t="s">
        <v>211</v>
      </c>
      <c r="H33" s="107" t="n">
        <f aca="false">COUNTIF(tbl_Donateurs[Domaine finance principal],G33)</f>
        <v>0</v>
      </c>
    </row>
    <row r="34" customFormat="false" ht="15" hidden="false" customHeight="true" outlineLevel="0" collapsed="false">
      <c r="G34" s="111" t="s">
        <v>214</v>
      </c>
      <c r="H34" s="107" t="n">
        <f aca="false">COUNTIF(tbl_Donateurs[Domaine finance principal],G34)</f>
        <v>0</v>
      </c>
    </row>
    <row r="35" customFormat="false" ht="15" hidden="false" customHeight="true" outlineLevel="0" collapsed="false">
      <c r="G35" s="111" t="s">
        <v>217</v>
      </c>
      <c r="H35" s="107" t="n">
        <f aca="false">COUNTIF(tbl_Donateurs[Domaine finance principal],G35)</f>
        <v>0</v>
      </c>
    </row>
    <row r="36" customFormat="false" ht="15" hidden="false" customHeight="true" outlineLevel="0" collapsed="false">
      <c r="G36" s="111" t="s">
        <v>220</v>
      </c>
      <c r="H36" s="107" t="n">
        <f aca="false">COUNTIF(tbl_Donateurs[Domaine finance principal],G36)</f>
        <v>0</v>
      </c>
    </row>
    <row r="37" customFormat="false" ht="15" hidden="false" customHeight="true" outlineLevel="0" collapsed="false">
      <c r="G37" s="111" t="s">
        <v>223</v>
      </c>
      <c r="H37" s="107" t="n">
        <f aca="false">COUNTIF(tbl_Donateurs[Domaine finance principal],G37)</f>
        <v>0</v>
      </c>
    </row>
    <row r="38" customFormat="false" ht="15" hidden="false" customHeight="true" outlineLevel="0" collapsed="false">
      <c r="G38" s="111" t="s">
        <v>226</v>
      </c>
      <c r="H38" s="107" t="n">
        <f aca="false">COUNTIF(tbl_Donateurs[Domaine finance principal],G38)</f>
        <v>0</v>
      </c>
    </row>
    <row r="39" customFormat="false" ht="15" hidden="false" customHeight="true" outlineLevel="0" collapsed="false">
      <c r="G39" s="111" t="s">
        <v>229</v>
      </c>
      <c r="H39" s="107" t="n">
        <f aca="false">COUNTIF(tbl_Donateurs[Domaine finance principal],G39)</f>
        <v>0</v>
      </c>
    </row>
    <row r="40" customFormat="false" ht="15" hidden="false" customHeight="true" outlineLevel="0" collapsed="false">
      <c r="G40" s="111" t="s">
        <v>232</v>
      </c>
      <c r="H40" s="107" t="n">
        <f aca="false">COUNTIF(tbl_Donateurs[Domaine finance principal],G40)</f>
        <v>0</v>
      </c>
    </row>
    <row r="41" customFormat="false" ht="15" hidden="false" customHeight="true" outlineLevel="0" collapsed="false">
      <c r="G41" s="111" t="s">
        <v>235</v>
      </c>
      <c r="H41" s="107" t="n">
        <f aca="false">COUNTIF(tbl_Donateurs[Domaine finance principal],G41)</f>
        <v>0</v>
      </c>
    </row>
    <row r="42" customFormat="false" ht="15" hidden="false" customHeight="true" outlineLevel="0" collapsed="false">
      <c r="G42" s="111" t="s">
        <v>238</v>
      </c>
      <c r="H42" s="107" t="n">
        <f aca="false">COUNTIF(tbl_Donateurs[Domaine finance principal],G42)</f>
        <v>0</v>
      </c>
    </row>
    <row r="43" customFormat="false" ht="15" hidden="false" customHeight="true" outlineLevel="0" collapsed="false">
      <c r="G43" s="111" t="s">
        <v>241</v>
      </c>
      <c r="H43" s="107" t="n">
        <f aca="false">COUNTIF(tbl_Donateurs[Domaine finance principal],G43)</f>
        <v>0</v>
      </c>
    </row>
    <row r="44" customFormat="false" ht="15" hidden="false" customHeight="true" outlineLevel="0" collapsed="false">
      <c r="G44" s="111" t="s">
        <v>244</v>
      </c>
      <c r="H44" s="107" t="n">
        <f aca="false">COUNTIF(tbl_Donateurs[Domaine finance principal],G44)</f>
        <v>0</v>
      </c>
    </row>
    <row r="45" customFormat="false" ht="15" hidden="false" customHeight="true" outlineLevel="0" collapsed="false">
      <c r="G45" s="111" t="s">
        <v>247</v>
      </c>
      <c r="H45" s="107" t="n">
        <f aca="false">COUNTIF(tbl_Donateurs[Domaine finance principal],G45)</f>
        <v>0</v>
      </c>
    </row>
    <row r="46" customFormat="false" ht="15" hidden="false" customHeight="true" outlineLevel="0" collapsed="false">
      <c r="G46" s="111" t="s">
        <v>250</v>
      </c>
      <c r="H46" s="107" t="n">
        <f aca="false">COUNTIF(tbl_Donateurs[Domaine finance principal],G46)</f>
        <v>0</v>
      </c>
    </row>
    <row r="47" customFormat="false" ht="15" hidden="false" customHeight="true" outlineLevel="0" collapsed="false">
      <c r="G47" s="111" t="s">
        <v>253</v>
      </c>
      <c r="H47" s="107" t="n">
        <f aca="false">COUNTIF(tbl_Donateurs[Domaine finance principal],G47)</f>
        <v>1</v>
      </c>
    </row>
    <row r="48" customFormat="false" ht="15" hidden="false" customHeight="true" outlineLevel="0" collapsed="false">
      <c r="G48" s="111" t="s">
        <v>256</v>
      </c>
      <c r="H48" s="107" t="n">
        <f aca="false">COUNTIF(tbl_Donateurs[Domaine finance principal],G48)</f>
        <v>0</v>
      </c>
    </row>
    <row r="49" customFormat="false" ht="15" hidden="false" customHeight="true" outlineLevel="0" collapsed="false">
      <c r="G49" s="111" t="s">
        <v>259</v>
      </c>
      <c r="H49" s="107" t="n">
        <f aca="false">COUNTIF(tbl_Donateurs[Domaine finance principal],G49)</f>
        <v>0</v>
      </c>
    </row>
    <row r="50" customFormat="false" ht="15" hidden="false" customHeight="true" outlineLevel="0" collapsed="false">
      <c r="G50" s="111" t="s">
        <v>262</v>
      </c>
      <c r="H50" s="107" t="n">
        <f aca="false">COUNTIF(tbl_Donateurs[Domaine finance principal],G50)</f>
        <v>0</v>
      </c>
    </row>
    <row r="51" customFormat="false" ht="15" hidden="false" customHeight="true" outlineLevel="0" collapsed="false">
      <c r="G51" s="111" t="s">
        <v>265</v>
      </c>
      <c r="H51" s="107" t="n">
        <f aca="false">COUNTIF(tbl_Donateurs[Domaine finance principal],G51)</f>
        <v>0</v>
      </c>
    </row>
    <row r="54" customFormat="false" ht="19.5" hidden="false" customHeight="true" outlineLevel="0" collapsed="false">
      <c r="A54" s="55" t="s">
        <v>1908</v>
      </c>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row>
    <row r="55" customFormat="false" ht="30" hidden="false" customHeight="true" outlineLevel="0" collapsed="false">
      <c r="A55" s="112" t="s">
        <v>1909</v>
      </c>
      <c r="B55" s="112" t="s">
        <v>1798</v>
      </c>
      <c r="C55" s="112" t="s">
        <v>1264</v>
      </c>
      <c r="D55" s="112" t="s">
        <v>1262</v>
      </c>
      <c r="E55" s="112" t="s">
        <v>1903</v>
      </c>
      <c r="F55" s="112" t="s">
        <v>1910</v>
      </c>
      <c r="G55" s="112" t="s">
        <v>874</v>
      </c>
      <c r="H55" s="112" t="s">
        <v>942</v>
      </c>
      <c r="I55" s="112" t="s">
        <v>1277</v>
      </c>
      <c r="J55" s="112" t="s">
        <v>1911</v>
      </c>
      <c r="K55" s="112" t="s">
        <v>1295</v>
      </c>
      <c r="L55" s="112" t="s">
        <v>1300</v>
      </c>
      <c r="M55" s="112" t="s">
        <v>143</v>
      </c>
      <c r="N55" s="112" t="s">
        <v>1808</v>
      </c>
      <c r="O55" s="112" t="s">
        <v>1809</v>
      </c>
      <c r="P55" s="112" t="s">
        <v>1810</v>
      </c>
      <c r="Q55" s="112" t="s">
        <v>1811</v>
      </c>
      <c r="R55" s="112" t="s">
        <v>1812</v>
      </c>
      <c r="S55" s="112" t="s">
        <v>1813</v>
      </c>
      <c r="T55" s="112" t="s">
        <v>1912</v>
      </c>
      <c r="U55" s="112" t="s">
        <v>1913</v>
      </c>
      <c r="V55" s="112" t="s">
        <v>1904</v>
      </c>
      <c r="W55" s="112" t="s">
        <v>1914</v>
      </c>
      <c r="X55" s="112" t="s">
        <v>1915</v>
      </c>
      <c r="Y55" s="112" t="s">
        <v>1916</v>
      </c>
      <c r="Z55" s="112" t="s">
        <v>1917</v>
      </c>
      <c r="AA55" s="112" t="s">
        <v>1918</v>
      </c>
      <c r="AB55" s="112" t="s">
        <v>1901</v>
      </c>
      <c r="AC55" s="112" t="s">
        <v>1919</v>
      </c>
      <c r="AD55" s="112" t="s">
        <v>1920</v>
      </c>
      <c r="AE55" s="112" t="s">
        <v>1921</v>
      </c>
      <c r="AF55" s="112" t="s">
        <v>1922</v>
      </c>
      <c r="AG55" s="112" t="s">
        <v>1923</v>
      </c>
      <c r="AH55" s="112" t="s">
        <v>1924</v>
      </c>
      <c r="AI55" s="112" t="s">
        <v>1894</v>
      </c>
      <c r="AJ55" s="112" t="s">
        <v>1895</v>
      </c>
      <c r="AK55" s="112" t="s">
        <v>1925</v>
      </c>
      <c r="AL55" s="112" t="s">
        <v>1926</v>
      </c>
      <c r="AM55" s="112" t="s">
        <v>1898</v>
      </c>
      <c r="AN55" s="112" t="s">
        <v>1927</v>
      </c>
      <c r="AO55" s="112" t="s">
        <v>1928</v>
      </c>
      <c r="AP55" s="112" t="s">
        <v>1900</v>
      </c>
      <c r="AQ55" s="112" t="s">
        <v>1838</v>
      </c>
      <c r="AR55" s="112" t="s">
        <v>1833</v>
      </c>
      <c r="AS55" s="112" t="s">
        <v>1831</v>
      </c>
      <c r="AT55" s="112" t="s">
        <v>1929</v>
      </c>
      <c r="AU55" s="112" t="s">
        <v>1930</v>
      </c>
      <c r="AV55" s="112" t="s">
        <v>1931</v>
      </c>
      <c r="AW55" s="112" t="s">
        <v>1849</v>
      </c>
      <c r="AX55" s="112" t="s">
        <v>1533</v>
      </c>
    </row>
    <row r="56" customFormat="false" ht="15" hidden="false" customHeight="true" outlineLevel="0" collapsed="false">
      <c r="A56" s="107" t="str">
        <f aca="false">IF(B56="","","DON"&amp;TEXT(ROW()-55,"00000"))</f>
        <v>DON00001</v>
      </c>
      <c r="B56" s="113" t="s">
        <v>1932</v>
      </c>
      <c r="C56" s="113" t="s">
        <v>1932</v>
      </c>
      <c r="D56" s="113" t="s">
        <v>1932</v>
      </c>
      <c r="E56" s="113" t="s">
        <v>509</v>
      </c>
      <c r="F56" s="113" t="s">
        <v>547</v>
      </c>
      <c r="G56" s="113" t="s">
        <v>885</v>
      </c>
      <c r="H56" s="113" t="s">
        <v>887</v>
      </c>
      <c r="I56" s="113"/>
      <c r="J56" s="113"/>
      <c r="K56" s="113"/>
      <c r="L56" s="113"/>
      <c r="M56" s="113"/>
      <c r="N56" s="113"/>
      <c r="O56" s="113"/>
      <c r="P56" s="113" t="s">
        <v>645</v>
      </c>
      <c r="Q56" s="113"/>
      <c r="R56" s="113"/>
      <c r="S56" s="113"/>
      <c r="T56" s="113"/>
      <c r="U56" s="113"/>
      <c r="V56" s="113" t="s">
        <v>253</v>
      </c>
      <c r="W56" s="113" t="s">
        <v>250</v>
      </c>
      <c r="X56" s="113" t="s">
        <v>893</v>
      </c>
      <c r="Y56" s="107" t="str">
        <f aca="false">IFERROR(INDEX(PARAMETRES!$B$536:$B$586,MATCH(X56,PARAMETRES!$J$536:$J$586,0)),"")</f>
        <v>Congo</v>
      </c>
      <c r="Z56" s="107" t="str">
        <f aca="false">IFERROR(INDEX(PARAMETRES!$D$536:$D$586,MATCH(X56,PARAMETRES!$J$536:$J$586,0)),"")</f>
        <v>Brazzaville</v>
      </c>
      <c r="AA56" s="107" t="str">
        <f aca="false">IFERROR(INDEX(PARAMETRES!$F$536:$F$586,MATCH(X56,PARAMETRES!$J$536:$J$586,0)),"")</f>
        <v>Brazzaville</v>
      </c>
      <c r="AB56" s="113" t="s">
        <v>1906</v>
      </c>
      <c r="AC56" s="114"/>
      <c r="AD56" s="113"/>
      <c r="AE56" s="114"/>
      <c r="AF56" s="114"/>
      <c r="AG56" s="113" t="s">
        <v>1933</v>
      </c>
      <c r="AH56" s="113"/>
      <c r="AI56" s="107" t="n">
        <f aca="false">IF(A56="",0,COUNTIF(tbl_Donateurs_Opportunites[ID Donateur],A56))</f>
        <v>0</v>
      </c>
      <c r="AJ56" s="107" t="n">
        <f aca="false">IF(A56="",0,COUNTIFS(tbl_Donateurs_Opportunites[ID Donateur],A56,tbl_Donateurs_Opportunites[Statut],"Ouverte"))</f>
        <v>0</v>
      </c>
      <c r="AK56" s="107" t="n">
        <f aca="false">IF(A56="",0,COUNTIF(tbl_Donateurs_Demandes[ID Donateur],A56))</f>
        <v>0</v>
      </c>
      <c r="AL56" s="107" t="n">
        <f aca="false">IF(A56="",0,COUNTIFS(tbl_Donateurs_Demandes[ID Donateur],A56,tbl_Donateurs_Demandes[Statut],"Approuvee")+COUNTIFS(tbl_Donateurs_Demandes[ID Donateur],A56,tbl_Donateurs_Demandes[Statut],"Financement recu"))</f>
        <v>0</v>
      </c>
      <c r="AM56" s="108" t="n">
        <f aca="false">IF(A56="",0,SUMIF(tbl_Donateurs_Demandes[ID Donateur],A56,tbl_Donateurs_Demandes[Montant demande]))</f>
        <v>0</v>
      </c>
      <c r="AN56" s="108" t="n">
        <f aca="false">IF(A56="",0,SUMIF(tbl_Donateurs_Demandes[ID Donateur],A56,tbl_Donateurs_Demandes[Montant accorde]))</f>
        <v>0</v>
      </c>
      <c r="AO56" s="108" t="n">
        <f aca="false">IF(A56="",0,SUMIF(tbl_Donateurs_Decaissements[ID Donateur],A56,tbl_Donateurs_Decaissements[Montant recu]))</f>
        <v>0</v>
      </c>
      <c r="AP56" s="109" t="str">
        <f aca="false">IFERROR(AL56/AK56,"")</f>
        <v/>
      </c>
      <c r="AQ56" s="107" t="n">
        <f aca="false">IF(A56="",0,COUNTIF(tbl_Donateurs_Contacts[ID Donateur],A56))</f>
        <v>0</v>
      </c>
      <c r="AR56" s="107" t="n">
        <f aca="false">IF(A56="",0,COUNTIF(tbl_Donateurs_Documents[ID Donateur],A56))</f>
        <v>0</v>
      </c>
      <c r="AS56" s="107" t="n">
        <f aca="false">IF(A56="",0,COUNTIF(tbl_Donateurs_Conventions[ID Donateur],A56))</f>
        <v>0</v>
      </c>
      <c r="AT56" s="115" t="n">
        <v>2500000</v>
      </c>
      <c r="AU56" s="108" t="n">
        <v>2000000</v>
      </c>
      <c r="AV56" s="107" t="str">
        <f aca="true">IF(A56="","",IF(OR(AB56="A relancer",AND(AF56&lt;&gt;"",AF56&lt;=TODAY())),"OUI","NON"))</f>
        <v>NON</v>
      </c>
      <c r="AW56" s="107" t="str">
        <f aca="false">IF(B56="","",IF(OR(COUNTIF($B$56:$B$205,B56)&gt;1,AND(D56&lt;&gt;"",COUNTIF($D$56:$D$205,D56)&gt;1),AND(K56&lt;&gt;"",COUNTIF($K$56:$K$205,K56)&gt;1),AND(L56&lt;&gt;"",COUNTIF($L$56:$L$205,L56)&gt;1)),"OUI","NON"))</f>
        <v>NON</v>
      </c>
      <c r="AX56" s="113"/>
    </row>
    <row r="57" customFormat="false" ht="15" hidden="false" customHeight="true" outlineLevel="0" collapsed="false">
      <c r="A57" s="107" t="str">
        <f aca="false">IF(B57="","","DON"&amp;TEXT(ROW()-55,"00000"))</f>
        <v/>
      </c>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07" t="str">
        <f aca="false">IFERROR(INDEX(PARAMETRES!$B$536:$B$586,MATCH(X57,PARAMETRES!$J$536:$J$586,0)),"")</f>
        <v/>
      </c>
      <c r="Z57" s="107" t="str">
        <f aca="false">IFERROR(INDEX(PARAMETRES!$D$536:$D$586,MATCH(X57,PARAMETRES!$J$536:$J$586,0)),"")</f>
        <v/>
      </c>
      <c r="AA57" s="107" t="str">
        <f aca="false">IFERROR(INDEX(PARAMETRES!$F$536:$F$586,MATCH(X57,PARAMETRES!$J$536:$J$586,0)),"")</f>
        <v/>
      </c>
      <c r="AB57" s="113"/>
      <c r="AC57" s="114"/>
      <c r="AD57" s="113"/>
      <c r="AE57" s="114"/>
      <c r="AF57" s="114"/>
      <c r="AG57" s="113"/>
      <c r="AH57" s="113"/>
      <c r="AI57" s="107" t="n">
        <f aca="false">IF(A57="",0,COUNTIF(tbl_Donateurs_Opportunites[ID Donateur],A57))</f>
        <v>0</v>
      </c>
      <c r="AJ57" s="107" t="n">
        <f aca="false">IF(A57="",0,COUNTIFS(tbl_Donateurs_Opportunites[ID Donateur],A57,tbl_Donateurs_Opportunites[Statut],"Ouverte"))</f>
        <v>0</v>
      </c>
      <c r="AK57" s="107" t="n">
        <f aca="false">IF(A57="",0,COUNTIF(tbl_Donateurs_Demandes[ID Donateur],A57))</f>
        <v>0</v>
      </c>
      <c r="AL57" s="107" t="n">
        <f aca="false">IF(A57="",0,COUNTIFS(tbl_Donateurs_Demandes[ID Donateur],A57,tbl_Donateurs_Demandes[Statut],"Approuvee")+COUNTIFS(tbl_Donateurs_Demandes[ID Donateur],A57,tbl_Donateurs_Demandes[Statut],"Financement recu"))</f>
        <v>0</v>
      </c>
      <c r="AM57" s="108" t="n">
        <f aca="false">IF(A57="",0,SUMIF(tbl_Donateurs_Demandes[ID Donateur],A57,tbl_Donateurs_Demandes[Montant demande]))</f>
        <v>0</v>
      </c>
      <c r="AN57" s="108" t="n">
        <f aca="false">IF(A57="",0,SUMIF(tbl_Donateurs_Demandes[ID Donateur],A57,tbl_Donateurs_Demandes[Montant accorde]))</f>
        <v>0</v>
      </c>
      <c r="AO57" s="108" t="n">
        <f aca="false">IF(A57="",0,SUMIF(tbl_Donateurs_Decaissements[ID Donateur],A57,tbl_Donateurs_Decaissements[Montant recu]))</f>
        <v>0</v>
      </c>
      <c r="AP57" s="109" t="str">
        <f aca="false">IFERROR(AL57/AK57,"")</f>
        <v/>
      </c>
      <c r="AQ57" s="107" t="n">
        <f aca="false">IF(A57="",0,COUNTIF(tbl_Donateurs_Contacts[ID Donateur],A57))</f>
        <v>0</v>
      </c>
      <c r="AR57" s="107" t="n">
        <f aca="false">IF(A57="",0,COUNTIF(tbl_Donateurs_Documents[ID Donateur],A57))</f>
        <v>0</v>
      </c>
      <c r="AS57" s="107" t="n">
        <f aca="false">IF(A57="",0,COUNTIF(tbl_Donateurs_Conventions[ID Donateur],A57))</f>
        <v>0</v>
      </c>
      <c r="AT57" s="115" t="n">
        <f aca="false">IFERROR(_xlfn.MAXIFS(tbl_Donateurs_Decaissements[Date recue],tbl_Donateurs_Decaissements[ID Donateur],A57),"")</f>
        <v>0</v>
      </c>
      <c r="AU57" s="108" t="str">
        <f aca="false">IFERROR(AN57/AL57,"")</f>
        <v/>
      </c>
      <c r="AV57" s="107" t="str">
        <f aca="true">IF(A57="","",IF(OR(AB57="A relancer",AND(AF57&lt;&gt;"",AF57&lt;=TODAY())),"OUI","NON"))</f>
        <v/>
      </c>
      <c r="AW57" s="107" t="str">
        <f aca="false">IF(B57="","",IF(OR(COUNTIF($B$56:$B$205,B57)&gt;1,AND(D57&lt;&gt;"",COUNTIF($D$56:$D$205,D57)&gt;1),AND(K57&lt;&gt;"",COUNTIF($K$56:$K$205,K57)&gt;1),AND(L57&lt;&gt;"",COUNTIF($L$56:$L$205,L57)&gt;1)),"OUI","NON"))</f>
        <v/>
      </c>
      <c r="AX57" s="113"/>
    </row>
    <row r="58" customFormat="false" ht="15" hidden="false" customHeight="true" outlineLevel="0" collapsed="false">
      <c r="A58" s="107" t="str">
        <f aca="false">IF(B58="","","DON"&amp;TEXT(ROW()-55,"00000"))</f>
        <v/>
      </c>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07" t="str">
        <f aca="false">IFERROR(INDEX(PARAMETRES!$B$536:$B$586,MATCH(X58,PARAMETRES!$J$536:$J$586,0)),"")</f>
        <v/>
      </c>
      <c r="Z58" s="107" t="str">
        <f aca="false">IFERROR(INDEX(PARAMETRES!$D$536:$D$586,MATCH(X58,PARAMETRES!$J$536:$J$586,0)),"")</f>
        <v/>
      </c>
      <c r="AA58" s="107" t="str">
        <f aca="false">IFERROR(INDEX(PARAMETRES!$F$536:$F$586,MATCH(X58,PARAMETRES!$J$536:$J$586,0)),"")</f>
        <v/>
      </c>
      <c r="AB58" s="113"/>
      <c r="AC58" s="114"/>
      <c r="AD58" s="113"/>
      <c r="AE58" s="114"/>
      <c r="AF58" s="114"/>
      <c r="AG58" s="113"/>
      <c r="AH58" s="113"/>
      <c r="AI58" s="107" t="n">
        <f aca="false">IF(A58="",0,COUNTIF(tbl_Donateurs_Opportunites[ID Donateur],A58))</f>
        <v>0</v>
      </c>
      <c r="AJ58" s="107" t="n">
        <f aca="false">IF(A58="",0,COUNTIFS(tbl_Donateurs_Opportunites[ID Donateur],A58,tbl_Donateurs_Opportunites[Statut],"Ouverte"))</f>
        <v>0</v>
      </c>
      <c r="AK58" s="107" t="n">
        <f aca="false">IF(A58="",0,COUNTIF(tbl_Donateurs_Demandes[ID Donateur],A58))</f>
        <v>0</v>
      </c>
      <c r="AL58" s="107" t="n">
        <f aca="false">IF(A58="",0,COUNTIFS(tbl_Donateurs_Demandes[ID Donateur],A58,tbl_Donateurs_Demandes[Statut],"Approuvee")+COUNTIFS(tbl_Donateurs_Demandes[ID Donateur],A58,tbl_Donateurs_Demandes[Statut],"Financement recu"))</f>
        <v>0</v>
      </c>
      <c r="AM58" s="108" t="n">
        <f aca="false">IF(A58="",0,SUMIF(tbl_Donateurs_Demandes[ID Donateur],A58,tbl_Donateurs_Demandes[Montant demande]))</f>
        <v>0</v>
      </c>
      <c r="AN58" s="108" t="n">
        <f aca="false">IF(A58="",0,SUMIF(tbl_Donateurs_Demandes[ID Donateur],A58,tbl_Donateurs_Demandes[Montant accorde]))</f>
        <v>0</v>
      </c>
      <c r="AO58" s="108" t="n">
        <f aca="false">IF(A58="",0,SUMIF(tbl_Donateurs_Decaissements[ID Donateur],A58,tbl_Donateurs_Decaissements[Montant recu]))</f>
        <v>0</v>
      </c>
      <c r="AP58" s="109" t="str">
        <f aca="false">IFERROR(AL58/AK58,"")</f>
        <v/>
      </c>
      <c r="AQ58" s="107" t="n">
        <f aca="false">IF(A58="",0,COUNTIF(tbl_Donateurs_Contacts[ID Donateur],A58))</f>
        <v>0</v>
      </c>
      <c r="AR58" s="107" t="n">
        <f aca="false">IF(A58="",0,COUNTIF(tbl_Donateurs_Documents[ID Donateur],A58))</f>
        <v>0</v>
      </c>
      <c r="AS58" s="107" t="n">
        <f aca="false">IF(A58="",0,COUNTIF(tbl_Donateurs_Conventions[ID Donateur],A58))</f>
        <v>0</v>
      </c>
      <c r="AT58" s="115" t="n">
        <f aca="false">IFERROR(_xlfn.MAXIFS(tbl_Donateurs_Decaissements[Date recue],tbl_Donateurs_Decaissements[ID Donateur],A58),"")</f>
        <v>0</v>
      </c>
      <c r="AU58" s="108" t="str">
        <f aca="false">IFERROR(AN58/AL58,"")</f>
        <v/>
      </c>
      <c r="AV58" s="107" t="str">
        <f aca="true">IF(A58="","",IF(OR(AB58="A relancer",AND(AF58&lt;&gt;"",AF58&lt;=TODAY())),"OUI","NON"))</f>
        <v/>
      </c>
      <c r="AW58" s="107" t="str">
        <f aca="false">IF(B58="","",IF(OR(COUNTIF($B$56:$B$205,B58)&gt;1,AND(D58&lt;&gt;"",COUNTIF($D$56:$D$205,D58)&gt;1),AND(K58&lt;&gt;"",COUNTIF($K$56:$K$205,K58)&gt;1),AND(L58&lt;&gt;"",COUNTIF($L$56:$L$205,L58)&gt;1)),"OUI","NON"))</f>
        <v/>
      </c>
      <c r="AX58" s="113"/>
    </row>
    <row r="59" customFormat="false" ht="15" hidden="false" customHeight="true" outlineLevel="0" collapsed="false">
      <c r="A59" s="107" t="str">
        <f aca="false">IF(B59="","","DON"&amp;TEXT(ROW()-55,"00000"))</f>
        <v/>
      </c>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07" t="str">
        <f aca="false">IFERROR(INDEX(PARAMETRES!$B$536:$B$586,MATCH(X59,PARAMETRES!$J$536:$J$586,0)),"")</f>
        <v/>
      </c>
      <c r="Z59" s="107" t="str">
        <f aca="false">IFERROR(INDEX(PARAMETRES!$D$536:$D$586,MATCH(X59,PARAMETRES!$J$536:$J$586,0)),"")</f>
        <v/>
      </c>
      <c r="AA59" s="107" t="str">
        <f aca="false">IFERROR(INDEX(PARAMETRES!$F$536:$F$586,MATCH(X59,PARAMETRES!$J$536:$J$586,0)),"")</f>
        <v/>
      </c>
      <c r="AB59" s="113"/>
      <c r="AC59" s="114"/>
      <c r="AD59" s="113"/>
      <c r="AE59" s="114"/>
      <c r="AF59" s="114"/>
      <c r="AG59" s="113"/>
      <c r="AH59" s="113"/>
      <c r="AI59" s="107" t="n">
        <f aca="false">IF(A59="",0,COUNTIF(tbl_Donateurs_Opportunites[ID Donateur],A59))</f>
        <v>0</v>
      </c>
      <c r="AJ59" s="107" t="n">
        <f aca="false">IF(A59="",0,COUNTIFS(tbl_Donateurs_Opportunites[ID Donateur],A59,tbl_Donateurs_Opportunites[Statut],"Ouverte"))</f>
        <v>0</v>
      </c>
      <c r="AK59" s="107" t="n">
        <f aca="false">IF(A59="",0,COUNTIF(tbl_Donateurs_Demandes[ID Donateur],A59))</f>
        <v>0</v>
      </c>
      <c r="AL59" s="107" t="n">
        <f aca="false">IF(A59="",0,COUNTIFS(tbl_Donateurs_Demandes[ID Donateur],A59,tbl_Donateurs_Demandes[Statut],"Approuvee")+COUNTIFS(tbl_Donateurs_Demandes[ID Donateur],A59,tbl_Donateurs_Demandes[Statut],"Financement recu"))</f>
        <v>0</v>
      </c>
      <c r="AM59" s="108" t="n">
        <f aca="false">IF(A59="",0,SUMIF(tbl_Donateurs_Demandes[ID Donateur],A59,tbl_Donateurs_Demandes[Montant demande]))</f>
        <v>0</v>
      </c>
      <c r="AN59" s="108" t="n">
        <f aca="false">IF(A59="",0,SUMIF(tbl_Donateurs_Demandes[ID Donateur],A59,tbl_Donateurs_Demandes[Montant accorde]))</f>
        <v>0</v>
      </c>
      <c r="AO59" s="108" t="n">
        <f aca="false">IF(A59="",0,SUMIF(tbl_Donateurs_Decaissements[ID Donateur],A59,tbl_Donateurs_Decaissements[Montant recu]))</f>
        <v>0</v>
      </c>
      <c r="AP59" s="109" t="str">
        <f aca="false">IFERROR(AL59/AK59,"")</f>
        <v/>
      </c>
      <c r="AQ59" s="107" t="n">
        <f aca="false">IF(A59="",0,COUNTIF(tbl_Donateurs_Contacts[ID Donateur],A59))</f>
        <v>0</v>
      </c>
      <c r="AR59" s="107" t="n">
        <f aca="false">IF(A59="",0,COUNTIF(tbl_Donateurs_Documents[ID Donateur],A59))</f>
        <v>0</v>
      </c>
      <c r="AS59" s="107" t="n">
        <f aca="false">IF(A59="",0,COUNTIF(tbl_Donateurs_Conventions[ID Donateur],A59))</f>
        <v>0</v>
      </c>
      <c r="AT59" s="115" t="n">
        <f aca="false">IFERROR(_xlfn.MAXIFS(tbl_Donateurs_Decaissements[Date recue],tbl_Donateurs_Decaissements[ID Donateur],A59),"")</f>
        <v>0</v>
      </c>
      <c r="AU59" s="108" t="str">
        <f aca="false">IFERROR(AN59/AL59,"")</f>
        <v/>
      </c>
      <c r="AV59" s="107" t="str">
        <f aca="true">IF(A59="","",IF(OR(AB59="A relancer",AND(AF59&lt;&gt;"",AF59&lt;=TODAY())),"OUI","NON"))</f>
        <v/>
      </c>
      <c r="AW59" s="107" t="str">
        <f aca="false">IF(B59="","",IF(OR(COUNTIF($B$56:$B$205,B59)&gt;1,AND(D59&lt;&gt;"",COUNTIF($D$56:$D$205,D59)&gt;1),AND(K59&lt;&gt;"",COUNTIF($K$56:$K$205,K59)&gt;1),AND(L59&lt;&gt;"",COUNTIF($L$56:$L$205,L59)&gt;1)),"OUI","NON"))</f>
        <v/>
      </c>
      <c r="AX59" s="113"/>
    </row>
    <row r="60" customFormat="false" ht="15" hidden="false" customHeight="true" outlineLevel="0" collapsed="false">
      <c r="A60" s="107" t="str">
        <f aca="false">IF(B60="","","DON"&amp;TEXT(ROW()-55,"00000"))</f>
        <v/>
      </c>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07" t="str">
        <f aca="false">IFERROR(INDEX(PARAMETRES!$B$536:$B$586,MATCH(X60,PARAMETRES!$J$536:$J$586,0)),"")</f>
        <v/>
      </c>
      <c r="Z60" s="107" t="str">
        <f aca="false">IFERROR(INDEX(PARAMETRES!$D$536:$D$586,MATCH(X60,PARAMETRES!$J$536:$J$586,0)),"")</f>
        <v/>
      </c>
      <c r="AA60" s="107" t="str">
        <f aca="false">IFERROR(INDEX(PARAMETRES!$F$536:$F$586,MATCH(X60,PARAMETRES!$J$536:$J$586,0)),"")</f>
        <v/>
      </c>
      <c r="AB60" s="113"/>
      <c r="AC60" s="114"/>
      <c r="AD60" s="113"/>
      <c r="AE60" s="114"/>
      <c r="AF60" s="114"/>
      <c r="AG60" s="113"/>
      <c r="AH60" s="113"/>
      <c r="AI60" s="107" t="n">
        <f aca="false">IF(A60="",0,COUNTIF(tbl_Donateurs_Opportunites[ID Donateur],A60))</f>
        <v>0</v>
      </c>
      <c r="AJ60" s="107" t="n">
        <f aca="false">IF(A60="",0,COUNTIFS(tbl_Donateurs_Opportunites[ID Donateur],A60,tbl_Donateurs_Opportunites[Statut],"Ouverte"))</f>
        <v>0</v>
      </c>
      <c r="AK60" s="107" t="n">
        <f aca="false">IF(A60="",0,COUNTIF(tbl_Donateurs_Demandes[ID Donateur],A60))</f>
        <v>0</v>
      </c>
      <c r="AL60" s="107" t="n">
        <f aca="false">IF(A60="",0,COUNTIFS(tbl_Donateurs_Demandes[ID Donateur],A60,tbl_Donateurs_Demandes[Statut],"Approuvee")+COUNTIFS(tbl_Donateurs_Demandes[ID Donateur],A60,tbl_Donateurs_Demandes[Statut],"Financement recu"))</f>
        <v>0</v>
      </c>
      <c r="AM60" s="108" t="n">
        <f aca="false">IF(A60="",0,SUMIF(tbl_Donateurs_Demandes[ID Donateur],A60,tbl_Donateurs_Demandes[Montant demande]))</f>
        <v>0</v>
      </c>
      <c r="AN60" s="108" t="n">
        <f aca="false">IF(A60="",0,SUMIF(tbl_Donateurs_Demandes[ID Donateur],A60,tbl_Donateurs_Demandes[Montant accorde]))</f>
        <v>0</v>
      </c>
      <c r="AO60" s="108" t="n">
        <f aca="false">IF(A60="",0,SUMIF(tbl_Donateurs_Decaissements[ID Donateur],A60,tbl_Donateurs_Decaissements[Montant recu]))</f>
        <v>0</v>
      </c>
      <c r="AP60" s="109" t="str">
        <f aca="false">IFERROR(AL60/AK60,"")</f>
        <v/>
      </c>
      <c r="AQ60" s="107" t="n">
        <f aca="false">IF(A60="",0,COUNTIF(tbl_Donateurs_Contacts[ID Donateur],A60))</f>
        <v>0</v>
      </c>
      <c r="AR60" s="107" t="n">
        <f aca="false">IF(A60="",0,COUNTIF(tbl_Donateurs_Documents[ID Donateur],A60))</f>
        <v>0</v>
      </c>
      <c r="AS60" s="107" t="n">
        <f aca="false">IF(A60="",0,COUNTIF(tbl_Donateurs_Conventions[ID Donateur],A60))</f>
        <v>0</v>
      </c>
      <c r="AT60" s="115" t="n">
        <f aca="false">IFERROR(_xlfn.MAXIFS(tbl_Donateurs_Decaissements[Date recue],tbl_Donateurs_Decaissements[ID Donateur],A60),"")</f>
        <v>0</v>
      </c>
      <c r="AU60" s="108" t="str">
        <f aca="false">IFERROR(AN60/AL60,"")</f>
        <v/>
      </c>
      <c r="AV60" s="107" t="str">
        <f aca="true">IF(A60="","",IF(OR(AB60="A relancer",AND(AF60&lt;&gt;"",AF60&lt;=TODAY())),"OUI","NON"))</f>
        <v/>
      </c>
      <c r="AW60" s="107" t="str">
        <f aca="false">IF(B60="","",IF(OR(COUNTIF($B$56:$B$205,B60)&gt;1,AND(D60&lt;&gt;"",COUNTIF($D$56:$D$205,D60)&gt;1),AND(K60&lt;&gt;"",COUNTIF($K$56:$K$205,K60)&gt;1),AND(L60&lt;&gt;"",COUNTIF($L$56:$L$205,L60)&gt;1)),"OUI","NON"))</f>
        <v/>
      </c>
      <c r="AX60" s="113"/>
    </row>
    <row r="61" customFormat="false" ht="15" hidden="false" customHeight="true" outlineLevel="0" collapsed="false">
      <c r="A61" s="107" t="str">
        <f aca="false">IF(B61="","","DON"&amp;TEXT(ROW()-55,"00000"))</f>
        <v/>
      </c>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07" t="str">
        <f aca="false">IFERROR(INDEX(PARAMETRES!$B$536:$B$586,MATCH(X61,PARAMETRES!$J$536:$J$586,0)),"")</f>
        <v/>
      </c>
      <c r="Z61" s="107" t="str">
        <f aca="false">IFERROR(INDEX(PARAMETRES!$D$536:$D$586,MATCH(X61,PARAMETRES!$J$536:$J$586,0)),"")</f>
        <v/>
      </c>
      <c r="AA61" s="107" t="str">
        <f aca="false">IFERROR(INDEX(PARAMETRES!$F$536:$F$586,MATCH(X61,PARAMETRES!$J$536:$J$586,0)),"")</f>
        <v/>
      </c>
      <c r="AB61" s="113"/>
      <c r="AC61" s="114"/>
      <c r="AD61" s="113"/>
      <c r="AE61" s="114"/>
      <c r="AF61" s="114"/>
      <c r="AG61" s="113"/>
      <c r="AH61" s="113"/>
      <c r="AI61" s="107" t="n">
        <f aca="false">IF(A61="",0,COUNTIF(tbl_Donateurs_Opportunites[ID Donateur],A61))</f>
        <v>0</v>
      </c>
      <c r="AJ61" s="107" t="n">
        <f aca="false">IF(A61="",0,COUNTIFS(tbl_Donateurs_Opportunites[ID Donateur],A61,tbl_Donateurs_Opportunites[Statut],"Ouverte"))</f>
        <v>0</v>
      </c>
      <c r="AK61" s="107" t="n">
        <f aca="false">IF(A61="",0,COUNTIF(tbl_Donateurs_Demandes[ID Donateur],A61))</f>
        <v>0</v>
      </c>
      <c r="AL61" s="107" t="n">
        <f aca="false">IF(A61="",0,COUNTIFS(tbl_Donateurs_Demandes[ID Donateur],A61,tbl_Donateurs_Demandes[Statut],"Approuvee")+COUNTIFS(tbl_Donateurs_Demandes[ID Donateur],A61,tbl_Donateurs_Demandes[Statut],"Financement recu"))</f>
        <v>0</v>
      </c>
      <c r="AM61" s="108" t="n">
        <f aca="false">IF(A61="",0,SUMIF(tbl_Donateurs_Demandes[ID Donateur],A61,tbl_Donateurs_Demandes[Montant demande]))</f>
        <v>0</v>
      </c>
      <c r="AN61" s="108" t="n">
        <f aca="false">IF(A61="",0,SUMIF(tbl_Donateurs_Demandes[ID Donateur],A61,tbl_Donateurs_Demandes[Montant accorde]))</f>
        <v>0</v>
      </c>
      <c r="AO61" s="108" t="n">
        <f aca="false">IF(A61="",0,SUMIF(tbl_Donateurs_Decaissements[ID Donateur],A61,tbl_Donateurs_Decaissements[Montant recu]))</f>
        <v>0</v>
      </c>
      <c r="AP61" s="109" t="str">
        <f aca="false">IFERROR(AL61/AK61,"")</f>
        <v/>
      </c>
      <c r="AQ61" s="107" t="n">
        <f aca="false">IF(A61="",0,COUNTIF(tbl_Donateurs_Contacts[ID Donateur],A61))</f>
        <v>0</v>
      </c>
      <c r="AR61" s="107" t="n">
        <f aca="false">IF(A61="",0,COUNTIF(tbl_Donateurs_Documents[ID Donateur],A61))</f>
        <v>0</v>
      </c>
      <c r="AS61" s="107" t="n">
        <f aca="false">IF(A61="",0,COUNTIF(tbl_Donateurs_Conventions[ID Donateur],A61))</f>
        <v>0</v>
      </c>
      <c r="AT61" s="115" t="n">
        <f aca="false">IFERROR(_xlfn.MAXIFS(tbl_Donateurs_Decaissements[Date recue],tbl_Donateurs_Decaissements[ID Donateur],A61),"")</f>
        <v>0</v>
      </c>
      <c r="AU61" s="108" t="str">
        <f aca="false">IFERROR(AN61/AL61,"")</f>
        <v/>
      </c>
      <c r="AV61" s="107" t="str">
        <f aca="true">IF(A61="","",IF(OR(AB61="A relancer",AND(AF61&lt;&gt;"",AF61&lt;=TODAY())),"OUI","NON"))</f>
        <v/>
      </c>
      <c r="AW61" s="107" t="str">
        <f aca="false">IF(B61="","",IF(OR(COUNTIF($B$56:$B$205,B61)&gt;1,AND(D61&lt;&gt;"",COUNTIF($D$56:$D$205,D61)&gt;1),AND(K61&lt;&gt;"",COUNTIF($K$56:$K$205,K61)&gt;1),AND(L61&lt;&gt;"",COUNTIF($L$56:$L$205,L61)&gt;1)),"OUI","NON"))</f>
        <v/>
      </c>
      <c r="AX61" s="113"/>
    </row>
    <row r="62" customFormat="false" ht="15" hidden="false" customHeight="true" outlineLevel="0" collapsed="false">
      <c r="A62" s="107" t="str">
        <f aca="false">IF(B62="","","DON"&amp;TEXT(ROW()-55,"00000"))</f>
        <v/>
      </c>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07" t="str">
        <f aca="false">IFERROR(INDEX(PARAMETRES!$B$536:$B$586,MATCH(X62,PARAMETRES!$J$536:$J$586,0)),"")</f>
        <v/>
      </c>
      <c r="Z62" s="107" t="str">
        <f aca="false">IFERROR(INDEX(PARAMETRES!$D$536:$D$586,MATCH(X62,PARAMETRES!$J$536:$J$586,0)),"")</f>
        <v/>
      </c>
      <c r="AA62" s="107" t="str">
        <f aca="false">IFERROR(INDEX(PARAMETRES!$F$536:$F$586,MATCH(X62,PARAMETRES!$J$536:$J$586,0)),"")</f>
        <v/>
      </c>
      <c r="AB62" s="113"/>
      <c r="AC62" s="114"/>
      <c r="AD62" s="113"/>
      <c r="AE62" s="114"/>
      <c r="AF62" s="114"/>
      <c r="AG62" s="113"/>
      <c r="AH62" s="113"/>
      <c r="AI62" s="107" t="n">
        <f aca="false">IF(A62="",0,COUNTIF(tbl_Donateurs_Opportunites[ID Donateur],A62))</f>
        <v>0</v>
      </c>
      <c r="AJ62" s="107" t="n">
        <f aca="false">IF(A62="",0,COUNTIFS(tbl_Donateurs_Opportunites[ID Donateur],A62,tbl_Donateurs_Opportunites[Statut],"Ouverte"))</f>
        <v>0</v>
      </c>
      <c r="AK62" s="107" t="n">
        <f aca="false">IF(A62="",0,COUNTIF(tbl_Donateurs_Demandes[ID Donateur],A62))</f>
        <v>0</v>
      </c>
      <c r="AL62" s="107" t="n">
        <f aca="false">IF(A62="",0,COUNTIFS(tbl_Donateurs_Demandes[ID Donateur],A62,tbl_Donateurs_Demandes[Statut],"Approuvee")+COUNTIFS(tbl_Donateurs_Demandes[ID Donateur],A62,tbl_Donateurs_Demandes[Statut],"Financement recu"))</f>
        <v>0</v>
      </c>
      <c r="AM62" s="108" t="n">
        <f aca="false">IF(A62="",0,SUMIF(tbl_Donateurs_Demandes[ID Donateur],A62,tbl_Donateurs_Demandes[Montant demande]))</f>
        <v>0</v>
      </c>
      <c r="AN62" s="108" t="n">
        <f aca="false">IF(A62="",0,SUMIF(tbl_Donateurs_Demandes[ID Donateur],A62,tbl_Donateurs_Demandes[Montant accorde]))</f>
        <v>0</v>
      </c>
      <c r="AO62" s="108" t="n">
        <f aca="false">IF(A62="",0,SUMIF(tbl_Donateurs_Decaissements[ID Donateur],A62,tbl_Donateurs_Decaissements[Montant recu]))</f>
        <v>0</v>
      </c>
      <c r="AP62" s="109" t="str">
        <f aca="false">IFERROR(AL62/AK62,"")</f>
        <v/>
      </c>
      <c r="AQ62" s="107" t="n">
        <f aca="false">IF(A62="",0,COUNTIF(tbl_Donateurs_Contacts[ID Donateur],A62))</f>
        <v>0</v>
      </c>
      <c r="AR62" s="107" t="n">
        <f aca="false">IF(A62="",0,COUNTIF(tbl_Donateurs_Documents[ID Donateur],A62))</f>
        <v>0</v>
      </c>
      <c r="AS62" s="107" t="n">
        <f aca="false">IF(A62="",0,COUNTIF(tbl_Donateurs_Conventions[ID Donateur],A62))</f>
        <v>0</v>
      </c>
      <c r="AT62" s="115" t="n">
        <f aca="false">IFERROR(_xlfn.MAXIFS(tbl_Donateurs_Decaissements[Date recue],tbl_Donateurs_Decaissements[ID Donateur],A62),"")</f>
        <v>0</v>
      </c>
      <c r="AU62" s="108" t="str">
        <f aca="false">IFERROR(AN62/AL62,"")</f>
        <v/>
      </c>
      <c r="AV62" s="107" t="str">
        <f aca="true">IF(A62="","",IF(OR(AB62="A relancer",AND(AF62&lt;&gt;"",AF62&lt;=TODAY())),"OUI","NON"))</f>
        <v/>
      </c>
      <c r="AW62" s="107" t="str">
        <f aca="false">IF(B62="","",IF(OR(COUNTIF($B$56:$B$205,B62)&gt;1,AND(D62&lt;&gt;"",COUNTIF($D$56:$D$205,D62)&gt;1),AND(K62&lt;&gt;"",COUNTIF($K$56:$K$205,K62)&gt;1),AND(L62&lt;&gt;"",COUNTIF($L$56:$L$205,L62)&gt;1)),"OUI","NON"))</f>
        <v/>
      </c>
      <c r="AX62" s="113"/>
    </row>
    <row r="63" customFormat="false" ht="15" hidden="false" customHeight="true" outlineLevel="0" collapsed="false">
      <c r="A63" s="107" t="str">
        <f aca="false">IF(B63="","","DON"&amp;TEXT(ROW()-55,"00000"))</f>
        <v/>
      </c>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07" t="str">
        <f aca="false">IFERROR(INDEX(PARAMETRES!$B$536:$B$586,MATCH(X63,PARAMETRES!$J$536:$J$586,0)),"")</f>
        <v/>
      </c>
      <c r="Z63" s="107" t="str">
        <f aca="false">IFERROR(INDEX(PARAMETRES!$D$536:$D$586,MATCH(X63,PARAMETRES!$J$536:$J$586,0)),"")</f>
        <v/>
      </c>
      <c r="AA63" s="107" t="str">
        <f aca="false">IFERROR(INDEX(PARAMETRES!$F$536:$F$586,MATCH(X63,PARAMETRES!$J$536:$J$586,0)),"")</f>
        <v/>
      </c>
      <c r="AB63" s="113"/>
      <c r="AC63" s="114"/>
      <c r="AD63" s="113"/>
      <c r="AE63" s="114"/>
      <c r="AF63" s="114"/>
      <c r="AG63" s="113"/>
      <c r="AH63" s="113"/>
      <c r="AI63" s="107" t="n">
        <f aca="false">IF(A63="",0,COUNTIF(tbl_Donateurs_Opportunites[ID Donateur],A63))</f>
        <v>0</v>
      </c>
      <c r="AJ63" s="107" t="n">
        <f aca="false">IF(A63="",0,COUNTIFS(tbl_Donateurs_Opportunites[ID Donateur],A63,tbl_Donateurs_Opportunites[Statut],"Ouverte"))</f>
        <v>0</v>
      </c>
      <c r="AK63" s="107" t="n">
        <f aca="false">IF(A63="",0,COUNTIF(tbl_Donateurs_Demandes[ID Donateur],A63))</f>
        <v>0</v>
      </c>
      <c r="AL63" s="107" t="n">
        <f aca="false">IF(A63="",0,COUNTIFS(tbl_Donateurs_Demandes[ID Donateur],A63,tbl_Donateurs_Demandes[Statut],"Approuvee")+COUNTIFS(tbl_Donateurs_Demandes[ID Donateur],A63,tbl_Donateurs_Demandes[Statut],"Financement recu"))</f>
        <v>0</v>
      </c>
      <c r="AM63" s="108" t="n">
        <f aca="false">IF(A63="",0,SUMIF(tbl_Donateurs_Demandes[ID Donateur],A63,tbl_Donateurs_Demandes[Montant demande]))</f>
        <v>0</v>
      </c>
      <c r="AN63" s="108" t="n">
        <f aca="false">IF(A63="",0,SUMIF(tbl_Donateurs_Demandes[ID Donateur],A63,tbl_Donateurs_Demandes[Montant accorde]))</f>
        <v>0</v>
      </c>
      <c r="AO63" s="108" t="n">
        <f aca="false">IF(A63="",0,SUMIF(tbl_Donateurs_Decaissements[ID Donateur],A63,tbl_Donateurs_Decaissements[Montant recu]))</f>
        <v>0</v>
      </c>
      <c r="AP63" s="109" t="str">
        <f aca="false">IFERROR(AL63/AK63,"")</f>
        <v/>
      </c>
      <c r="AQ63" s="107" t="n">
        <f aca="false">IF(A63="",0,COUNTIF(tbl_Donateurs_Contacts[ID Donateur],A63))</f>
        <v>0</v>
      </c>
      <c r="AR63" s="107" t="n">
        <f aca="false">IF(A63="",0,COUNTIF(tbl_Donateurs_Documents[ID Donateur],A63))</f>
        <v>0</v>
      </c>
      <c r="AS63" s="107" t="n">
        <f aca="false">IF(A63="",0,COUNTIF(tbl_Donateurs_Conventions[ID Donateur],A63))</f>
        <v>0</v>
      </c>
      <c r="AT63" s="115" t="n">
        <f aca="false">IFERROR(_xlfn.MAXIFS(tbl_Donateurs_Decaissements[Date recue],tbl_Donateurs_Decaissements[ID Donateur],A63),"")</f>
        <v>0</v>
      </c>
      <c r="AU63" s="108" t="str">
        <f aca="false">IFERROR(AN63/AL63,"")</f>
        <v/>
      </c>
      <c r="AV63" s="107" t="str">
        <f aca="true">IF(A63="","",IF(OR(AB63="A relancer",AND(AF63&lt;&gt;"",AF63&lt;=TODAY())),"OUI","NON"))</f>
        <v/>
      </c>
      <c r="AW63" s="107" t="str">
        <f aca="false">IF(B63="","",IF(OR(COUNTIF($B$56:$B$205,B63)&gt;1,AND(D63&lt;&gt;"",COUNTIF($D$56:$D$205,D63)&gt;1),AND(K63&lt;&gt;"",COUNTIF($K$56:$K$205,K63)&gt;1),AND(L63&lt;&gt;"",COUNTIF($L$56:$L$205,L63)&gt;1)),"OUI","NON"))</f>
        <v/>
      </c>
      <c r="AX63" s="113"/>
    </row>
    <row r="64" customFormat="false" ht="15" hidden="false" customHeight="true" outlineLevel="0" collapsed="false">
      <c r="A64" s="107" t="str">
        <f aca="false">IF(B64="","","DON"&amp;TEXT(ROW()-55,"00000"))</f>
        <v/>
      </c>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07" t="str">
        <f aca="false">IFERROR(INDEX(PARAMETRES!$B$536:$B$586,MATCH(X64,PARAMETRES!$J$536:$J$586,0)),"")</f>
        <v/>
      </c>
      <c r="Z64" s="107" t="str">
        <f aca="false">IFERROR(INDEX(PARAMETRES!$D$536:$D$586,MATCH(X64,PARAMETRES!$J$536:$J$586,0)),"")</f>
        <v/>
      </c>
      <c r="AA64" s="107" t="str">
        <f aca="false">IFERROR(INDEX(PARAMETRES!$F$536:$F$586,MATCH(X64,PARAMETRES!$J$536:$J$586,0)),"")</f>
        <v/>
      </c>
      <c r="AB64" s="113"/>
      <c r="AC64" s="114"/>
      <c r="AD64" s="113"/>
      <c r="AE64" s="114"/>
      <c r="AF64" s="114"/>
      <c r="AG64" s="113"/>
      <c r="AH64" s="113"/>
      <c r="AI64" s="107" t="n">
        <f aca="false">IF(A64="",0,COUNTIF(tbl_Donateurs_Opportunites[ID Donateur],A64))</f>
        <v>0</v>
      </c>
      <c r="AJ64" s="107" t="n">
        <f aca="false">IF(A64="",0,COUNTIFS(tbl_Donateurs_Opportunites[ID Donateur],A64,tbl_Donateurs_Opportunites[Statut],"Ouverte"))</f>
        <v>0</v>
      </c>
      <c r="AK64" s="107" t="n">
        <f aca="false">IF(A64="",0,COUNTIF(tbl_Donateurs_Demandes[ID Donateur],A64))</f>
        <v>0</v>
      </c>
      <c r="AL64" s="107" t="n">
        <f aca="false">IF(A64="",0,COUNTIFS(tbl_Donateurs_Demandes[ID Donateur],A64,tbl_Donateurs_Demandes[Statut],"Approuvee")+COUNTIFS(tbl_Donateurs_Demandes[ID Donateur],A64,tbl_Donateurs_Demandes[Statut],"Financement recu"))</f>
        <v>0</v>
      </c>
      <c r="AM64" s="108" t="n">
        <f aca="false">IF(A64="",0,SUMIF(tbl_Donateurs_Demandes[ID Donateur],A64,tbl_Donateurs_Demandes[Montant demande]))</f>
        <v>0</v>
      </c>
      <c r="AN64" s="108" t="n">
        <f aca="false">IF(A64="",0,SUMIF(tbl_Donateurs_Demandes[ID Donateur],A64,tbl_Donateurs_Demandes[Montant accorde]))</f>
        <v>0</v>
      </c>
      <c r="AO64" s="108" t="n">
        <f aca="false">IF(A64="",0,SUMIF(tbl_Donateurs_Decaissements[ID Donateur],A64,tbl_Donateurs_Decaissements[Montant recu]))</f>
        <v>0</v>
      </c>
      <c r="AP64" s="109" t="str">
        <f aca="false">IFERROR(AL64/AK64,"")</f>
        <v/>
      </c>
      <c r="AQ64" s="107" t="n">
        <f aca="false">IF(A64="",0,COUNTIF(tbl_Donateurs_Contacts[ID Donateur],A64))</f>
        <v>0</v>
      </c>
      <c r="AR64" s="107" t="n">
        <f aca="false">IF(A64="",0,COUNTIF(tbl_Donateurs_Documents[ID Donateur],A64))</f>
        <v>0</v>
      </c>
      <c r="AS64" s="107" t="n">
        <f aca="false">IF(A64="",0,COUNTIF(tbl_Donateurs_Conventions[ID Donateur],A64))</f>
        <v>0</v>
      </c>
      <c r="AT64" s="115" t="n">
        <f aca="false">IFERROR(_xlfn.MAXIFS(tbl_Donateurs_Decaissements[Date recue],tbl_Donateurs_Decaissements[ID Donateur],A64),"")</f>
        <v>0</v>
      </c>
      <c r="AU64" s="108" t="str">
        <f aca="false">IFERROR(AN64/AL64,"")</f>
        <v/>
      </c>
      <c r="AV64" s="107" t="str">
        <f aca="true">IF(A64="","",IF(OR(AB64="A relancer",AND(AF64&lt;&gt;"",AF64&lt;=TODAY())),"OUI","NON"))</f>
        <v/>
      </c>
      <c r="AW64" s="107" t="str">
        <f aca="false">IF(B64="","",IF(OR(COUNTIF($B$56:$B$205,B64)&gt;1,AND(D64&lt;&gt;"",COUNTIF($D$56:$D$205,D64)&gt;1),AND(K64&lt;&gt;"",COUNTIF($K$56:$K$205,K64)&gt;1),AND(L64&lt;&gt;"",COUNTIF($L$56:$L$205,L64)&gt;1)),"OUI","NON"))</f>
        <v/>
      </c>
      <c r="AX64" s="113"/>
    </row>
    <row r="65" customFormat="false" ht="15" hidden="false" customHeight="true" outlineLevel="0" collapsed="false">
      <c r="A65" s="107" t="str">
        <f aca="false">IF(B65="","","DON"&amp;TEXT(ROW()-55,"00000"))</f>
        <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07" t="str">
        <f aca="false">IFERROR(INDEX(PARAMETRES!$B$536:$B$586,MATCH(X65,PARAMETRES!$J$536:$J$586,0)),"")</f>
        <v/>
      </c>
      <c r="Z65" s="107" t="str">
        <f aca="false">IFERROR(INDEX(PARAMETRES!$D$536:$D$586,MATCH(X65,PARAMETRES!$J$536:$J$586,0)),"")</f>
        <v/>
      </c>
      <c r="AA65" s="107" t="str">
        <f aca="false">IFERROR(INDEX(PARAMETRES!$F$536:$F$586,MATCH(X65,PARAMETRES!$J$536:$J$586,0)),"")</f>
        <v/>
      </c>
      <c r="AB65" s="113"/>
      <c r="AC65" s="114"/>
      <c r="AD65" s="113"/>
      <c r="AE65" s="114"/>
      <c r="AF65" s="114"/>
      <c r="AG65" s="113"/>
      <c r="AH65" s="113"/>
      <c r="AI65" s="107" t="n">
        <f aca="false">IF(A65="",0,COUNTIF(tbl_Donateurs_Opportunites[ID Donateur],A65))</f>
        <v>0</v>
      </c>
      <c r="AJ65" s="107" t="n">
        <f aca="false">IF(A65="",0,COUNTIFS(tbl_Donateurs_Opportunites[ID Donateur],A65,tbl_Donateurs_Opportunites[Statut],"Ouverte"))</f>
        <v>0</v>
      </c>
      <c r="AK65" s="107" t="n">
        <f aca="false">IF(A65="",0,COUNTIF(tbl_Donateurs_Demandes[ID Donateur],A65))</f>
        <v>0</v>
      </c>
      <c r="AL65" s="107" t="n">
        <f aca="false">IF(A65="",0,COUNTIFS(tbl_Donateurs_Demandes[ID Donateur],A65,tbl_Donateurs_Demandes[Statut],"Approuvee")+COUNTIFS(tbl_Donateurs_Demandes[ID Donateur],A65,tbl_Donateurs_Demandes[Statut],"Financement recu"))</f>
        <v>0</v>
      </c>
      <c r="AM65" s="108" t="n">
        <f aca="false">IF(A65="",0,SUMIF(tbl_Donateurs_Demandes[ID Donateur],A65,tbl_Donateurs_Demandes[Montant demande]))</f>
        <v>0</v>
      </c>
      <c r="AN65" s="108" t="n">
        <f aca="false">IF(A65="",0,SUMIF(tbl_Donateurs_Demandes[ID Donateur],A65,tbl_Donateurs_Demandes[Montant accorde]))</f>
        <v>0</v>
      </c>
      <c r="AO65" s="108" t="n">
        <f aca="false">IF(A65="",0,SUMIF(tbl_Donateurs_Decaissements[ID Donateur],A65,tbl_Donateurs_Decaissements[Montant recu]))</f>
        <v>0</v>
      </c>
      <c r="AP65" s="109" t="str">
        <f aca="false">IFERROR(AL65/AK65,"")</f>
        <v/>
      </c>
      <c r="AQ65" s="107" t="n">
        <f aca="false">IF(A65="",0,COUNTIF(tbl_Donateurs_Contacts[ID Donateur],A65))</f>
        <v>0</v>
      </c>
      <c r="AR65" s="107" t="n">
        <f aca="false">IF(A65="",0,COUNTIF(tbl_Donateurs_Documents[ID Donateur],A65))</f>
        <v>0</v>
      </c>
      <c r="AS65" s="107" t="n">
        <f aca="false">IF(A65="",0,COUNTIF(tbl_Donateurs_Conventions[ID Donateur],A65))</f>
        <v>0</v>
      </c>
      <c r="AT65" s="115" t="n">
        <f aca="false">IFERROR(_xlfn.MAXIFS(tbl_Donateurs_Decaissements[Date recue],tbl_Donateurs_Decaissements[ID Donateur],A65),"")</f>
        <v>0</v>
      </c>
      <c r="AU65" s="108" t="str">
        <f aca="false">IFERROR(AN65/AL65,"")</f>
        <v/>
      </c>
      <c r="AV65" s="107" t="str">
        <f aca="true">IF(A65="","",IF(OR(AB65="A relancer",AND(AF65&lt;&gt;"",AF65&lt;=TODAY())),"OUI","NON"))</f>
        <v/>
      </c>
      <c r="AW65" s="107" t="str">
        <f aca="false">IF(B65="","",IF(OR(COUNTIF($B$56:$B$205,B65)&gt;1,AND(D65&lt;&gt;"",COUNTIF($D$56:$D$205,D65)&gt;1),AND(K65&lt;&gt;"",COUNTIF($K$56:$K$205,K65)&gt;1),AND(L65&lt;&gt;"",COUNTIF($L$56:$L$205,L65)&gt;1)),"OUI","NON"))</f>
        <v/>
      </c>
      <c r="AX65" s="113"/>
    </row>
    <row r="66" customFormat="false" ht="15" hidden="false" customHeight="true" outlineLevel="0" collapsed="false">
      <c r="A66" s="107" t="str">
        <f aca="false">IF(B66="","","DON"&amp;TEXT(ROW()-55,"00000"))</f>
        <v/>
      </c>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07" t="str">
        <f aca="false">IFERROR(INDEX(PARAMETRES!$B$536:$B$586,MATCH(X66,PARAMETRES!$J$536:$J$586,0)),"")</f>
        <v/>
      </c>
      <c r="Z66" s="107" t="str">
        <f aca="false">IFERROR(INDEX(PARAMETRES!$D$536:$D$586,MATCH(X66,PARAMETRES!$J$536:$J$586,0)),"")</f>
        <v/>
      </c>
      <c r="AA66" s="107" t="str">
        <f aca="false">IFERROR(INDEX(PARAMETRES!$F$536:$F$586,MATCH(X66,PARAMETRES!$J$536:$J$586,0)),"")</f>
        <v/>
      </c>
      <c r="AB66" s="113"/>
      <c r="AC66" s="114"/>
      <c r="AD66" s="113"/>
      <c r="AE66" s="114"/>
      <c r="AF66" s="114"/>
      <c r="AG66" s="113"/>
      <c r="AH66" s="113"/>
      <c r="AI66" s="107" t="n">
        <f aca="false">IF(A66="",0,COUNTIF(tbl_Donateurs_Opportunites[ID Donateur],A66))</f>
        <v>0</v>
      </c>
      <c r="AJ66" s="107" t="n">
        <f aca="false">IF(A66="",0,COUNTIFS(tbl_Donateurs_Opportunites[ID Donateur],A66,tbl_Donateurs_Opportunites[Statut],"Ouverte"))</f>
        <v>0</v>
      </c>
      <c r="AK66" s="107" t="n">
        <f aca="false">IF(A66="",0,COUNTIF(tbl_Donateurs_Demandes[ID Donateur],A66))</f>
        <v>0</v>
      </c>
      <c r="AL66" s="107" t="n">
        <f aca="false">IF(A66="",0,COUNTIFS(tbl_Donateurs_Demandes[ID Donateur],A66,tbl_Donateurs_Demandes[Statut],"Approuvee")+COUNTIFS(tbl_Donateurs_Demandes[ID Donateur],A66,tbl_Donateurs_Demandes[Statut],"Financement recu"))</f>
        <v>0</v>
      </c>
      <c r="AM66" s="108" t="n">
        <f aca="false">IF(A66="",0,SUMIF(tbl_Donateurs_Demandes[ID Donateur],A66,tbl_Donateurs_Demandes[Montant demande]))</f>
        <v>0</v>
      </c>
      <c r="AN66" s="108" t="n">
        <f aca="false">IF(A66="",0,SUMIF(tbl_Donateurs_Demandes[ID Donateur],A66,tbl_Donateurs_Demandes[Montant accorde]))</f>
        <v>0</v>
      </c>
      <c r="AO66" s="108" t="n">
        <f aca="false">IF(A66="",0,SUMIF(tbl_Donateurs_Decaissements[ID Donateur],A66,tbl_Donateurs_Decaissements[Montant recu]))</f>
        <v>0</v>
      </c>
      <c r="AP66" s="109" t="str">
        <f aca="false">IFERROR(AL66/AK66,"")</f>
        <v/>
      </c>
      <c r="AQ66" s="107" t="n">
        <f aca="false">IF(A66="",0,COUNTIF(tbl_Donateurs_Contacts[ID Donateur],A66))</f>
        <v>0</v>
      </c>
      <c r="AR66" s="107" t="n">
        <f aca="false">IF(A66="",0,COUNTIF(tbl_Donateurs_Documents[ID Donateur],A66))</f>
        <v>0</v>
      </c>
      <c r="AS66" s="107" t="n">
        <f aca="false">IF(A66="",0,COUNTIF(tbl_Donateurs_Conventions[ID Donateur],A66))</f>
        <v>0</v>
      </c>
      <c r="AT66" s="115" t="n">
        <f aca="false">IFERROR(_xlfn.MAXIFS(tbl_Donateurs_Decaissements[Date recue],tbl_Donateurs_Decaissements[ID Donateur],A66),"")</f>
        <v>0</v>
      </c>
      <c r="AU66" s="108" t="str">
        <f aca="false">IFERROR(AN66/AL66,"")</f>
        <v/>
      </c>
      <c r="AV66" s="107" t="str">
        <f aca="true">IF(A66="","",IF(OR(AB66="A relancer",AND(AF66&lt;&gt;"",AF66&lt;=TODAY())),"OUI","NON"))</f>
        <v/>
      </c>
      <c r="AW66" s="107" t="str">
        <f aca="false">IF(B66="","",IF(OR(COUNTIF($B$56:$B$205,B66)&gt;1,AND(D66&lt;&gt;"",COUNTIF($D$56:$D$205,D66)&gt;1),AND(K66&lt;&gt;"",COUNTIF($K$56:$K$205,K66)&gt;1),AND(L66&lt;&gt;"",COUNTIF($L$56:$L$205,L66)&gt;1)),"OUI","NON"))</f>
        <v/>
      </c>
      <c r="AX66" s="113"/>
    </row>
    <row r="67" customFormat="false" ht="15" hidden="false" customHeight="true" outlineLevel="0" collapsed="false">
      <c r="A67" s="107" t="str">
        <f aca="false">IF(B67="","","DON"&amp;TEXT(ROW()-55,"00000"))</f>
        <v/>
      </c>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07" t="str">
        <f aca="false">IFERROR(INDEX(PARAMETRES!$B$536:$B$586,MATCH(X67,PARAMETRES!$J$536:$J$586,0)),"")</f>
        <v/>
      </c>
      <c r="Z67" s="107" t="str">
        <f aca="false">IFERROR(INDEX(PARAMETRES!$D$536:$D$586,MATCH(X67,PARAMETRES!$J$536:$J$586,0)),"")</f>
        <v/>
      </c>
      <c r="AA67" s="107" t="str">
        <f aca="false">IFERROR(INDEX(PARAMETRES!$F$536:$F$586,MATCH(X67,PARAMETRES!$J$536:$J$586,0)),"")</f>
        <v/>
      </c>
      <c r="AB67" s="113"/>
      <c r="AC67" s="114"/>
      <c r="AD67" s="113"/>
      <c r="AE67" s="114"/>
      <c r="AF67" s="114"/>
      <c r="AG67" s="113"/>
      <c r="AH67" s="113"/>
      <c r="AI67" s="107" t="n">
        <f aca="false">IF(A67="",0,COUNTIF(tbl_Donateurs_Opportunites[ID Donateur],A67))</f>
        <v>0</v>
      </c>
      <c r="AJ67" s="107" t="n">
        <f aca="false">IF(A67="",0,COUNTIFS(tbl_Donateurs_Opportunites[ID Donateur],A67,tbl_Donateurs_Opportunites[Statut],"Ouverte"))</f>
        <v>0</v>
      </c>
      <c r="AK67" s="107" t="n">
        <f aca="false">IF(A67="",0,COUNTIF(tbl_Donateurs_Demandes[ID Donateur],A67))</f>
        <v>0</v>
      </c>
      <c r="AL67" s="107" t="n">
        <f aca="false">IF(A67="",0,COUNTIFS(tbl_Donateurs_Demandes[ID Donateur],A67,tbl_Donateurs_Demandes[Statut],"Approuvee")+COUNTIFS(tbl_Donateurs_Demandes[ID Donateur],A67,tbl_Donateurs_Demandes[Statut],"Financement recu"))</f>
        <v>0</v>
      </c>
      <c r="AM67" s="108" t="n">
        <f aca="false">IF(A67="",0,SUMIF(tbl_Donateurs_Demandes[ID Donateur],A67,tbl_Donateurs_Demandes[Montant demande]))</f>
        <v>0</v>
      </c>
      <c r="AN67" s="108" t="n">
        <f aca="false">IF(A67="",0,SUMIF(tbl_Donateurs_Demandes[ID Donateur],A67,tbl_Donateurs_Demandes[Montant accorde]))</f>
        <v>0</v>
      </c>
      <c r="AO67" s="108" t="n">
        <f aca="false">IF(A67="",0,SUMIF(tbl_Donateurs_Decaissements[ID Donateur],A67,tbl_Donateurs_Decaissements[Montant recu]))</f>
        <v>0</v>
      </c>
      <c r="AP67" s="109" t="str">
        <f aca="false">IFERROR(AL67/AK67,"")</f>
        <v/>
      </c>
      <c r="AQ67" s="107" t="n">
        <f aca="false">IF(A67="",0,COUNTIF(tbl_Donateurs_Contacts[ID Donateur],A67))</f>
        <v>0</v>
      </c>
      <c r="AR67" s="107" t="n">
        <f aca="false">IF(A67="",0,COUNTIF(tbl_Donateurs_Documents[ID Donateur],A67))</f>
        <v>0</v>
      </c>
      <c r="AS67" s="107" t="n">
        <f aca="false">IF(A67="",0,COUNTIF(tbl_Donateurs_Conventions[ID Donateur],A67))</f>
        <v>0</v>
      </c>
      <c r="AT67" s="115" t="n">
        <f aca="false">IFERROR(_xlfn.MAXIFS(tbl_Donateurs_Decaissements[Date recue],tbl_Donateurs_Decaissements[ID Donateur],A67),"")</f>
        <v>0</v>
      </c>
      <c r="AU67" s="108" t="str">
        <f aca="false">IFERROR(AN67/AL67,"")</f>
        <v/>
      </c>
      <c r="AV67" s="107" t="str">
        <f aca="true">IF(A67="","",IF(OR(AB67="A relancer",AND(AF67&lt;&gt;"",AF67&lt;=TODAY())),"OUI","NON"))</f>
        <v/>
      </c>
      <c r="AW67" s="107" t="str">
        <f aca="false">IF(B67="","",IF(OR(COUNTIF($B$56:$B$205,B67)&gt;1,AND(D67&lt;&gt;"",COUNTIF($D$56:$D$205,D67)&gt;1),AND(K67&lt;&gt;"",COUNTIF($K$56:$K$205,K67)&gt;1),AND(L67&lt;&gt;"",COUNTIF($L$56:$L$205,L67)&gt;1)),"OUI","NON"))</f>
        <v/>
      </c>
      <c r="AX67" s="113"/>
    </row>
    <row r="68" customFormat="false" ht="15" hidden="false" customHeight="true" outlineLevel="0" collapsed="false">
      <c r="A68" s="107" t="str">
        <f aca="false">IF(B68="","","DON"&amp;TEXT(ROW()-55,"00000"))</f>
        <v/>
      </c>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07" t="str">
        <f aca="false">IFERROR(INDEX(PARAMETRES!$B$536:$B$586,MATCH(X68,PARAMETRES!$J$536:$J$586,0)),"")</f>
        <v/>
      </c>
      <c r="Z68" s="107" t="str">
        <f aca="false">IFERROR(INDEX(PARAMETRES!$D$536:$D$586,MATCH(X68,PARAMETRES!$J$536:$J$586,0)),"")</f>
        <v/>
      </c>
      <c r="AA68" s="107" t="str">
        <f aca="false">IFERROR(INDEX(PARAMETRES!$F$536:$F$586,MATCH(X68,PARAMETRES!$J$536:$J$586,0)),"")</f>
        <v/>
      </c>
      <c r="AB68" s="113"/>
      <c r="AC68" s="114"/>
      <c r="AD68" s="113"/>
      <c r="AE68" s="114"/>
      <c r="AF68" s="114"/>
      <c r="AG68" s="113"/>
      <c r="AH68" s="113"/>
      <c r="AI68" s="107" t="n">
        <f aca="false">IF(A68="",0,COUNTIF(tbl_Donateurs_Opportunites[ID Donateur],A68))</f>
        <v>0</v>
      </c>
      <c r="AJ68" s="107" t="n">
        <f aca="false">IF(A68="",0,COUNTIFS(tbl_Donateurs_Opportunites[ID Donateur],A68,tbl_Donateurs_Opportunites[Statut],"Ouverte"))</f>
        <v>0</v>
      </c>
      <c r="AK68" s="107" t="n">
        <f aca="false">IF(A68="",0,COUNTIF(tbl_Donateurs_Demandes[ID Donateur],A68))</f>
        <v>0</v>
      </c>
      <c r="AL68" s="107" t="n">
        <f aca="false">IF(A68="",0,COUNTIFS(tbl_Donateurs_Demandes[ID Donateur],A68,tbl_Donateurs_Demandes[Statut],"Approuvee")+COUNTIFS(tbl_Donateurs_Demandes[ID Donateur],A68,tbl_Donateurs_Demandes[Statut],"Financement recu"))</f>
        <v>0</v>
      </c>
      <c r="AM68" s="108" t="n">
        <f aca="false">IF(A68="",0,SUMIF(tbl_Donateurs_Demandes[ID Donateur],A68,tbl_Donateurs_Demandes[Montant demande]))</f>
        <v>0</v>
      </c>
      <c r="AN68" s="108" t="n">
        <f aca="false">IF(A68="",0,SUMIF(tbl_Donateurs_Demandes[ID Donateur],A68,tbl_Donateurs_Demandes[Montant accorde]))</f>
        <v>0</v>
      </c>
      <c r="AO68" s="108" t="n">
        <f aca="false">IF(A68="",0,SUMIF(tbl_Donateurs_Decaissements[ID Donateur],A68,tbl_Donateurs_Decaissements[Montant recu]))</f>
        <v>0</v>
      </c>
      <c r="AP68" s="109" t="str">
        <f aca="false">IFERROR(AL68/AK68,"")</f>
        <v/>
      </c>
      <c r="AQ68" s="107" t="n">
        <f aca="false">IF(A68="",0,COUNTIF(tbl_Donateurs_Contacts[ID Donateur],A68))</f>
        <v>0</v>
      </c>
      <c r="AR68" s="107" t="n">
        <f aca="false">IF(A68="",0,COUNTIF(tbl_Donateurs_Documents[ID Donateur],A68))</f>
        <v>0</v>
      </c>
      <c r="AS68" s="107" t="n">
        <f aca="false">IF(A68="",0,COUNTIF(tbl_Donateurs_Conventions[ID Donateur],A68))</f>
        <v>0</v>
      </c>
      <c r="AT68" s="115" t="n">
        <f aca="false">IFERROR(_xlfn.MAXIFS(tbl_Donateurs_Decaissements[Date recue],tbl_Donateurs_Decaissements[ID Donateur],A68),"")</f>
        <v>0</v>
      </c>
      <c r="AU68" s="108" t="str">
        <f aca="false">IFERROR(AN68/AL68,"")</f>
        <v/>
      </c>
      <c r="AV68" s="107" t="str">
        <f aca="true">IF(A68="","",IF(OR(AB68="A relancer",AND(AF68&lt;&gt;"",AF68&lt;=TODAY())),"OUI","NON"))</f>
        <v/>
      </c>
      <c r="AW68" s="107" t="str">
        <f aca="false">IF(B68="","",IF(OR(COUNTIF($B$56:$B$205,B68)&gt;1,AND(D68&lt;&gt;"",COUNTIF($D$56:$D$205,D68)&gt;1),AND(K68&lt;&gt;"",COUNTIF($K$56:$K$205,K68)&gt;1),AND(L68&lt;&gt;"",COUNTIF($L$56:$L$205,L68)&gt;1)),"OUI","NON"))</f>
        <v/>
      </c>
      <c r="AX68" s="113"/>
    </row>
    <row r="69" customFormat="false" ht="15" hidden="false" customHeight="true" outlineLevel="0" collapsed="false">
      <c r="A69" s="107" t="str">
        <f aca="false">IF(B69="","","DON"&amp;TEXT(ROW()-55,"00000"))</f>
        <v/>
      </c>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07" t="str">
        <f aca="false">IFERROR(INDEX(PARAMETRES!$B$536:$B$586,MATCH(X69,PARAMETRES!$J$536:$J$586,0)),"")</f>
        <v/>
      </c>
      <c r="Z69" s="107" t="str">
        <f aca="false">IFERROR(INDEX(PARAMETRES!$D$536:$D$586,MATCH(X69,PARAMETRES!$J$536:$J$586,0)),"")</f>
        <v/>
      </c>
      <c r="AA69" s="107" t="str">
        <f aca="false">IFERROR(INDEX(PARAMETRES!$F$536:$F$586,MATCH(X69,PARAMETRES!$J$536:$J$586,0)),"")</f>
        <v/>
      </c>
      <c r="AB69" s="113"/>
      <c r="AC69" s="114"/>
      <c r="AD69" s="113"/>
      <c r="AE69" s="114"/>
      <c r="AF69" s="114"/>
      <c r="AG69" s="113"/>
      <c r="AH69" s="113"/>
      <c r="AI69" s="107" t="n">
        <f aca="false">IF(A69="",0,COUNTIF(tbl_Donateurs_Opportunites[ID Donateur],A69))</f>
        <v>0</v>
      </c>
      <c r="AJ69" s="107" t="n">
        <f aca="false">IF(A69="",0,COUNTIFS(tbl_Donateurs_Opportunites[ID Donateur],A69,tbl_Donateurs_Opportunites[Statut],"Ouverte"))</f>
        <v>0</v>
      </c>
      <c r="AK69" s="107" t="n">
        <f aca="false">IF(A69="",0,COUNTIF(tbl_Donateurs_Demandes[ID Donateur],A69))</f>
        <v>0</v>
      </c>
      <c r="AL69" s="107" t="n">
        <f aca="false">IF(A69="",0,COUNTIFS(tbl_Donateurs_Demandes[ID Donateur],A69,tbl_Donateurs_Demandes[Statut],"Approuvee")+COUNTIFS(tbl_Donateurs_Demandes[ID Donateur],A69,tbl_Donateurs_Demandes[Statut],"Financement recu"))</f>
        <v>0</v>
      </c>
      <c r="AM69" s="108" t="n">
        <f aca="false">IF(A69="",0,SUMIF(tbl_Donateurs_Demandes[ID Donateur],A69,tbl_Donateurs_Demandes[Montant demande]))</f>
        <v>0</v>
      </c>
      <c r="AN69" s="108" t="n">
        <f aca="false">IF(A69="",0,SUMIF(tbl_Donateurs_Demandes[ID Donateur],A69,tbl_Donateurs_Demandes[Montant accorde]))</f>
        <v>0</v>
      </c>
      <c r="AO69" s="108" t="n">
        <f aca="false">IF(A69="",0,SUMIF(tbl_Donateurs_Decaissements[ID Donateur],A69,tbl_Donateurs_Decaissements[Montant recu]))</f>
        <v>0</v>
      </c>
      <c r="AP69" s="109" t="str">
        <f aca="false">IFERROR(AL69/AK69,"")</f>
        <v/>
      </c>
      <c r="AQ69" s="107" t="n">
        <f aca="false">IF(A69="",0,COUNTIF(tbl_Donateurs_Contacts[ID Donateur],A69))</f>
        <v>0</v>
      </c>
      <c r="AR69" s="107" t="n">
        <f aca="false">IF(A69="",0,COUNTIF(tbl_Donateurs_Documents[ID Donateur],A69))</f>
        <v>0</v>
      </c>
      <c r="AS69" s="107" t="n">
        <f aca="false">IF(A69="",0,COUNTIF(tbl_Donateurs_Conventions[ID Donateur],A69))</f>
        <v>0</v>
      </c>
      <c r="AT69" s="115" t="n">
        <f aca="false">IFERROR(_xlfn.MAXIFS(tbl_Donateurs_Decaissements[Date recue],tbl_Donateurs_Decaissements[ID Donateur],A69),"")</f>
        <v>0</v>
      </c>
      <c r="AU69" s="108" t="str">
        <f aca="false">IFERROR(AN69/AL69,"")</f>
        <v/>
      </c>
      <c r="AV69" s="107" t="str">
        <f aca="true">IF(A69="","",IF(OR(AB69="A relancer",AND(AF69&lt;&gt;"",AF69&lt;=TODAY())),"OUI","NON"))</f>
        <v/>
      </c>
      <c r="AW69" s="107" t="str">
        <f aca="false">IF(B69="","",IF(OR(COUNTIF($B$56:$B$205,B69)&gt;1,AND(D69&lt;&gt;"",COUNTIF($D$56:$D$205,D69)&gt;1),AND(K69&lt;&gt;"",COUNTIF($K$56:$K$205,K69)&gt;1),AND(L69&lt;&gt;"",COUNTIF($L$56:$L$205,L69)&gt;1)),"OUI","NON"))</f>
        <v/>
      </c>
      <c r="AX69" s="113"/>
    </row>
    <row r="70" customFormat="false" ht="15" hidden="false" customHeight="true" outlineLevel="0" collapsed="false">
      <c r="A70" s="107" t="str">
        <f aca="false">IF(B70="","","DON"&amp;TEXT(ROW()-55,"00000"))</f>
        <v/>
      </c>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07" t="str">
        <f aca="false">IFERROR(INDEX(PARAMETRES!$B$536:$B$586,MATCH(X70,PARAMETRES!$J$536:$J$586,0)),"")</f>
        <v/>
      </c>
      <c r="Z70" s="107" t="str">
        <f aca="false">IFERROR(INDEX(PARAMETRES!$D$536:$D$586,MATCH(X70,PARAMETRES!$J$536:$J$586,0)),"")</f>
        <v/>
      </c>
      <c r="AA70" s="107" t="str">
        <f aca="false">IFERROR(INDEX(PARAMETRES!$F$536:$F$586,MATCH(X70,PARAMETRES!$J$536:$J$586,0)),"")</f>
        <v/>
      </c>
      <c r="AB70" s="113"/>
      <c r="AC70" s="114"/>
      <c r="AD70" s="113"/>
      <c r="AE70" s="114"/>
      <c r="AF70" s="114"/>
      <c r="AG70" s="113"/>
      <c r="AH70" s="113"/>
      <c r="AI70" s="107" t="n">
        <f aca="false">IF(A70="",0,COUNTIF(tbl_Donateurs_Opportunites[ID Donateur],A70))</f>
        <v>0</v>
      </c>
      <c r="AJ70" s="107" t="n">
        <f aca="false">IF(A70="",0,COUNTIFS(tbl_Donateurs_Opportunites[ID Donateur],A70,tbl_Donateurs_Opportunites[Statut],"Ouverte"))</f>
        <v>0</v>
      </c>
      <c r="AK70" s="107" t="n">
        <f aca="false">IF(A70="",0,COUNTIF(tbl_Donateurs_Demandes[ID Donateur],A70))</f>
        <v>0</v>
      </c>
      <c r="AL70" s="107" t="n">
        <f aca="false">IF(A70="",0,COUNTIFS(tbl_Donateurs_Demandes[ID Donateur],A70,tbl_Donateurs_Demandes[Statut],"Approuvee")+COUNTIFS(tbl_Donateurs_Demandes[ID Donateur],A70,tbl_Donateurs_Demandes[Statut],"Financement recu"))</f>
        <v>0</v>
      </c>
      <c r="AM70" s="108" t="n">
        <f aca="false">IF(A70="",0,SUMIF(tbl_Donateurs_Demandes[ID Donateur],A70,tbl_Donateurs_Demandes[Montant demande]))</f>
        <v>0</v>
      </c>
      <c r="AN70" s="108" t="n">
        <f aca="false">IF(A70="",0,SUMIF(tbl_Donateurs_Demandes[ID Donateur],A70,tbl_Donateurs_Demandes[Montant accorde]))</f>
        <v>0</v>
      </c>
      <c r="AO70" s="108" t="n">
        <f aca="false">IF(A70="",0,SUMIF(tbl_Donateurs_Decaissements[ID Donateur],A70,tbl_Donateurs_Decaissements[Montant recu]))</f>
        <v>0</v>
      </c>
      <c r="AP70" s="109" t="str">
        <f aca="false">IFERROR(AL70/AK70,"")</f>
        <v/>
      </c>
      <c r="AQ70" s="107" t="n">
        <f aca="false">IF(A70="",0,COUNTIF(tbl_Donateurs_Contacts[ID Donateur],A70))</f>
        <v>0</v>
      </c>
      <c r="AR70" s="107" t="n">
        <f aca="false">IF(A70="",0,COUNTIF(tbl_Donateurs_Documents[ID Donateur],A70))</f>
        <v>0</v>
      </c>
      <c r="AS70" s="107" t="n">
        <f aca="false">IF(A70="",0,COUNTIF(tbl_Donateurs_Conventions[ID Donateur],A70))</f>
        <v>0</v>
      </c>
      <c r="AT70" s="115" t="n">
        <f aca="false">IFERROR(_xlfn.MAXIFS(tbl_Donateurs_Decaissements[Date recue],tbl_Donateurs_Decaissements[ID Donateur],A70),"")</f>
        <v>0</v>
      </c>
      <c r="AU70" s="108" t="str">
        <f aca="false">IFERROR(AN70/AL70,"")</f>
        <v/>
      </c>
      <c r="AV70" s="107" t="str">
        <f aca="true">IF(A70="","",IF(OR(AB70="A relancer",AND(AF70&lt;&gt;"",AF70&lt;=TODAY())),"OUI","NON"))</f>
        <v/>
      </c>
      <c r="AW70" s="107" t="str">
        <f aca="false">IF(B70="","",IF(OR(COUNTIF($B$56:$B$205,B70)&gt;1,AND(D70&lt;&gt;"",COUNTIF($D$56:$D$205,D70)&gt;1),AND(K70&lt;&gt;"",COUNTIF($K$56:$K$205,K70)&gt;1),AND(L70&lt;&gt;"",COUNTIF($L$56:$L$205,L70)&gt;1)),"OUI","NON"))</f>
        <v/>
      </c>
      <c r="AX70" s="113"/>
    </row>
    <row r="71" customFormat="false" ht="15" hidden="false" customHeight="true" outlineLevel="0" collapsed="false">
      <c r="A71" s="107" t="str">
        <f aca="false">IF(B71="","","DON"&amp;TEXT(ROW()-55,"00000"))</f>
        <v/>
      </c>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07" t="str">
        <f aca="false">IFERROR(INDEX(PARAMETRES!$B$536:$B$586,MATCH(X71,PARAMETRES!$J$536:$J$586,0)),"")</f>
        <v/>
      </c>
      <c r="Z71" s="107" t="str">
        <f aca="false">IFERROR(INDEX(PARAMETRES!$D$536:$D$586,MATCH(X71,PARAMETRES!$J$536:$J$586,0)),"")</f>
        <v/>
      </c>
      <c r="AA71" s="107" t="str">
        <f aca="false">IFERROR(INDEX(PARAMETRES!$F$536:$F$586,MATCH(X71,PARAMETRES!$J$536:$J$586,0)),"")</f>
        <v/>
      </c>
      <c r="AB71" s="113"/>
      <c r="AC71" s="114"/>
      <c r="AD71" s="113"/>
      <c r="AE71" s="114"/>
      <c r="AF71" s="114"/>
      <c r="AG71" s="113"/>
      <c r="AH71" s="113"/>
      <c r="AI71" s="107" t="n">
        <f aca="false">IF(A71="",0,COUNTIF(tbl_Donateurs_Opportunites[ID Donateur],A71))</f>
        <v>0</v>
      </c>
      <c r="AJ71" s="107" t="n">
        <f aca="false">IF(A71="",0,COUNTIFS(tbl_Donateurs_Opportunites[ID Donateur],A71,tbl_Donateurs_Opportunites[Statut],"Ouverte"))</f>
        <v>0</v>
      </c>
      <c r="AK71" s="107" t="n">
        <f aca="false">IF(A71="",0,COUNTIF(tbl_Donateurs_Demandes[ID Donateur],A71))</f>
        <v>0</v>
      </c>
      <c r="AL71" s="107" t="n">
        <f aca="false">IF(A71="",0,COUNTIFS(tbl_Donateurs_Demandes[ID Donateur],A71,tbl_Donateurs_Demandes[Statut],"Approuvee")+COUNTIFS(tbl_Donateurs_Demandes[ID Donateur],A71,tbl_Donateurs_Demandes[Statut],"Financement recu"))</f>
        <v>0</v>
      </c>
      <c r="AM71" s="108" t="n">
        <f aca="false">IF(A71="",0,SUMIF(tbl_Donateurs_Demandes[ID Donateur],A71,tbl_Donateurs_Demandes[Montant demande]))</f>
        <v>0</v>
      </c>
      <c r="AN71" s="108" t="n">
        <f aca="false">IF(A71="",0,SUMIF(tbl_Donateurs_Demandes[ID Donateur],A71,tbl_Donateurs_Demandes[Montant accorde]))</f>
        <v>0</v>
      </c>
      <c r="AO71" s="108" t="n">
        <f aca="false">IF(A71="",0,SUMIF(tbl_Donateurs_Decaissements[ID Donateur],A71,tbl_Donateurs_Decaissements[Montant recu]))</f>
        <v>0</v>
      </c>
      <c r="AP71" s="109" t="str">
        <f aca="false">IFERROR(AL71/AK71,"")</f>
        <v/>
      </c>
      <c r="AQ71" s="107" t="n">
        <f aca="false">IF(A71="",0,COUNTIF(tbl_Donateurs_Contacts[ID Donateur],A71))</f>
        <v>0</v>
      </c>
      <c r="AR71" s="107" t="n">
        <f aca="false">IF(A71="",0,COUNTIF(tbl_Donateurs_Documents[ID Donateur],A71))</f>
        <v>0</v>
      </c>
      <c r="AS71" s="107" t="n">
        <f aca="false">IF(A71="",0,COUNTIF(tbl_Donateurs_Conventions[ID Donateur],A71))</f>
        <v>0</v>
      </c>
      <c r="AT71" s="115" t="n">
        <f aca="false">IFERROR(_xlfn.MAXIFS(tbl_Donateurs_Decaissements[Date recue],tbl_Donateurs_Decaissements[ID Donateur],A71),"")</f>
        <v>0</v>
      </c>
      <c r="AU71" s="108" t="str">
        <f aca="false">IFERROR(AN71/AL71,"")</f>
        <v/>
      </c>
      <c r="AV71" s="107" t="str">
        <f aca="true">IF(A71="","",IF(OR(AB71="A relancer",AND(AF71&lt;&gt;"",AF71&lt;=TODAY())),"OUI","NON"))</f>
        <v/>
      </c>
      <c r="AW71" s="107" t="str">
        <f aca="false">IF(B71="","",IF(OR(COUNTIF($B$56:$B$205,B71)&gt;1,AND(D71&lt;&gt;"",COUNTIF($D$56:$D$205,D71)&gt;1),AND(K71&lt;&gt;"",COUNTIF($K$56:$K$205,K71)&gt;1),AND(L71&lt;&gt;"",COUNTIF($L$56:$L$205,L71)&gt;1)),"OUI","NON"))</f>
        <v/>
      </c>
      <c r="AX71" s="113"/>
    </row>
    <row r="72" customFormat="false" ht="15" hidden="false" customHeight="true" outlineLevel="0" collapsed="false">
      <c r="A72" s="107" t="str">
        <f aca="false">IF(B72="","","DON"&amp;TEXT(ROW()-55,"00000"))</f>
        <v/>
      </c>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07" t="str">
        <f aca="false">IFERROR(INDEX(PARAMETRES!$B$536:$B$586,MATCH(X72,PARAMETRES!$J$536:$J$586,0)),"")</f>
        <v/>
      </c>
      <c r="Z72" s="107" t="str">
        <f aca="false">IFERROR(INDEX(PARAMETRES!$D$536:$D$586,MATCH(X72,PARAMETRES!$J$536:$J$586,0)),"")</f>
        <v/>
      </c>
      <c r="AA72" s="107" t="str">
        <f aca="false">IFERROR(INDEX(PARAMETRES!$F$536:$F$586,MATCH(X72,PARAMETRES!$J$536:$J$586,0)),"")</f>
        <v/>
      </c>
      <c r="AB72" s="113"/>
      <c r="AC72" s="114"/>
      <c r="AD72" s="113"/>
      <c r="AE72" s="114"/>
      <c r="AF72" s="114"/>
      <c r="AG72" s="113"/>
      <c r="AH72" s="113"/>
      <c r="AI72" s="107" t="n">
        <f aca="false">IF(A72="",0,COUNTIF(tbl_Donateurs_Opportunites[ID Donateur],A72))</f>
        <v>0</v>
      </c>
      <c r="AJ72" s="107" t="n">
        <f aca="false">IF(A72="",0,COUNTIFS(tbl_Donateurs_Opportunites[ID Donateur],A72,tbl_Donateurs_Opportunites[Statut],"Ouverte"))</f>
        <v>0</v>
      </c>
      <c r="AK72" s="107" t="n">
        <f aca="false">IF(A72="",0,COUNTIF(tbl_Donateurs_Demandes[ID Donateur],A72))</f>
        <v>0</v>
      </c>
      <c r="AL72" s="107" t="n">
        <f aca="false">IF(A72="",0,COUNTIFS(tbl_Donateurs_Demandes[ID Donateur],A72,tbl_Donateurs_Demandes[Statut],"Approuvee")+COUNTIFS(tbl_Donateurs_Demandes[ID Donateur],A72,tbl_Donateurs_Demandes[Statut],"Financement recu"))</f>
        <v>0</v>
      </c>
      <c r="AM72" s="108" t="n">
        <f aca="false">IF(A72="",0,SUMIF(tbl_Donateurs_Demandes[ID Donateur],A72,tbl_Donateurs_Demandes[Montant demande]))</f>
        <v>0</v>
      </c>
      <c r="AN72" s="108" t="n">
        <f aca="false">IF(A72="",0,SUMIF(tbl_Donateurs_Demandes[ID Donateur],A72,tbl_Donateurs_Demandes[Montant accorde]))</f>
        <v>0</v>
      </c>
      <c r="AO72" s="108" t="n">
        <f aca="false">IF(A72="",0,SUMIF(tbl_Donateurs_Decaissements[ID Donateur],A72,tbl_Donateurs_Decaissements[Montant recu]))</f>
        <v>0</v>
      </c>
      <c r="AP72" s="109" t="str">
        <f aca="false">IFERROR(AL72/AK72,"")</f>
        <v/>
      </c>
      <c r="AQ72" s="107" t="n">
        <f aca="false">IF(A72="",0,COUNTIF(tbl_Donateurs_Contacts[ID Donateur],A72))</f>
        <v>0</v>
      </c>
      <c r="AR72" s="107" t="n">
        <f aca="false">IF(A72="",0,COUNTIF(tbl_Donateurs_Documents[ID Donateur],A72))</f>
        <v>0</v>
      </c>
      <c r="AS72" s="107" t="n">
        <f aca="false">IF(A72="",0,COUNTIF(tbl_Donateurs_Conventions[ID Donateur],A72))</f>
        <v>0</v>
      </c>
      <c r="AT72" s="115" t="n">
        <f aca="false">IFERROR(_xlfn.MAXIFS(tbl_Donateurs_Decaissements[Date recue],tbl_Donateurs_Decaissements[ID Donateur],A72),"")</f>
        <v>0</v>
      </c>
      <c r="AU72" s="108" t="str">
        <f aca="false">IFERROR(AN72/AL72,"")</f>
        <v/>
      </c>
      <c r="AV72" s="107" t="str">
        <f aca="true">IF(A72="","",IF(OR(AB72="A relancer",AND(AF72&lt;&gt;"",AF72&lt;=TODAY())),"OUI","NON"))</f>
        <v/>
      </c>
      <c r="AW72" s="107" t="str">
        <f aca="false">IF(B72="","",IF(OR(COUNTIF($B$56:$B$205,B72)&gt;1,AND(D72&lt;&gt;"",COUNTIF($D$56:$D$205,D72)&gt;1),AND(K72&lt;&gt;"",COUNTIF($K$56:$K$205,K72)&gt;1),AND(L72&lt;&gt;"",COUNTIF($L$56:$L$205,L72)&gt;1)),"OUI","NON"))</f>
        <v/>
      </c>
      <c r="AX72" s="113"/>
    </row>
    <row r="73" customFormat="false" ht="15" hidden="false" customHeight="true" outlineLevel="0" collapsed="false">
      <c r="A73" s="107" t="str">
        <f aca="false">IF(B73="","","DON"&amp;TEXT(ROW()-55,"00000"))</f>
        <v/>
      </c>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07" t="str">
        <f aca="false">IFERROR(INDEX(PARAMETRES!$B$536:$B$586,MATCH(X73,PARAMETRES!$J$536:$J$586,0)),"")</f>
        <v/>
      </c>
      <c r="Z73" s="107" t="str">
        <f aca="false">IFERROR(INDEX(PARAMETRES!$D$536:$D$586,MATCH(X73,PARAMETRES!$J$536:$J$586,0)),"")</f>
        <v/>
      </c>
      <c r="AA73" s="107" t="str">
        <f aca="false">IFERROR(INDEX(PARAMETRES!$F$536:$F$586,MATCH(X73,PARAMETRES!$J$536:$J$586,0)),"")</f>
        <v/>
      </c>
      <c r="AB73" s="113"/>
      <c r="AC73" s="114"/>
      <c r="AD73" s="113"/>
      <c r="AE73" s="114"/>
      <c r="AF73" s="114"/>
      <c r="AG73" s="113"/>
      <c r="AH73" s="113"/>
      <c r="AI73" s="107" t="n">
        <f aca="false">IF(A73="",0,COUNTIF(tbl_Donateurs_Opportunites[ID Donateur],A73))</f>
        <v>0</v>
      </c>
      <c r="AJ73" s="107" t="n">
        <f aca="false">IF(A73="",0,COUNTIFS(tbl_Donateurs_Opportunites[ID Donateur],A73,tbl_Donateurs_Opportunites[Statut],"Ouverte"))</f>
        <v>0</v>
      </c>
      <c r="AK73" s="107" t="n">
        <f aca="false">IF(A73="",0,COUNTIF(tbl_Donateurs_Demandes[ID Donateur],A73))</f>
        <v>0</v>
      </c>
      <c r="AL73" s="107" t="n">
        <f aca="false">IF(A73="",0,COUNTIFS(tbl_Donateurs_Demandes[ID Donateur],A73,tbl_Donateurs_Demandes[Statut],"Approuvee")+COUNTIFS(tbl_Donateurs_Demandes[ID Donateur],A73,tbl_Donateurs_Demandes[Statut],"Financement recu"))</f>
        <v>0</v>
      </c>
      <c r="AM73" s="108" t="n">
        <f aca="false">IF(A73="",0,SUMIF(tbl_Donateurs_Demandes[ID Donateur],A73,tbl_Donateurs_Demandes[Montant demande]))</f>
        <v>0</v>
      </c>
      <c r="AN73" s="108" t="n">
        <f aca="false">IF(A73="",0,SUMIF(tbl_Donateurs_Demandes[ID Donateur],A73,tbl_Donateurs_Demandes[Montant accorde]))</f>
        <v>0</v>
      </c>
      <c r="AO73" s="108" t="n">
        <f aca="false">IF(A73="",0,SUMIF(tbl_Donateurs_Decaissements[ID Donateur],A73,tbl_Donateurs_Decaissements[Montant recu]))</f>
        <v>0</v>
      </c>
      <c r="AP73" s="109" t="str">
        <f aca="false">IFERROR(AL73/AK73,"")</f>
        <v/>
      </c>
      <c r="AQ73" s="107" t="n">
        <f aca="false">IF(A73="",0,COUNTIF(tbl_Donateurs_Contacts[ID Donateur],A73))</f>
        <v>0</v>
      </c>
      <c r="AR73" s="107" t="n">
        <f aca="false">IF(A73="",0,COUNTIF(tbl_Donateurs_Documents[ID Donateur],A73))</f>
        <v>0</v>
      </c>
      <c r="AS73" s="107" t="n">
        <f aca="false">IF(A73="",0,COUNTIF(tbl_Donateurs_Conventions[ID Donateur],A73))</f>
        <v>0</v>
      </c>
      <c r="AT73" s="115" t="n">
        <f aca="false">IFERROR(_xlfn.MAXIFS(tbl_Donateurs_Decaissements[Date recue],tbl_Donateurs_Decaissements[ID Donateur],A73),"")</f>
        <v>0</v>
      </c>
      <c r="AU73" s="108" t="str">
        <f aca="false">IFERROR(AN73/AL73,"")</f>
        <v/>
      </c>
      <c r="AV73" s="107" t="str">
        <f aca="true">IF(A73="","",IF(OR(AB73="A relancer",AND(AF73&lt;&gt;"",AF73&lt;=TODAY())),"OUI","NON"))</f>
        <v/>
      </c>
      <c r="AW73" s="107" t="str">
        <f aca="false">IF(B73="","",IF(OR(COUNTIF($B$56:$B$205,B73)&gt;1,AND(D73&lt;&gt;"",COUNTIF($D$56:$D$205,D73)&gt;1),AND(K73&lt;&gt;"",COUNTIF($K$56:$K$205,K73)&gt;1),AND(L73&lt;&gt;"",COUNTIF($L$56:$L$205,L73)&gt;1)),"OUI","NON"))</f>
        <v/>
      </c>
      <c r="AX73" s="113"/>
    </row>
    <row r="74" customFormat="false" ht="15" hidden="false" customHeight="true" outlineLevel="0" collapsed="false">
      <c r="A74" s="107" t="str">
        <f aca="false">IF(B74="","","DON"&amp;TEXT(ROW()-55,"00000"))</f>
        <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07" t="str">
        <f aca="false">IFERROR(INDEX(PARAMETRES!$B$536:$B$586,MATCH(X74,PARAMETRES!$J$536:$J$586,0)),"")</f>
        <v/>
      </c>
      <c r="Z74" s="107" t="str">
        <f aca="false">IFERROR(INDEX(PARAMETRES!$D$536:$D$586,MATCH(X74,PARAMETRES!$J$536:$J$586,0)),"")</f>
        <v/>
      </c>
      <c r="AA74" s="107" t="str">
        <f aca="false">IFERROR(INDEX(PARAMETRES!$F$536:$F$586,MATCH(X74,PARAMETRES!$J$536:$J$586,0)),"")</f>
        <v/>
      </c>
      <c r="AB74" s="113"/>
      <c r="AC74" s="114"/>
      <c r="AD74" s="113"/>
      <c r="AE74" s="114"/>
      <c r="AF74" s="114"/>
      <c r="AG74" s="113"/>
      <c r="AH74" s="113"/>
      <c r="AI74" s="107" t="n">
        <f aca="false">IF(A74="",0,COUNTIF(tbl_Donateurs_Opportunites[ID Donateur],A74))</f>
        <v>0</v>
      </c>
      <c r="AJ74" s="107" t="n">
        <f aca="false">IF(A74="",0,COUNTIFS(tbl_Donateurs_Opportunites[ID Donateur],A74,tbl_Donateurs_Opportunites[Statut],"Ouverte"))</f>
        <v>0</v>
      </c>
      <c r="AK74" s="107" t="n">
        <f aca="false">IF(A74="",0,COUNTIF(tbl_Donateurs_Demandes[ID Donateur],A74))</f>
        <v>0</v>
      </c>
      <c r="AL74" s="107" t="n">
        <f aca="false">IF(A74="",0,COUNTIFS(tbl_Donateurs_Demandes[ID Donateur],A74,tbl_Donateurs_Demandes[Statut],"Approuvee")+COUNTIFS(tbl_Donateurs_Demandes[ID Donateur],A74,tbl_Donateurs_Demandes[Statut],"Financement recu"))</f>
        <v>0</v>
      </c>
      <c r="AM74" s="108" t="n">
        <f aca="false">IF(A74="",0,SUMIF(tbl_Donateurs_Demandes[ID Donateur],A74,tbl_Donateurs_Demandes[Montant demande]))</f>
        <v>0</v>
      </c>
      <c r="AN74" s="108" t="n">
        <f aca="false">IF(A74="",0,SUMIF(tbl_Donateurs_Demandes[ID Donateur],A74,tbl_Donateurs_Demandes[Montant accorde]))</f>
        <v>0</v>
      </c>
      <c r="AO74" s="108" t="n">
        <f aca="false">IF(A74="",0,SUMIF(tbl_Donateurs_Decaissements[ID Donateur],A74,tbl_Donateurs_Decaissements[Montant recu]))</f>
        <v>0</v>
      </c>
      <c r="AP74" s="109" t="str">
        <f aca="false">IFERROR(AL74/AK74,"")</f>
        <v/>
      </c>
      <c r="AQ74" s="107" t="n">
        <f aca="false">IF(A74="",0,COUNTIF(tbl_Donateurs_Contacts[ID Donateur],A74))</f>
        <v>0</v>
      </c>
      <c r="AR74" s="107" t="n">
        <f aca="false">IF(A74="",0,COUNTIF(tbl_Donateurs_Documents[ID Donateur],A74))</f>
        <v>0</v>
      </c>
      <c r="AS74" s="107" t="n">
        <f aca="false">IF(A74="",0,COUNTIF(tbl_Donateurs_Conventions[ID Donateur],A74))</f>
        <v>0</v>
      </c>
      <c r="AT74" s="115" t="n">
        <f aca="false">IFERROR(_xlfn.MAXIFS(tbl_Donateurs_Decaissements[Date recue],tbl_Donateurs_Decaissements[ID Donateur],A74),"")</f>
        <v>0</v>
      </c>
      <c r="AU74" s="108" t="str">
        <f aca="false">IFERROR(AN74/AL74,"")</f>
        <v/>
      </c>
      <c r="AV74" s="107" t="str">
        <f aca="true">IF(A74="","",IF(OR(AB74="A relancer",AND(AF74&lt;&gt;"",AF74&lt;=TODAY())),"OUI","NON"))</f>
        <v/>
      </c>
      <c r="AW74" s="107" t="str">
        <f aca="false">IF(B74="","",IF(OR(COUNTIF($B$56:$B$205,B74)&gt;1,AND(D74&lt;&gt;"",COUNTIF($D$56:$D$205,D74)&gt;1),AND(K74&lt;&gt;"",COUNTIF($K$56:$K$205,K74)&gt;1),AND(L74&lt;&gt;"",COUNTIF($L$56:$L$205,L74)&gt;1)),"OUI","NON"))</f>
        <v/>
      </c>
      <c r="AX74" s="113"/>
    </row>
    <row r="75" customFormat="false" ht="15" hidden="false" customHeight="true" outlineLevel="0" collapsed="false">
      <c r="A75" s="107" t="str">
        <f aca="false">IF(B75="","","DON"&amp;TEXT(ROW()-55,"00000"))</f>
        <v/>
      </c>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07" t="str">
        <f aca="false">IFERROR(INDEX(PARAMETRES!$B$536:$B$586,MATCH(X75,PARAMETRES!$J$536:$J$586,0)),"")</f>
        <v/>
      </c>
      <c r="Z75" s="107" t="str">
        <f aca="false">IFERROR(INDEX(PARAMETRES!$D$536:$D$586,MATCH(X75,PARAMETRES!$J$536:$J$586,0)),"")</f>
        <v/>
      </c>
      <c r="AA75" s="107" t="str">
        <f aca="false">IFERROR(INDEX(PARAMETRES!$F$536:$F$586,MATCH(X75,PARAMETRES!$J$536:$J$586,0)),"")</f>
        <v/>
      </c>
      <c r="AB75" s="113"/>
      <c r="AC75" s="114"/>
      <c r="AD75" s="113"/>
      <c r="AE75" s="114"/>
      <c r="AF75" s="114"/>
      <c r="AG75" s="113"/>
      <c r="AH75" s="113"/>
      <c r="AI75" s="107" t="n">
        <f aca="false">IF(A75="",0,COUNTIF(tbl_Donateurs_Opportunites[ID Donateur],A75))</f>
        <v>0</v>
      </c>
      <c r="AJ75" s="107" t="n">
        <f aca="false">IF(A75="",0,COUNTIFS(tbl_Donateurs_Opportunites[ID Donateur],A75,tbl_Donateurs_Opportunites[Statut],"Ouverte"))</f>
        <v>0</v>
      </c>
      <c r="AK75" s="107" t="n">
        <f aca="false">IF(A75="",0,COUNTIF(tbl_Donateurs_Demandes[ID Donateur],A75))</f>
        <v>0</v>
      </c>
      <c r="AL75" s="107" t="n">
        <f aca="false">IF(A75="",0,COUNTIFS(tbl_Donateurs_Demandes[ID Donateur],A75,tbl_Donateurs_Demandes[Statut],"Approuvee")+COUNTIFS(tbl_Donateurs_Demandes[ID Donateur],A75,tbl_Donateurs_Demandes[Statut],"Financement recu"))</f>
        <v>0</v>
      </c>
      <c r="AM75" s="108" t="n">
        <f aca="false">IF(A75="",0,SUMIF(tbl_Donateurs_Demandes[ID Donateur],A75,tbl_Donateurs_Demandes[Montant demande]))</f>
        <v>0</v>
      </c>
      <c r="AN75" s="108" t="n">
        <f aca="false">IF(A75="",0,SUMIF(tbl_Donateurs_Demandes[ID Donateur],A75,tbl_Donateurs_Demandes[Montant accorde]))</f>
        <v>0</v>
      </c>
      <c r="AO75" s="108" t="n">
        <f aca="false">IF(A75="",0,SUMIF(tbl_Donateurs_Decaissements[ID Donateur],A75,tbl_Donateurs_Decaissements[Montant recu]))</f>
        <v>0</v>
      </c>
      <c r="AP75" s="109" t="str">
        <f aca="false">IFERROR(AL75/AK75,"")</f>
        <v/>
      </c>
      <c r="AQ75" s="107" t="n">
        <f aca="false">IF(A75="",0,COUNTIF(tbl_Donateurs_Contacts[ID Donateur],A75))</f>
        <v>0</v>
      </c>
      <c r="AR75" s="107" t="n">
        <f aca="false">IF(A75="",0,COUNTIF(tbl_Donateurs_Documents[ID Donateur],A75))</f>
        <v>0</v>
      </c>
      <c r="AS75" s="107" t="n">
        <f aca="false">IF(A75="",0,COUNTIF(tbl_Donateurs_Conventions[ID Donateur],A75))</f>
        <v>0</v>
      </c>
      <c r="AT75" s="115" t="n">
        <f aca="false">IFERROR(_xlfn.MAXIFS(tbl_Donateurs_Decaissements[Date recue],tbl_Donateurs_Decaissements[ID Donateur],A75),"")</f>
        <v>0</v>
      </c>
      <c r="AU75" s="108" t="str">
        <f aca="false">IFERROR(AN75/AL75,"")</f>
        <v/>
      </c>
      <c r="AV75" s="107" t="str">
        <f aca="true">IF(A75="","",IF(OR(AB75="A relancer",AND(AF75&lt;&gt;"",AF75&lt;=TODAY())),"OUI","NON"))</f>
        <v/>
      </c>
      <c r="AW75" s="107" t="str">
        <f aca="false">IF(B75="","",IF(OR(COUNTIF($B$56:$B$205,B75)&gt;1,AND(D75&lt;&gt;"",COUNTIF($D$56:$D$205,D75)&gt;1),AND(K75&lt;&gt;"",COUNTIF($K$56:$K$205,K75)&gt;1),AND(L75&lt;&gt;"",COUNTIF($L$56:$L$205,L75)&gt;1)),"OUI","NON"))</f>
        <v/>
      </c>
      <c r="AX75" s="113"/>
    </row>
    <row r="76" customFormat="false" ht="15" hidden="false" customHeight="true" outlineLevel="0" collapsed="false">
      <c r="A76" s="107" t="str">
        <f aca="false">IF(B76="","","DON"&amp;TEXT(ROW()-55,"00000"))</f>
        <v/>
      </c>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07" t="str">
        <f aca="false">IFERROR(INDEX(PARAMETRES!$B$536:$B$586,MATCH(X76,PARAMETRES!$J$536:$J$586,0)),"")</f>
        <v/>
      </c>
      <c r="Z76" s="107" t="str">
        <f aca="false">IFERROR(INDEX(PARAMETRES!$D$536:$D$586,MATCH(X76,PARAMETRES!$J$536:$J$586,0)),"")</f>
        <v/>
      </c>
      <c r="AA76" s="107" t="str">
        <f aca="false">IFERROR(INDEX(PARAMETRES!$F$536:$F$586,MATCH(X76,PARAMETRES!$J$536:$J$586,0)),"")</f>
        <v/>
      </c>
      <c r="AB76" s="113"/>
      <c r="AC76" s="114"/>
      <c r="AD76" s="113"/>
      <c r="AE76" s="114"/>
      <c r="AF76" s="114"/>
      <c r="AG76" s="113"/>
      <c r="AH76" s="113"/>
      <c r="AI76" s="107" t="n">
        <f aca="false">IF(A76="",0,COUNTIF(tbl_Donateurs_Opportunites[ID Donateur],A76))</f>
        <v>0</v>
      </c>
      <c r="AJ76" s="107" t="n">
        <f aca="false">IF(A76="",0,COUNTIFS(tbl_Donateurs_Opportunites[ID Donateur],A76,tbl_Donateurs_Opportunites[Statut],"Ouverte"))</f>
        <v>0</v>
      </c>
      <c r="AK76" s="107" t="n">
        <f aca="false">IF(A76="",0,COUNTIF(tbl_Donateurs_Demandes[ID Donateur],A76))</f>
        <v>0</v>
      </c>
      <c r="AL76" s="107" t="n">
        <f aca="false">IF(A76="",0,COUNTIFS(tbl_Donateurs_Demandes[ID Donateur],A76,tbl_Donateurs_Demandes[Statut],"Approuvee")+COUNTIFS(tbl_Donateurs_Demandes[ID Donateur],A76,tbl_Donateurs_Demandes[Statut],"Financement recu"))</f>
        <v>0</v>
      </c>
      <c r="AM76" s="108" t="n">
        <f aca="false">IF(A76="",0,SUMIF(tbl_Donateurs_Demandes[ID Donateur],A76,tbl_Donateurs_Demandes[Montant demande]))</f>
        <v>0</v>
      </c>
      <c r="AN76" s="108" t="n">
        <f aca="false">IF(A76="",0,SUMIF(tbl_Donateurs_Demandes[ID Donateur],A76,tbl_Donateurs_Demandes[Montant accorde]))</f>
        <v>0</v>
      </c>
      <c r="AO76" s="108" t="n">
        <f aca="false">IF(A76="",0,SUMIF(tbl_Donateurs_Decaissements[ID Donateur],A76,tbl_Donateurs_Decaissements[Montant recu]))</f>
        <v>0</v>
      </c>
      <c r="AP76" s="109" t="str">
        <f aca="false">IFERROR(AL76/AK76,"")</f>
        <v/>
      </c>
      <c r="AQ76" s="107" t="n">
        <f aca="false">IF(A76="",0,COUNTIF(tbl_Donateurs_Contacts[ID Donateur],A76))</f>
        <v>0</v>
      </c>
      <c r="AR76" s="107" t="n">
        <f aca="false">IF(A76="",0,COUNTIF(tbl_Donateurs_Documents[ID Donateur],A76))</f>
        <v>0</v>
      </c>
      <c r="AS76" s="107" t="n">
        <f aca="false">IF(A76="",0,COUNTIF(tbl_Donateurs_Conventions[ID Donateur],A76))</f>
        <v>0</v>
      </c>
      <c r="AT76" s="115" t="n">
        <f aca="false">IFERROR(_xlfn.MAXIFS(tbl_Donateurs_Decaissements[Date recue],tbl_Donateurs_Decaissements[ID Donateur],A76),"")</f>
        <v>0</v>
      </c>
      <c r="AU76" s="108" t="str">
        <f aca="false">IFERROR(AN76/AL76,"")</f>
        <v/>
      </c>
      <c r="AV76" s="107" t="str">
        <f aca="true">IF(A76="","",IF(OR(AB76="A relancer",AND(AF76&lt;&gt;"",AF76&lt;=TODAY())),"OUI","NON"))</f>
        <v/>
      </c>
      <c r="AW76" s="107" t="str">
        <f aca="false">IF(B76="","",IF(OR(COUNTIF($B$56:$B$205,B76)&gt;1,AND(D76&lt;&gt;"",COUNTIF($D$56:$D$205,D76)&gt;1),AND(K76&lt;&gt;"",COUNTIF($K$56:$K$205,K76)&gt;1),AND(L76&lt;&gt;"",COUNTIF($L$56:$L$205,L76)&gt;1)),"OUI","NON"))</f>
        <v/>
      </c>
      <c r="AX76" s="113"/>
    </row>
    <row r="77" customFormat="false" ht="15" hidden="false" customHeight="true" outlineLevel="0" collapsed="false">
      <c r="A77" s="107" t="str">
        <f aca="false">IF(B77="","","DON"&amp;TEXT(ROW()-55,"00000"))</f>
        <v/>
      </c>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07" t="str">
        <f aca="false">IFERROR(INDEX(PARAMETRES!$B$536:$B$586,MATCH(X77,PARAMETRES!$J$536:$J$586,0)),"")</f>
        <v/>
      </c>
      <c r="Z77" s="107" t="str">
        <f aca="false">IFERROR(INDEX(PARAMETRES!$D$536:$D$586,MATCH(X77,PARAMETRES!$J$536:$J$586,0)),"")</f>
        <v/>
      </c>
      <c r="AA77" s="107" t="str">
        <f aca="false">IFERROR(INDEX(PARAMETRES!$F$536:$F$586,MATCH(X77,PARAMETRES!$J$536:$J$586,0)),"")</f>
        <v/>
      </c>
      <c r="AB77" s="113"/>
      <c r="AC77" s="114"/>
      <c r="AD77" s="113"/>
      <c r="AE77" s="114"/>
      <c r="AF77" s="114"/>
      <c r="AG77" s="113"/>
      <c r="AH77" s="113"/>
      <c r="AI77" s="107" t="n">
        <f aca="false">IF(A77="",0,COUNTIF(tbl_Donateurs_Opportunites[ID Donateur],A77))</f>
        <v>0</v>
      </c>
      <c r="AJ77" s="107" t="n">
        <f aca="false">IF(A77="",0,COUNTIFS(tbl_Donateurs_Opportunites[ID Donateur],A77,tbl_Donateurs_Opportunites[Statut],"Ouverte"))</f>
        <v>0</v>
      </c>
      <c r="AK77" s="107" t="n">
        <f aca="false">IF(A77="",0,COUNTIF(tbl_Donateurs_Demandes[ID Donateur],A77))</f>
        <v>0</v>
      </c>
      <c r="AL77" s="107" t="n">
        <f aca="false">IF(A77="",0,COUNTIFS(tbl_Donateurs_Demandes[ID Donateur],A77,tbl_Donateurs_Demandes[Statut],"Approuvee")+COUNTIFS(tbl_Donateurs_Demandes[ID Donateur],A77,tbl_Donateurs_Demandes[Statut],"Financement recu"))</f>
        <v>0</v>
      </c>
      <c r="AM77" s="108" t="n">
        <f aca="false">IF(A77="",0,SUMIF(tbl_Donateurs_Demandes[ID Donateur],A77,tbl_Donateurs_Demandes[Montant demande]))</f>
        <v>0</v>
      </c>
      <c r="AN77" s="108" t="n">
        <f aca="false">IF(A77="",0,SUMIF(tbl_Donateurs_Demandes[ID Donateur],A77,tbl_Donateurs_Demandes[Montant accorde]))</f>
        <v>0</v>
      </c>
      <c r="AO77" s="108" t="n">
        <f aca="false">IF(A77="",0,SUMIF(tbl_Donateurs_Decaissements[ID Donateur],A77,tbl_Donateurs_Decaissements[Montant recu]))</f>
        <v>0</v>
      </c>
      <c r="AP77" s="109" t="str">
        <f aca="false">IFERROR(AL77/AK77,"")</f>
        <v/>
      </c>
      <c r="AQ77" s="107" t="n">
        <f aca="false">IF(A77="",0,COUNTIF(tbl_Donateurs_Contacts[ID Donateur],A77))</f>
        <v>0</v>
      </c>
      <c r="AR77" s="107" t="n">
        <f aca="false">IF(A77="",0,COUNTIF(tbl_Donateurs_Documents[ID Donateur],A77))</f>
        <v>0</v>
      </c>
      <c r="AS77" s="107" t="n">
        <f aca="false">IF(A77="",0,COUNTIF(tbl_Donateurs_Conventions[ID Donateur],A77))</f>
        <v>0</v>
      </c>
      <c r="AT77" s="115" t="n">
        <f aca="false">IFERROR(_xlfn.MAXIFS(tbl_Donateurs_Decaissements[Date recue],tbl_Donateurs_Decaissements[ID Donateur],A77),"")</f>
        <v>0</v>
      </c>
      <c r="AU77" s="108" t="str">
        <f aca="false">IFERROR(AN77/AL77,"")</f>
        <v/>
      </c>
      <c r="AV77" s="107" t="str">
        <f aca="true">IF(A77="","",IF(OR(AB77="A relancer",AND(AF77&lt;&gt;"",AF77&lt;=TODAY())),"OUI","NON"))</f>
        <v/>
      </c>
      <c r="AW77" s="107" t="str">
        <f aca="false">IF(B77="","",IF(OR(COUNTIF($B$56:$B$205,B77)&gt;1,AND(D77&lt;&gt;"",COUNTIF($D$56:$D$205,D77)&gt;1),AND(K77&lt;&gt;"",COUNTIF($K$56:$K$205,K77)&gt;1),AND(L77&lt;&gt;"",COUNTIF($L$56:$L$205,L77)&gt;1)),"OUI","NON"))</f>
        <v/>
      </c>
      <c r="AX77" s="113"/>
    </row>
    <row r="78" customFormat="false" ht="15" hidden="false" customHeight="true" outlineLevel="0" collapsed="false">
      <c r="A78" s="107" t="str">
        <f aca="false">IF(B78="","","DON"&amp;TEXT(ROW()-55,"00000"))</f>
        <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07" t="str">
        <f aca="false">IFERROR(INDEX(PARAMETRES!$B$536:$B$586,MATCH(X78,PARAMETRES!$J$536:$J$586,0)),"")</f>
        <v/>
      </c>
      <c r="Z78" s="107" t="str">
        <f aca="false">IFERROR(INDEX(PARAMETRES!$D$536:$D$586,MATCH(X78,PARAMETRES!$J$536:$J$586,0)),"")</f>
        <v/>
      </c>
      <c r="AA78" s="107" t="str">
        <f aca="false">IFERROR(INDEX(PARAMETRES!$F$536:$F$586,MATCH(X78,PARAMETRES!$J$536:$J$586,0)),"")</f>
        <v/>
      </c>
      <c r="AB78" s="113"/>
      <c r="AC78" s="114"/>
      <c r="AD78" s="113"/>
      <c r="AE78" s="114"/>
      <c r="AF78" s="114"/>
      <c r="AG78" s="113"/>
      <c r="AH78" s="113"/>
      <c r="AI78" s="107" t="n">
        <f aca="false">IF(A78="",0,COUNTIF(tbl_Donateurs_Opportunites[ID Donateur],A78))</f>
        <v>0</v>
      </c>
      <c r="AJ78" s="107" t="n">
        <f aca="false">IF(A78="",0,COUNTIFS(tbl_Donateurs_Opportunites[ID Donateur],A78,tbl_Donateurs_Opportunites[Statut],"Ouverte"))</f>
        <v>0</v>
      </c>
      <c r="AK78" s="107" t="n">
        <f aca="false">IF(A78="",0,COUNTIF(tbl_Donateurs_Demandes[ID Donateur],A78))</f>
        <v>0</v>
      </c>
      <c r="AL78" s="107" t="n">
        <f aca="false">IF(A78="",0,COUNTIFS(tbl_Donateurs_Demandes[ID Donateur],A78,tbl_Donateurs_Demandes[Statut],"Approuvee")+COUNTIFS(tbl_Donateurs_Demandes[ID Donateur],A78,tbl_Donateurs_Demandes[Statut],"Financement recu"))</f>
        <v>0</v>
      </c>
      <c r="AM78" s="108" t="n">
        <f aca="false">IF(A78="",0,SUMIF(tbl_Donateurs_Demandes[ID Donateur],A78,tbl_Donateurs_Demandes[Montant demande]))</f>
        <v>0</v>
      </c>
      <c r="AN78" s="108" t="n">
        <f aca="false">IF(A78="",0,SUMIF(tbl_Donateurs_Demandes[ID Donateur],A78,tbl_Donateurs_Demandes[Montant accorde]))</f>
        <v>0</v>
      </c>
      <c r="AO78" s="108" t="n">
        <f aca="false">IF(A78="",0,SUMIF(tbl_Donateurs_Decaissements[ID Donateur],A78,tbl_Donateurs_Decaissements[Montant recu]))</f>
        <v>0</v>
      </c>
      <c r="AP78" s="109" t="str">
        <f aca="false">IFERROR(AL78/AK78,"")</f>
        <v/>
      </c>
      <c r="AQ78" s="107" t="n">
        <f aca="false">IF(A78="",0,COUNTIF(tbl_Donateurs_Contacts[ID Donateur],A78))</f>
        <v>0</v>
      </c>
      <c r="AR78" s="107" t="n">
        <f aca="false">IF(A78="",0,COUNTIF(tbl_Donateurs_Documents[ID Donateur],A78))</f>
        <v>0</v>
      </c>
      <c r="AS78" s="107" t="n">
        <f aca="false">IF(A78="",0,COUNTIF(tbl_Donateurs_Conventions[ID Donateur],A78))</f>
        <v>0</v>
      </c>
      <c r="AT78" s="115" t="n">
        <f aca="false">IFERROR(_xlfn.MAXIFS(tbl_Donateurs_Decaissements[Date recue],tbl_Donateurs_Decaissements[ID Donateur],A78),"")</f>
        <v>0</v>
      </c>
      <c r="AU78" s="108" t="str">
        <f aca="false">IFERROR(AN78/AL78,"")</f>
        <v/>
      </c>
      <c r="AV78" s="107" t="str">
        <f aca="true">IF(A78="","",IF(OR(AB78="A relancer",AND(AF78&lt;&gt;"",AF78&lt;=TODAY())),"OUI","NON"))</f>
        <v/>
      </c>
      <c r="AW78" s="107" t="str">
        <f aca="false">IF(B78="","",IF(OR(COUNTIF($B$56:$B$205,B78)&gt;1,AND(D78&lt;&gt;"",COUNTIF($D$56:$D$205,D78)&gt;1),AND(K78&lt;&gt;"",COUNTIF($K$56:$K$205,K78)&gt;1),AND(L78&lt;&gt;"",COUNTIF($L$56:$L$205,L78)&gt;1)),"OUI","NON"))</f>
        <v/>
      </c>
      <c r="AX78" s="113"/>
    </row>
    <row r="79" customFormat="false" ht="15" hidden="false" customHeight="true" outlineLevel="0" collapsed="false">
      <c r="A79" s="107" t="str">
        <f aca="false">IF(B79="","","DON"&amp;TEXT(ROW()-55,"00000"))</f>
        <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07" t="str">
        <f aca="false">IFERROR(INDEX(PARAMETRES!$B$536:$B$586,MATCH(X79,PARAMETRES!$J$536:$J$586,0)),"")</f>
        <v/>
      </c>
      <c r="Z79" s="107" t="str">
        <f aca="false">IFERROR(INDEX(PARAMETRES!$D$536:$D$586,MATCH(X79,PARAMETRES!$J$536:$J$586,0)),"")</f>
        <v/>
      </c>
      <c r="AA79" s="107" t="str">
        <f aca="false">IFERROR(INDEX(PARAMETRES!$F$536:$F$586,MATCH(X79,PARAMETRES!$J$536:$J$586,0)),"")</f>
        <v/>
      </c>
      <c r="AB79" s="113"/>
      <c r="AC79" s="114"/>
      <c r="AD79" s="113"/>
      <c r="AE79" s="114"/>
      <c r="AF79" s="114"/>
      <c r="AG79" s="113"/>
      <c r="AH79" s="113"/>
      <c r="AI79" s="107" t="n">
        <f aca="false">IF(A79="",0,COUNTIF(tbl_Donateurs_Opportunites[ID Donateur],A79))</f>
        <v>0</v>
      </c>
      <c r="AJ79" s="107" t="n">
        <f aca="false">IF(A79="",0,COUNTIFS(tbl_Donateurs_Opportunites[ID Donateur],A79,tbl_Donateurs_Opportunites[Statut],"Ouverte"))</f>
        <v>0</v>
      </c>
      <c r="AK79" s="107" t="n">
        <f aca="false">IF(A79="",0,COUNTIF(tbl_Donateurs_Demandes[ID Donateur],A79))</f>
        <v>0</v>
      </c>
      <c r="AL79" s="107" t="n">
        <f aca="false">IF(A79="",0,COUNTIFS(tbl_Donateurs_Demandes[ID Donateur],A79,tbl_Donateurs_Demandes[Statut],"Approuvee")+COUNTIFS(tbl_Donateurs_Demandes[ID Donateur],A79,tbl_Donateurs_Demandes[Statut],"Financement recu"))</f>
        <v>0</v>
      </c>
      <c r="AM79" s="108" t="n">
        <f aca="false">IF(A79="",0,SUMIF(tbl_Donateurs_Demandes[ID Donateur],A79,tbl_Donateurs_Demandes[Montant demande]))</f>
        <v>0</v>
      </c>
      <c r="AN79" s="108" t="n">
        <f aca="false">IF(A79="",0,SUMIF(tbl_Donateurs_Demandes[ID Donateur],A79,tbl_Donateurs_Demandes[Montant accorde]))</f>
        <v>0</v>
      </c>
      <c r="AO79" s="108" t="n">
        <f aca="false">IF(A79="",0,SUMIF(tbl_Donateurs_Decaissements[ID Donateur],A79,tbl_Donateurs_Decaissements[Montant recu]))</f>
        <v>0</v>
      </c>
      <c r="AP79" s="109" t="str">
        <f aca="false">IFERROR(AL79/AK79,"")</f>
        <v/>
      </c>
      <c r="AQ79" s="107" t="n">
        <f aca="false">IF(A79="",0,COUNTIF(tbl_Donateurs_Contacts[ID Donateur],A79))</f>
        <v>0</v>
      </c>
      <c r="AR79" s="107" t="n">
        <f aca="false">IF(A79="",0,COUNTIF(tbl_Donateurs_Documents[ID Donateur],A79))</f>
        <v>0</v>
      </c>
      <c r="AS79" s="107" t="n">
        <f aca="false">IF(A79="",0,COUNTIF(tbl_Donateurs_Conventions[ID Donateur],A79))</f>
        <v>0</v>
      </c>
      <c r="AT79" s="115" t="n">
        <f aca="false">IFERROR(_xlfn.MAXIFS(tbl_Donateurs_Decaissements[Date recue],tbl_Donateurs_Decaissements[ID Donateur],A79),"")</f>
        <v>0</v>
      </c>
      <c r="AU79" s="108" t="str">
        <f aca="false">IFERROR(AN79/AL79,"")</f>
        <v/>
      </c>
      <c r="AV79" s="107" t="str">
        <f aca="true">IF(A79="","",IF(OR(AB79="A relancer",AND(AF79&lt;&gt;"",AF79&lt;=TODAY())),"OUI","NON"))</f>
        <v/>
      </c>
      <c r="AW79" s="107" t="str">
        <f aca="false">IF(B79="","",IF(OR(COUNTIF($B$56:$B$205,B79)&gt;1,AND(D79&lt;&gt;"",COUNTIF($D$56:$D$205,D79)&gt;1),AND(K79&lt;&gt;"",COUNTIF($K$56:$K$205,K79)&gt;1),AND(L79&lt;&gt;"",COUNTIF($L$56:$L$205,L79)&gt;1)),"OUI","NON"))</f>
        <v/>
      </c>
      <c r="AX79" s="113"/>
    </row>
    <row r="80" customFormat="false" ht="15" hidden="false" customHeight="true" outlineLevel="0" collapsed="false">
      <c r="A80" s="107" t="str">
        <f aca="false">IF(B80="","","DON"&amp;TEXT(ROW()-55,"00000"))</f>
        <v/>
      </c>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07" t="str">
        <f aca="false">IFERROR(INDEX(PARAMETRES!$B$536:$B$586,MATCH(X80,PARAMETRES!$J$536:$J$586,0)),"")</f>
        <v/>
      </c>
      <c r="Z80" s="107" t="str">
        <f aca="false">IFERROR(INDEX(PARAMETRES!$D$536:$D$586,MATCH(X80,PARAMETRES!$J$536:$J$586,0)),"")</f>
        <v/>
      </c>
      <c r="AA80" s="107" t="str">
        <f aca="false">IFERROR(INDEX(PARAMETRES!$F$536:$F$586,MATCH(X80,PARAMETRES!$J$536:$J$586,0)),"")</f>
        <v/>
      </c>
      <c r="AB80" s="113"/>
      <c r="AC80" s="114"/>
      <c r="AD80" s="113"/>
      <c r="AE80" s="114"/>
      <c r="AF80" s="114"/>
      <c r="AG80" s="113"/>
      <c r="AH80" s="113"/>
      <c r="AI80" s="107" t="n">
        <f aca="false">IF(A80="",0,COUNTIF(tbl_Donateurs_Opportunites[ID Donateur],A80))</f>
        <v>0</v>
      </c>
      <c r="AJ80" s="107" t="n">
        <f aca="false">IF(A80="",0,COUNTIFS(tbl_Donateurs_Opportunites[ID Donateur],A80,tbl_Donateurs_Opportunites[Statut],"Ouverte"))</f>
        <v>0</v>
      </c>
      <c r="AK80" s="107" t="n">
        <f aca="false">IF(A80="",0,COUNTIF(tbl_Donateurs_Demandes[ID Donateur],A80))</f>
        <v>0</v>
      </c>
      <c r="AL80" s="107" t="n">
        <f aca="false">IF(A80="",0,COUNTIFS(tbl_Donateurs_Demandes[ID Donateur],A80,tbl_Donateurs_Demandes[Statut],"Approuvee")+COUNTIFS(tbl_Donateurs_Demandes[ID Donateur],A80,tbl_Donateurs_Demandes[Statut],"Financement recu"))</f>
        <v>0</v>
      </c>
      <c r="AM80" s="108" t="n">
        <f aca="false">IF(A80="",0,SUMIF(tbl_Donateurs_Demandes[ID Donateur],A80,tbl_Donateurs_Demandes[Montant demande]))</f>
        <v>0</v>
      </c>
      <c r="AN80" s="108" t="n">
        <f aca="false">IF(A80="",0,SUMIF(tbl_Donateurs_Demandes[ID Donateur],A80,tbl_Donateurs_Demandes[Montant accorde]))</f>
        <v>0</v>
      </c>
      <c r="AO80" s="108" t="n">
        <f aca="false">IF(A80="",0,SUMIF(tbl_Donateurs_Decaissements[ID Donateur],A80,tbl_Donateurs_Decaissements[Montant recu]))</f>
        <v>0</v>
      </c>
      <c r="AP80" s="109" t="str">
        <f aca="false">IFERROR(AL80/AK80,"")</f>
        <v/>
      </c>
      <c r="AQ80" s="107" t="n">
        <f aca="false">IF(A80="",0,COUNTIF(tbl_Donateurs_Contacts[ID Donateur],A80))</f>
        <v>0</v>
      </c>
      <c r="AR80" s="107" t="n">
        <f aca="false">IF(A80="",0,COUNTIF(tbl_Donateurs_Documents[ID Donateur],A80))</f>
        <v>0</v>
      </c>
      <c r="AS80" s="107" t="n">
        <f aca="false">IF(A80="",0,COUNTIF(tbl_Donateurs_Conventions[ID Donateur],A80))</f>
        <v>0</v>
      </c>
      <c r="AT80" s="115" t="n">
        <f aca="false">IFERROR(_xlfn.MAXIFS(tbl_Donateurs_Decaissements[Date recue],tbl_Donateurs_Decaissements[ID Donateur],A80),"")</f>
        <v>0</v>
      </c>
      <c r="AU80" s="108" t="str">
        <f aca="false">IFERROR(AN80/AL80,"")</f>
        <v/>
      </c>
      <c r="AV80" s="107" t="str">
        <f aca="true">IF(A80="","",IF(OR(AB80="A relancer",AND(AF80&lt;&gt;"",AF80&lt;=TODAY())),"OUI","NON"))</f>
        <v/>
      </c>
      <c r="AW80" s="107" t="str">
        <f aca="false">IF(B80="","",IF(OR(COUNTIF($B$56:$B$205,B80)&gt;1,AND(D80&lt;&gt;"",COUNTIF($D$56:$D$205,D80)&gt;1),AND(K80&lt;&gt;"",COUNTIF($K$56:$K$205,K80)&gt;1),AND(L80&lt;&gt;"",COUNTIF($L$56:$L$205,L80)&gt;1)),"OUI","NON"))</f>
        <v/>
      </c>
      <c r="AX80" s="113"/>
    </row>
    <row r="81" customFormat="false" ht="15" hidden="false" customHeight="true" outlineLevel="0" collapsed="false">
      <c r="A81" s="107" t="str">
        <f aca="false">IF(B81="","","DON"&amp;TEXT(ROW()-55,"00000"))</f>
        <v/>
      </c>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07" t="str">
        <f aca="false">IFERROR(INDEX(PARAMETRES!$B$536:$B$586,MATCH(X81,PARAMETRES!$J$536:$J$586,0)),"")</f>
        <v/>
      </c>
      <c r="Z81" s="107" t="str">
        <f aca="false">IFERROR(INDEX(PARAMETRES!$D$536:$D$586,MATCH(X81,PARAMETRES!$J$536:$J$586,0)),"")</f>
        <v/>
      </c>
      <c r="AA81" s="107" t="str">
        <f aca="false">IFERROR(INDEX(PARAMETRES!$F$536:$F$586,MATCH(X81,PARAMETRES!$J$536:$J$586,0)),"")</f>
        <v/>
      </c>
      <c r="AB81" s="113"/>
      <c r="AC81" s="114"/>
      <c r="AD81" s="113"/>
      <c r="AE81" s="114"/>
      <c r="AF81" s="114"/>
      <c r="AG81" s="113"/>
      <c r="AH81" s="113"/>
      <c r="AI81" s="107" t="n">
        <f aca="false">IF(A81="",0,COUNTIF(tbl_Donateurs_Opportunites[ID Donateur],A81))</f>
        <v>0</v>
      </c>
      <c r="AJ81" s="107" t="n">
        <f aca="false">IF(A81="",0,COUNTIFS(tbl_Donateurs_Opportunites[ID Donateur],A81,tbl_Donateurs_Opportunites[Statut],"Ouverte"))</f>
        <v>0</v>
      </c>
      <c r="AK81" s="107" t="n">
        <f aca="false">IF(A81="",0,COUNTIF(tbl_Donateurs_Demandes[ID Donateur],A81))</f>
        <v>0</v>
      </c>
      <c r="AL81" s="107" t="n">
        <f aca="false">IF(A81="",0,COUNTIFS(tbl_Donateurs_Demandes[ID Donateur],A81,tbl_Donateurs_Demandes[Statut],"Approuvee")+COUNTIFS(tbl_Donateurs_Demandes[ID Donateur],A81,tbl_Donateurs_Demandes[Statut],"Financement recu"))</f>
        <v>0</v>
      </c>
      <c r="AM81" s="108" t="n">
        <f aca="false">IF(A81="",0,SUMIF(tbl_Donateurs_Demandes[ID Donateur],A81,tbl_Donateurs_Demandes[Montant demande]))</f>
        <v>0</v>
      </c>
      <c r="AN81" s="108" t="n">
        <f aca="false">IF(A81="",0,SUMIF(tbl_Donateurs_Demandes[ID Donateur],A81,tbl_Donateurs_Demandes[Montant accorde]))</f>
        <v>0</v>
      </c>
      <c r="AO81" s="108" t="n">
        <f aca="false">IF(A81="",0,SUMIF(tbl_Donateurs_Decaissements[ID Donateur],A81,tbl_Donateurs_Decaissements[Montant recu]))</f>
        <v>0</v>
      </c>
      <c r="AP81" s="109" t="str">
        <f aca="false">IFERROR(AL81/AK81,"")</f>
        <v/>
      </c>
      <c r="AQ81" s="107" t="n">
        <f aca="false">IF(A81="",0,COUNTIF(tbl_Donateurs_Contacts[ID Donateur],A81))</f>
        <v>0</v>
      </c>
      <c r="AR81" s="107" t="n">
        <f aca="false">IF(A81="",0,COUNTIF(tbl_Donateurs_Documents[ID Donateur],A81))</f>
        <v>0</v>
      </c>
      <c r="AS81" s="107" t="n">
        <f aca="false">IF(A81="",0,COUNTIF(tbl_Donateurs_Conventions[ID Donateur],A81))</f>
        <v>0</v>
      </c>
      <c r="AT81" s="115" t="n">
        <f aca="false">IFERROR(_xlfn.MAXIFS(tbl_Donateurs_Decaissements[Date recue],tbl_Donateurs_Decaissements[ID Donateur],A81),"")</f>
        <v>0</v>
      </c>
      <c r="AU81" s="108" t="str">
        <f aca="false">IFERROR(AN81/AL81,"")</f>
        <v/>
      </c>
      <c r="AV81" s="107" t="str">
        <f aca="true">IF(A81="","",IF(OR(AB81="A relancer",AND(AF81&lt;&gt;"",AF81&lt;=TODAY())),"OUI","NON"))</f>
        <v/>
      </c>
      <c r="AW81" s="107" t="str">
        <f aca="false">IF(B81="","",IF(OR(COUNTIF($B$56:$B$205,B81)&gt;1,AND(D81&lt;&gt;"",COUNTIF($D$56:$D$205,D81)&gt;1),AND(K81&lt;&gt;"",COUNTIF($K$56:$K$205,K81)&gt;1),AND(L81&lt;&gt;"",COUNTIF($L$56:$L$205,L81)&gt;1)),"OUI","NON"))</f>
        <v/>
      </c>
      <c r="AX81" s="113"/>
    </row>
    <row r="82" customFormat="false" ht="15" hidden="false" customHeight="true" outlineLevel="0" collapsed="false">
      <c r="A82" s="107" t="str">
        <f aca="false">IF(B82="","","DON"&amp;TEXT(ROW()-55,"00000"))</f>
        <v/>
      </c>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07" t="str">
        <f aca="false">IFERROR(INDEX(PARAMETRES!$B$536:$B$586,MATCH(X82,PARAMETRES!$J$536:$J$586,0)),"")</f>
        <v/>
      </c>
      <c r="Z82" s="107" t="str">
        <f aca="false">IFERROR(INDEX(PARAMETRES!$D$536:$D$586,MATCH(X82,PARAMETRES!$J$536:$J$586,0)),"")</f>
        <v/>
      </c>
      <c r="AA82" s="107" t="str">
        <f aca="false">IFERROR(INDEX(PARAMETRES!$F$536:$F$586,MATCH(X82,PARAMETRES!$J$536:$J$586,0)),"")</f>
        <v/>
      </c>
      <c r="AB82" s="113"/>
      <c r="AC82" s="114"/>
      <c r="AD82" s="113"/>
      <c r="AE82" s="114"/>
      <c r="AF82" s="114"/>
      <c r="AG82" s="113"/>
      <c r="AH82" s="113"/>
      <c r="AI82" s="107" t="n">
        <f aca="false">IF(A82="",0,COUNTIF(tbl_Donateurs_Opportunites[ID Donateur],A82))</f>
        <v>0</v>
      </c>
      <c r="AJ82" s="107" t="n">
        <f aca="false">IF(A82="",0,COUNTIFS(tbl_Donateurs_Opportunites[ID Donateur],A82,tbl_Donateurs_Opportunites[Statut],"Ouverte"))</f>
        <v>0</v>
      </c>
      <c r="AK82" s="107" t="n">
        <f aca="false">IF(A82="",0,COUNTIF(tbl_Donateurs_Demandes[ID Donateur],A82))</f>
        <v>0</v>
      </c>
      <c r="AL82" s="107" t="n">
        <f aca="false">IF(A82="",0,COUNTIFS(tbl_Donateurs_Demandes[ID Donateur],A82,tbl_Donateurs_Demandes[Statut],"Approuvee")+COUNTIFS(tbl_Donateurs_Demandes[ID Donateur],A82,tbl_Donateurs_Demandes[Statut],"Financement recu"))</f>
        <v>0</v>
      </c>
      <c r="AM82" s="108" t="n">
        <f aca="false">IF(A82="",0,SUMIF(tbl_Donateurs_Demandes[ID Donateur],A82,tbl_Donateurs_Demandes[Montant demande]))</f>
        <v>0</v>
      </c>
      <c r="AN82" s="108" t="n">
        <f aca="false">IF(A82="",0,SUMIF(tbl_Donateurs_Demandes[ID Donateur],A82,tbl_Donateurs_Demandes[Montant accorde]))</f>
        <v>0</v>
      </c>
      <c r="AO82" s="108" t="n">
        <f aca="false">IF(A82="",0,SUMIF(tbl_Donateurs_Decaissements[ID Donateur],A82,tbl_Donateurs_Decaissements[Montant recu]))</f>
        <v>0</v>
      </c>
      <c r="AP82" s="109" t="str">
        <f aca="false">IFERROR(AL82/AK82,"")</f>
        <v/>
      </c>
      <c r="AQ82" s="107" t="n">
        <f aca="false">IF(A82="",0,COUNTIF(tbl_Donateurs_Contacts[ID Donateur],A82))</f>
        <v>0</v>
      </c>
      <c r="AR82" s="107" t="n">
        <f aca="false">IF(A82="",0,COUNTIF(tbl_Donateurs_Documents[ID Donateur],A82))</f>
        <v>0</v>
      </c>
      <c r="AS82" s="107" t="n">
        <f aca="false">IF(A82="",0,COUNTIF(tbl_Donateurs_Conventions[ID Donateur],A82))</f>
        <v>0</v>
      </c>
      <c r="AT82" s="115" t="n">
        <f aca="false">IFERROR(_xlfn.MAXIFS(tbl_Donateurs_Decaissements[Date recue],tbl_Donateurs_Decaissements[ID Donateur],A82),"")</f>
        <v>0</v>
      </c>
      <c r="AU82" s="108" t="str">
        <f aca="false">IFERROR(AN82/AL82,"")</f>
        <v/>
      </c>
      <c r="AV82" s="107" t="str">
        <f aca="true">IF(A82="","",IF(OR(AB82="A relancer",AND(AF82&lt;&gt;"",AF82&lt;=TODAY())),"OUI","NON"))</f>
        <v/>
      </c>
      <c r="AW82" s="107" t="str">
        <f aca="false">IF(B82="","",IF(OR(COUNTIF($B$56:$B$205,B82)&gt;1,AND(D82&lt;&gt;"",COUNTIF($D$56:$D$205,D82)&gt;1),AND(K82&lt;&gt;"",COUNTIF($K$56:$K$205,K82)&gt;1),AND(L82&lt;&gt;"",COUNTIF($L$56:$L$205,L82)&gt;1)),"OUI","NON"))</f>
        <v/>
      </c>
      <c r="AX82" s="113"/>
    </row>
    <row r="83" customFormat="false" ht="15" hidden="false" customHeight="true" outlineLevel="0" collapsed="false">
      <c r="A83" s="107" t="str">
        <f aca="false">IF(B83="","","DON"&amp;TEXT(ROW()-55,"00000"))</f>
        <v/>
      </c>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07" t="str">
        <f aca="false">IFERROR(INDEX(PARAMETRES!$B$536:$B$586,MATCH(X83,PARAMETRES!$J$536:$J$586,0)),"")</f>
        <v/>
      </c>
      <c r="Z83" s="107" t="str">
        <f aca="false">IFERROR(INDEX(PARAMETRES!$D$536:$D$586,MATCH(X83,PARAMETRES!$J$536:$J$586,0)),"")</f>
        <v/>
      </c>
      <c r="AA83" s="107" t="str">
        <f aca="false">IFERROR(INDEX(PARAMETRES!$F$536:$F$586,MATCH(X83,PARAMETRES!$J$536:$J$586,0)),"")</f>
        <v/>
      </c>
      <c r="AB83" s="113"/>
      <c r="AC83" s="114"/>
      <c r="AD83" s="113"/>
      <c r="AE83" s="114"/>
      <c r="AF83" s="114"/>
      <c r="AG83" s="113"/>
      <c r="AH83" s="113"/>
      <c r="AI83" s="107" t="n">
        <f aca="false">IF(A83="",0,COUNTIF(tbl_Donateurs_Opportunites[ID Donateur],A83))</f>
        <v>0</v>
      </c>
      <c r="AJ83" s="107" t="n">
        <f aca="false">IF(A83="",0,COUNTIFS(tbl_Donateurs_Opportunites[ID Donateur],A83,tbl_Donateurs_Opportunites[Statut],"Ouverte"))</f>
        <v>0</v>
      </c>
      <c r="AK83" s="107" t="n">
        <f aca="false">IF(A83="",0,COUNTIF(tbl_Donateurs_Demandes[ID Donateur],A83))</f>
        <v>0</v>
      </c>
      <c r="AL83" s="107" t="n">
        <f aca="false">IF(A83="",0,COUNTIFS(tbl_Donateurs_Demandes[ID Donateur],A83,tbl_Donateurs_Demandes[Statut],"Approuvee")+COUNTIFS(tbl_Donateurs_Demandes[ID Donateur],A83,tbl_Donateurs_Demandes[Statut],"Financement recu"))</f>
        <v>0</v>
      </c>
      <c r="AM83" s="108" t="n">
        <f aca="false">IF(A83="",0,SUMIF(tbl_Donateurs_Demandes[ID Donateur],A83,tbl_Donateurs_Demandes[Montant demande]))</f>
        <v>0</v>
      </c>
      <c r="AN83" s="108" t="n">
        <f aca="false">IF(A83="",0,SUMIF(tbl_Donateurs_Demandes[ID Donateur],A83,tbl_Donateurs_Demandes[Montant accorde]))</f>
        <v>0</v>
      </c>
      <c r="AO83" s="108" t="n">
        <f aca="false">IF(A83="",0,SUMIF(tbl_Donateurs_Decaissements[ID Donateur],A83,tbl_Donateurs_Decaissements[Montant recu]))</f>
        <v>0</v>
      </c>
      <c r="AP83" s="109" t="str">
        <f aca="false">IFERROR(AL83/AK83,"")</f>
        <v/>
      </c>
      <c r="AQ83" s="107" t="n">
        <f aca="false">IF(A83="",0,COUNTIF(tbl_Donateurs_Contacts[ID Donateur],A83))</f>
        <v>0</v>
      </c>
      <c r="AR83" s="107" t="n">
        <f aca="false">IF(A83="",0,COUNTIF(tbl_Donateurs_Documents[ID Donateur],A83))</f>
        <v>0</v>
      </c>
      <c r="AS83" s="107" t="n">
        <f aca="false">IF(A83="",0,COUNTIF(tbl_Donateurs_Conventions[ID Donateur],A83))</f>
        <v>0</v>
      </c>
      <c r="AT83" s="115" t="n">
        <f aca="false">IFERROR(_xlfn.MAXIFS(tbl_Donateurs_Decaissements[Date recue],tbl_Donateurs_Decaissements[ID Donateur],A83),"")</f>
        <v>0</v>
      </c>
      <c r="AU83" s="108" t="str">
        <f aca="false">IFERROR(AN83/AL83,"")</f>
        <v/>
      </c>
      <c r="AV83" s="107" t="str">
        <f aca="true">IF(A83="","",IF(OR(AB83="A relancer",AND(AF83&lt;&gt;"",AF83&lt;=TODAY())),"OUI","NON"))</f>
        <v/>
      </c>
      <c r="AW83" s="107" t="str">
        <f aca="false">IF(B83="","",IF(OR(COUNTIF($B$56:$B$205,B83)&gt;1,AND(D83&lt;&gt;"",COUNTIF($D$56:$D$205,D83)&gt;1),AND(K83&lt;&gt;"",COUNTIF($K$56:$K$205,K83)&gt;1),AND(L83&lt;&gt;"",COUNTIF($L$56:$L$205,L83)&gt;1)),"OUI","NON"))</f>
        <v/>
      </c>
      <c r="AX83" s="113"/>
    </row>
    <row r="84" customFormat="false" ht="15" hidden="false" customHeight="true" outlineLevel="0" collapsed="false">
      <c r="A84" s="107" t="str">
        <f aca="false">IF(B84="","","DON"&amp;TEXT(ROW()-55,"00000"))</f>
        <v/>
      </c>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07" t="str">
        <f aca="false">IFERROR(INDEX(PARAMETRES!$B$536:$B$586,MATCH(X84,PARAMETRES!$J$536:$J$586,0)),"")</f>
        <v/>
      </c>
      <c r="Z84" s="107" t="str">
        <f aca="false">IFERROR(INDEX(PARAMETRES!$D$536:$D$586,MATCH(X84,PARAMETRES!$J$536:$J$586,0)),"")</f>
        <v/>
      </c>
      <c r="AA84" s="107" t="str">
        <f aca="false">IFERROR(INDEX(PARAMETRES!$F$536:$F$586,MATCH(X84,PARAMETRES!$J$536:$J$586,0)),"")</f>
        <v/>
      </c>
      <c r="AB84" s="113"/>
      <c r="AC84" s="114"/>
      <c r="AD84" s="113"/>
      <c r="AE84" s="114"/>
      <c r="AF84" s="114"/>
      <c r="AG84" s="113"/>
      <c r="AH84" s="113"/>
      <c r="AI84" s="107" t="n">
        <f aca="false">IF(A84="",0,COUNTIF(tbl_Donateurs_Opportunites[ID Donateur],A84))</f>
        <v>0</v>
      </c>
      <c r="AJ84" s="107" t="n">
        <f aca="false">IF(A84="",0,COUNTIFS(tbl_Donateurs_Opportunites[ID Donateur],A84,tbl_Donateurs_Opportunites[Statut],"Ouverte"))</f>
        <v>0</v>
      </c>
      <c r="AK84" s="107" t="n">
        <f aca="false">IF(A84="",0,COUNTIF(tbl_Donateurs_Demandes[ID Donateur],A84))</f>
        <v>0</v>
      </c>
      <c r="AL84" s="107" t="n">
        <f aca="false">IF(A84="",0,COUNTIFS(tbl_Donateurs_Demandes[ID Donateur],A84,tbl_Donateurs_Demandes[Statut],"Approuvee")+COUNTIFS(tbl_Donateurs_Demandes[ID Donateur],A84,tbl_Donateurs_Demandes[Statut],"Financement recu"))</f>
        <v>0</v>
      </c>
      <c r="AM84" s="108" t="n">
        <f aca="false">IF(A84="",0,SUMIF(tbl_Donateurs_Demandes[ID Donateur],A84,tbl_Donateurs_Demandes[Montant demande]))</f>
        <v>0</v>
      </c>
      <c r="AN84" s="108" t="n">
        <f aca="false">IF(A84="",0,SUMIF(tbl_Donateurs_Demandes[ID Donateur],A84,tbl_Donateurs_Demandes[Montant accorde]))</f>
        <v>0</v>
      </c>
      <c r="AO84" s="108" t="n">
        <f aca="false">IF(A84="",0,SUMIF(tbl_Donateurs_Decaissements[ID Donateur],A84,tbl_Donateurs_Decaissements[Montant recu]))</f>
        <v>0</v>
      </c>
      <c r="AP84" s="109" t="str">
        <f aca="false">IFERROR(AL84/AK84,"")</f>
        <v/>
      </c>
      <c r="AQ84" s="107" t="n">
        <f aca="false">IF(A84="",0,COUNTIF(tbl_Donateurs_Contacts[ID Donateur],A84))</f>
        <v>0</v>
      </c>
      <c r="AR84" s="107" t="n">
        <f aca="false">IF(A84="",0,COUNTIF(tbl_Donateurs_Documents[ID Donateur],A84))</f>
        <v>0</v>
      </c>
      <c r="AS84" s="107" t="n">
        <f aca="false">IF(A84="",0,COUNTIF(tbl_Donateurs_Conventions[ID Donateur],A84))</f>
        <v>0</v>
      </c>
      <c r="AT84" s="115" t="n">
        <f aca="false">IFERROR(_xlfn.MAXIFS(tbl_Donateurs_Decaissements[Date recue],tbl_Donateurs_Decaissements[ID Donateur],A84),"")</f>
        <v>0</v>
      </c>
      <c r="AU84" s="108" t="str">
        <f aca="false">IFERROR(AN84/AL84,"")</f>
        <v/>
      </c>
      <c r="AV84" s="107" t="str">
        <f aca="true">IF(A84="","",IF(OR(AB84="A relancer",AND(AF84&lt;&gt;"",AF84&lt;=TODAY())),"OUI","NON"))</f>
        <v/>
      </c>
      <c r="AW84" s="107" t="str">
        <f aca="false">IF(B84="","",IF(OR(COUNTIF($B$56:$B$205,B84)&gt;1,AND(D84&lt;&gt;"",COUNTIF($D$56:$D$205,D84)&gt;1),AND(K84&lt;&gt;"",COUNTIF($K$56:$K$205,K84)&gt;1),AND(L84&lt;&gt;"",COUNTIF($L$56:$L$205,L84)&gt;1)),"OUI","NON"))</f>
        <v/>
      </c>
      <c r="AX84" s="113"/>
    </row>
    <row r="85" customFormat="false" ht="15" hidden="false" customHeight="true" outlineLevel="0" collapsed="false">
      <c r="A85" s="107" t="str">
        <f aca="false">IF(B85="","","DON"&amp;TEXT(ROW()-55,"00000"))</f>
        <v/>
      </c>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07" t="str">
        <f aca="false">IFERROR(INDEX(PARAMETRES!$B$536:$B$586,MATCH(X85,PARAMETRES!$J$536:$J$586,0)),"")</f>
        <v/>
      </c>
      <c r="Z85" s="107" t="str">
        <f aca="false">IFERROR(INDEX(PARAMETRES!$D$536:$D$586,MATCH(X85,PARAMETRES!$J$536:$J$586,0)),"")</f>
        <v/>
      </c>
      <c r="AA85" s="107" t="str">
        <f aca="false">IFERROR(INDEX(PARAMETRES!$F$536:$F$586,MATCH(X85,PARAMETRES!$J$536:$J$586,0)),"")</f>
        <v/>
      </c>
      <c r="AB85" s="113"/>
      <c r="AC85" s="114"/>
      <c r="AD85" s="113"/>
      <c r="AE85" s="114"/>
      <c r="AF85" s="114"/>
      <c r="AG85" s="113"/>
      <c r="AH85" s="113"/>
      <c r="AI85" s="107" t="n">
        <f aca="false">IF(A85="",0,COUNTIF(tbl_Donateurs_Opportunites[ID Donateur],A85))</f>
        <v>0</v>
      </c>
      <c r="AJ85" s="107" t="n">
        <f aca="false">IF(A85="",0,COUNTIFS(tbl_Donateurs_Opportunites[ID Donateur],A85,tbl_Donateurs_Opportunites[Statut],"Ouverte"))</f>
        <v>0</v>
      </c>
      <c r="AK85" s="107" t="n">
        <f aca="false">IF(A85="",0,COUNTIF(tbl_Donateurs_Demandes[ID Donateur],A85))</f>
        <v>0</v>
      </c>
      <c r="AL85" s="107" t="n">
        <f aca="false">IF(A85="",0,COUNTIFS(tbl_Donateurs_Demandes[ID Donateur],A85,tbl_Donateurs_Demandes[Statut],"Approuvee")+COUNTIFS(tbl_Donateurs_Demandes[ID Donateur],A85,tbl_Donateurs_Demandes[Statut],"Financement recu"))</f>
        <v>0</v>
      </c>
      <c r="AM85" s="108" t="n">
        <f aca="false">IF(A85="",0,SUMIF(tbl_Donateurs_Demandes[ID Donateur],A85,tbl_Donateurs_Demandes[Montant demande]))</f>
        <v>0</v>
      </c>
      <c r="AN85" s="108" t="n">
        <f aca="false">IF(A85="",0,SUMIF(tbl_Donateurs_Demandes[ID Donateur],A85,tbl_Donateurs_Demandes[Montant accorde]))</f>
        <v>0</v>
      </c>
      <c r="AO85" s="108" t="n">
        <f aca="false">IF(A85="",0,SUMIF(tbl_Donateurs_Decaissements[ID Donateur],A85,tbl_Donateurs_Decaissements[Montant recu]))</f>
        <v>0</v>
      </c>
      <c r="AP85" s="109" t="str">
        <f aca="false">IFERROR(AL85/AK85,"")</f>
        <v/>
      </c>
      <c r="AQ85" s="107" t="n">
        <f aca="false">IF(A85="",0,COUNTIF(tbl_Donateurs_Contacts[ID Donateur],A85))</f>
        <v>0</v>
      </c>
      <c r="AR85" s="107" t="n">
        <f aca="false">IF(A85="",0,COUNTIF(tbl_Donateurs_Documents[ID Donateur],A85))</f>
        <v>0</v>
      </c>
      <c r="AS85" s="107" t="n">
        <f aca="false">IF(A85="",0,COUNTIF(tbl_Donateurs_Conventions[ID Donateur],A85))</f>
        <v>0</v>
      </c>
      <c r="AT85" s="115" t="n">
        <f aca="false">IFERROR(_xlfn.MAXIFS(tbl_Donateurs_Decaissements[Date recue],tbl_Donateurs_Decaissements[ID Donateur],A85),"")</f>
        <v>0</v>
      </c>
      <c r="AU85" s="108" t="str">
        <f aca="false">IFERROR(AN85/AL85,"")</f>
        <v/>
      </c>
      <c r="AV85" s="107" t="str">
        <f aca="true">IF(A85="","",IF(OR(AB85="A relancer",AND(AF85&lt;&gt;"",AF85&lt;=TODAY())),"OUI","NON"))</f>
        <v/>
      </c>
      <c r="AW85" s="107" t="str">
        <f aca="false">IF(B85="","",IF(OR(COUNTIF($B$56:$B$205,B85)&gt;1,AND(D85&lt;&gt;"",COUNTIF($D$56:$D$205,D85)&gt;1),AND(K85&lt;&gt;"",COUNTIF($K$56:$K$205,K85)&gt;1),AND(L85&lt;&gt;"",COUNTIF($L$56:$L$205,L85)&gt;1)),"OUI","NON"))</f>
        <v/>
      </c>
      <c r="AX85" s="113"/>
    </row>
    <row r="86" customFormat="false" ht="15" hidden="false" customHeight="true" outlineLevel="0" collapsed="false">
      <c r="A86" s="107" t="str">
        <f aca="false">IF(B86="","","DON"&amp;TEXT(ROW()-55,"00000"))</f>
        <v/>
      </c>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07" t="str">
        <f aca="false">IFERROR(INDEX(PARAMETRES!$B$536:$B$586,MATCH(X86,PARAMETRES!$J$536:$J$586,0)),"")</f>
        <v/>
      </c>
      <c r="Z86" s="107" t="str">
        <f aca="false">IFERROR(INDEX(PARAMETRES!$D$536:$D$586,MATCH(X86,PARAMETRES!$J$536:$J$586,0)),"")</f>
        <v/>
      </c>
      <c r="AA86" s="107" t="str">
        <f aca="false">IFERROR(INDEX(PARAMETRES!$F$536:$F$586,MATCH(X86,PARAMETRES!$J$536:$J$586,0)),"")</f>
        <v/>
      </c>
      <c r="AB86" s="113"/>
      <c r="AC86" s="114"/>
      <c r="AD86" s="113"/>
      <c r="AE86" s="114"/>
      <c r="AF86" s="114"/>
      <c r="AG86" s="113"/>
      <c r="AH86" s="113"/>
      <c r="AI86" s="107" t="n">
        <f aca="false">IF(A86="",0,COUNTIF(tbl_Donateurs_Opportunites[ID Donateur],A86))</f>
        <v>0</v>
      </c>
      <c r="AJ86" s="107" t="n">
        <f aca="false">IF(A86="",0,COUNTIFS(tbl_Donateurs_Opportunites[ID Donateur],A86,tbl_Donateurs_Opportunites[Statut],"Ouverte"))</f>
        <v>0</v>
      </c>
      <c r="AK86" s="107" t="n">
        <f aca="false">IF(A86="",0,COUNTIF(tbl_Donateurs_Demandes[ID Donateur],A86))</f>
        <v>0</v>
      </c>
      <c r="AL86" s="107" t="n">
        <f aca="false">IF(A86="",0,COUNTIFS(tbl_Donateurs_Demandes[ID Donateur],A86,tbl_Donateurs_Demandes[Statut],"Approuvee")+COUNTIFS(tbl_Donateurs_Demandes[ID Donateur],A86,tbl_Donateurs_Demandes[Statut],"Financement recu"))</f>
        <v>0</v>
      </c>
      <c r="AM86" s="108" t="n">
        <f aca="false">IF(A86="",0,SUMIF(tbl_Donateurs_Demandes[ID Donateur],A86,tbl_Donateurs_Demandes[Montant demande]))</f>
        <v>0</v>
      </c>
      <c r="AN86" s="108" t="n">
        <f aca="false">IF(A86="",0,SUMIF(tbl_Donateurs_Demandes[ID Donateur],A86,tbl_Donateurs_Demandes[Montant accorde]))</f>
        <v>0</v>
      </c>
      <c r="AO86" s="108" t="n">
        <f aca="false">IF(A86="",0,SUMIF(tbl_Donateurs_Decaissements[ID Donateur],A86,tbl_Donateurs_Decaissements[Montant recu]))</f>
        <v>0</v>
      </c>
      <c r="AP86" s="109" t="str">
        <f aca="false">IFERROR(AL86/AK86,"")</f>
        <v/>
      </c>
      <c r="AQ86" s="107" t="n">
        <f aca="false">IF(A86="",0,COUNTIF(tbl_Donateurs_Contacts[ID Donateur],A86))</f>
        <v>0</v>
      </c>
      <c r="AR86" s="107" t="n">
        <f aca="false">IF(A86="",0,COUNTIF(tbl_Donateurs_Documents[ID Donateur],A86))</f>
        <v>0</v>
      </c>
      <c r="AS86" s="107" t="n">
        <f aca="false">IF(A86="",0,COUNTIF(tbl_Donateurs_Conventions[ID Donateur],A86))</f>
        <v>0</v>
      </c>
      <c r="AT86" s="115" t="n">
        <f aca="false">IFERROR(_xlfn.MAXIFS(tbl_Donateurs_Decaissements[Date recue],tbl_Donateurs_Decaissements[ID Donateur],A86),"")</f>
        <v>0</v>
      </c>
      <c r="AU86" s="108" t="str">
        <f aca="false">IFERROR(AN86/AL86,"")</f>
        <v/>
      </c>
      <c r="AV86" s="107" t="str">
        <f aca="true">IF(A86="","",IF(OR(AB86="A relancer",AND(AF86&lt;&gt;"",AF86&lt;=TODAY())),"OUI","NON"))</f>
        <v/>
      </c>
      <c r="AW86" s="107" t="str">
        <f aca="false">IF(B86="","",IF(OR(COUNTIF($B$56:$B$205,B86)&gt;1,AND(D86&lt;&gt;"",COUNTIF($D$56:$D$205,D86)&gt;1),AND(K86&lt;&gt;"",COUNTIF($K$56:$K$205,K86)&gt;1),AND(L86&lt;&gt;"",COUNTIF($L$56:$L$205,L86)&gt;1)),"OUI","NON"))</f>
        <v/>
      </c>
      <c r="AX86" s="113"/>
    </row>
    <row r="87" customFormat="false" ht="15" hidden="false" customHeight="true" outlineLevel="0" collapsed="false">
      <c r="A87" s="107" t="str">
        <f aca="false">IF(B87="","","DON"&amp;TEXT(ROW()-55,"00000"))</f>
        <v/>
      </c>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07" t="str">
        <f aca="false">IFERROR(INDEX(PARAMETRES!$B$536:$B$586,MATCH(X87,PARAMETRES!$J$536:$J$586,0)),"")</f>
        <v/>
      </c>
      <c r="Z87" s="107" t="str">
        <f aca="false">IFERROR(INDEX(PARAMETRES!$D$536:$D$586,MATCH(X87,PARAMETRES!$J$536:$J$586,0)),"")</f>
        <v/>
      </c>
      <c r="AA87" s="107" t="str">
        <f aca="false">IFERROR(INDEX(PARAMETRES!$F$536:$F$586,MATCH(X87,PARAMETRES!$J$536:$J$586,0)),"")</f>
        <v/>
      </c>
      <c r="AB87" s="113"/>
      <c r="AC87" s="114"/>
      <c r="AD87" s="113"/>
      <c r="AE87" s="114"/>
      <c r="AF87" s="114"/>
      <c r="AG87" s="113"/>
      <c r="AH87" s="113"/>
      <c r="AI87" s="107" t="n">
        <f aca="false">IF(A87="",0,COUNTIF(tbl_Donateurs_Opportunites[ID Donateur],A87))</f>
        <v>0</v>
      </c>
      <c r="AJ87" s="107" t="n">
        <f aca="false">IF(A87="",0,COUNTIFS(tbl_Donateurs_Opportunites[ID Donateur],A87,tbl_Donateurs_Opportunites[Statut],"Ouverte"))</f>
        <v>0</v>
      </c>
      <c r="AK87" s="107" t="n">
        <f aca="false">IF(A87="",0,COUNTIF(tbl_Donateurs_Demandes[ID Donateur],A87))</f>
        <v>0</v>
      </c>
      <c r="AL87" s="107" t="n">
        <f aca="false">IF(A87="",0,COUNTIFS(tbl_Donateurs_Demandes[ID Donateur],A87,tbl_Donateurs_Demandes[Statut],"Approuvee")+COUNTIFS(tbl_Donateurs_Demandes[ID Donateur],A87,tbl_Donateurs_Demandes[Statut],"Financement recu"))</f>
        <v>0</v>
      </c>
      <c r="AM87" s="108" t="n">
        <f aca="false">IF(A87="",0,SUMIF(tbl_Donateurs_Demandes[ID Donateur],A87,tbl_Donateurs_Demandes[Montant demande]))</f>
        <v>0</v>
      </c>
      <c r="AN87" s="108" t="n">
        <f aca="false">IF(A87="",0,SUMIF(tbl_Donateurs_Demandes[ID Donateur],A87,tbl_Donateurs_Demandes[Montant accorde]))</f>
        <v>0</v>
      </c>
      <c r="AO87" s="108" t="n">
        <f aca="false">IF(A87="",0,SUMIF(tbl_Donateurs_Decaissements[ID Donateur],A87,tbl_Donateurs_Decaissements[Montant recu]))</f>
        <v>0</v>
      </c>
      <c r="AP87" s="109" t="str">
        <f aca="false">IFERROR(AL87/AK87,"")</f>
        <v/>
      </c>
      <c r="AQ87" s="107" t="n">
        <f aca="false">IF(A87="",0,COUNTIF(tbl_Donateurs_Contacts[ID Donateur],A87))</f>
        <v>0</v>
      </c>
      <c r="AR87" s="107" t="n">
        <f aca="false">IF(A87="",0,COUNTIF(tbl_Donateurs_Documents[ID Donateur],A87))</f>
        <v>0</v>
      </c>
      <c r="AS87" s="107" t="n">
        <f aca="false">IF(A87="",0,COUNTIF(tbl_Donateurs_Conventions[ID Donateur],A87))</f>
        <v>0</v>
      </c>
      <c r="AT87" s="115" t="n">
        <f aca="false">IFERROR(_xlfn.MAXIFS(tbl_Donateurs_Decaissements[Date recue],tbl_Donateurs_Decaissements[ID Donateur],A87),"")</f>
        <v>0</v>
      </c>
      <c r="AU87" s="108" t="str">
        <f aca="false">IFERROR(AN87/AL87,"")</f>
        <v/>
      </c>
      <c r="AV87" s="107" t="str">
        <f aca="true">IF(A87="","",IF(OR(AB87="A relancer",AND(AF87&lt;&gt;"",AF87&lt;=TODAY())),"OUI","NON"))</f>
        <v/>
      </c>
      <c r="AW87" s="107" t="str">
        <f aca="false">IF(B87="","",IF(OR(COUNTIF($B$56:$B$205,B87)&gt;1,AND(D87&lt;&gt;"",COUNTIF($D$56:$D$205,D87)&gt;1),AND(K87&lt;&gt;"",COUNTIF($K$56:$K$205,K87)&gt;1),AND(L87&lt;&gt;"",COUNTIF($L$56:$L$205,L87)&gt;1)),"OUI","NON"))</f>
        <v/>
      </c>
      <c r="AX87" s="113"/>
    </row>
    <row r="88" customFormat="false" ht="15" hidden="false" customHeight="true" outlineLevel="0" collapsed="false">
      <c r="A88" s="107" t="str">
        <f aca="false">IF(B88="","","DON"&amp;TEXT(ROW()-55,"00000"))</f>
        <v/>
      </c>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07" t="str">
        <f aca="false">IFERROR(INDEX(PARAMETRES!$B$536:$B$586,MATCH(X88,PARAMETRES!$J$536:$J$586,0)),"")</f>
        <v/>
      </c>
      <c r="Z88" s="107" t="str">
        <f aca="false">IFERROR(INDEX(PARAMETRES!$D$536:$D$586,MATCH(X88,PARAMETRES!$J$536:$J$586,0)),"")</f>
        <v/>
      </c>
      <c r="AA88" s="107" t="str">
        <f aca="false">IFERROR(INDEX(PARAMETRES!$F$536:$F$586,MATCH(X88,PARAMETRES!$J$536:$J$586,0)),"")</f>
        <v/>
      </c>
      <c r="AB88" s="113"/>
      <c r="AC88" s="114"/>
      <c r="AD88" s="113"/>
      <c r="AE88" s="114"/>
      <c r="AF88" s="114"/>
      <c r="AG88" s="113"/>
      <c r="AH88" s="113"/>
      <c r="AI88" s="107" t="n">
        <f aca="false">IF(A88="",0,COUNTIF(tbl_Donateurs_Opportunites[ID Donateur],A88))</f>
        <v>0</v>
      </c>
      <c r="AJ88" s="107" t="n">
        <f aca="false">IF(A88="",0,COUNTIFS(tbl_Donateurs_Opportunites[ID Donateur],A88,tbl_Donateurs_Opportunites[Statut],"Ouverte"))</f>
        <v>0</v>
      </c>
      <c r="AK88" s="107" t="n">
        <f aca="false">IF(A88="",0,COUNTIF(tbl_Donateurs_Demandes[ID Donateur],A88))</f>
        <v>0</v>
      </c>
      <c r="AL88" s="107" t="n">
        <f aca="false">IF(A88="",0,COUNTIFS(tbl_Donateurs_Demandes[ID Donateur],A88,tbl_Donateurs_Demandes[Statut],"Approuvee")+COUNTIFS(tbl_Donateurs_Demandes[ID Donateur],A88,tbl_Donateurs_Demandes[Statut],"Financement recu"))</f>
        <v>0</v>
      </c>
      <c r="AM88" s="108" t="n">
        <f aca="false">IF(A88="",0,SUMIF(tbl_Donateurs_Demandes[ID Donateur],A88,tbl_Donateurs_Demandes[Montant demande]))</f>
        <v>0</v>
      </c>
      <c r="AN88" s="108" t="n">
        <f aca="false">IF(A88="",0,SUMIF(tbl_Donateurs_Demandes[ID Donateur],A88,tbl_Donateurs_Demandes[Montant accorde]))</f>
        <v>0</v>
      </c>
      <c r="AO88" s="108" t="n">
        <f aca="false">IF(A88="",0,SUMIF(tbl_Donateurs_Decaissements[ID Donateur],A88,tbl_Donateurs_Decaissements[Montant recu]))</f>
        <v>0</v>
      </c>
      <c r="AP88" s="109" t="str">
        <f aca="false">IFERROR(AL88/AK88,"")</f>
        <v/>
      </c>
      <c r="AQ88" s="107" t="n">
        <f aca="false">IF(A88="",0,COUNTIF(tbl_Donateurs_Contacts[ID Donateur],A88))</f>
        <v>0</v>
      </c>
      <c r="AR88" s="107" t="n">
        <f aca="false">IF(A88="",0,COUNTIF(tbl_Donateurs_Documents[ID Donateur],A88))</f>
        <v>0</v>
      </c>
      <c r="AS88" s="107" t="n">
        <f aca="false">IF(A88="",0,COUNTIF(tbl_Donateurs_Conventions[ID Donateur],A88))</f>
        <v>0</v>
      </c>
      <c r="AT88" s="115" t="n">
        <f aca="false">IFERROR(_xlfn.MAXIFS(tbl_Donateurs_Decaissements[Date recue],tbl_Donateurs_Decaissements[ID Donateur],A88),"")</f>
        <v>0</v>
      </c>
      <c r="AU88" s="108" t="str">
        <f aca="false">IFERROR(AN88/AL88,"")</f>
        <v/>
      </c>
      <c r="AV88" s="107" t="str">
        <f aca="true">IF(A88="","",IF(OR(AB88="A relancer",AND(AF88&lt;&gt;"",AF88&lt;=TODAY())),"OUI","NON"))</f>
        <v/>
      </c>
      <c r="AW88" s="107" t="str">
        <f aca="false">IF(B88="","",IF(OR(COUNTIF($B$56:$B$205,B88)&gt;1,AND(D88&lt;&gt;"",COUNTIF($D$56:$D$205,D88)&gt;1),AND(K88&lt;&gt;"",COUNTIF($K$56:$K$205,K88)&gt;1),AND(L88&lt;&gt;"",COUNTIF($L$56:$L$205,L88)&gt;1)),"OUI","NON"))</f>
        <v/>
      </c>
      <c r="AX88" s="113"/>
    </row>
    <row r="89" customFormat="false" ht="15" hidden="false" customHeight="true" outlineLevel="0" collapsed="false">
      <c r="A89" s="107" t="str">
        <f aca="false">IF(B89="","","DON"&amp;TEXT(ROW()-55,"00000"))</f>
        <v/>
      </c>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07" t="str">
        <f aca="false">IFERROR(INDEX(PARAMETRES!$B$536:$B$586,MATCH(X89,PARAMETRES!$J$536:$J$586,0)),"")</f>
        <v/>
      </c>
      <c r="Z89" s="107" t="str">
        <f aca="false">IFERROR(INDEX(PARAMETRES!$D$536:$D$586,MATCH(X89,PARAMETRES!$J$536:$J$586,0)),"")</f>
        <v/>
      </c>
      <c r="AA89" s="107" t="str">
        <f aca="false">IFERROR(INDEX(PARAMETRES!$F$536:$F$586,MATCH(X89,PARAMETRES!$J$536:$J$586,0)),"")</f>
        <v/>
      </c>
      <c r="AB89" s="113"/>
      <c r="AC89" s="114"/>
      <c r="AD89" s="113"/>
      <c r="AE89" s="114"/>
      <c r="AF89" s="114"/>
      <c r="AG89" s="113"/>
      <c r="AH89" s="113"/>
      <c r="AI89" s="107" t="n">
        <f aca="false">IF(A89="",0,COUNTIF(tbl_Donateurs_Opportunites[ID Donateur],A89))</f>
        <v>0</v>
      </c>
      <c r="AJ89" s="107" t="n">
        <f aca="false">IF(A89="",0,COUNTIFS(tbl_Donateurs_Opportunites[ID Donateur],A89,tbl_Donateurs_Opportunites[Statut],"Ouverte"))</f>
        <v>0</v>
      </c>
      <c r="AK89" s="107" t="n">
        <f aca="false">IF(A89="",0,COUNTIF(tbl_Donateurs_Demandes[ID Donateur],A89))</f>
        <v>0</v>
      </c>
      <c r="AL89" s="107" t="n">
        <f aca="false">IF(A89="",0,COUNTIFS(tbl_Donateurs_Demandes[ID Donateur],A89,tbl_Donateurs_Demandes[Statut],"Approuvee")+COUNTIFS(tbl_Donateurs_Demandes[ID Donateur],A89,tbl_Donateurs_Demandes[Statut],"Financement recu"))</f>
        <v>0</v>
      </c>
      <c r="AM89" s="108" t="n">
        <f aca="false">IF(A89="",0,SUMIF(tbl_Donateurs_Demandes[ID Donateur],A89,tbl_Donateurs_Demandes[Montant demande]))</f>
        <v>0</v>
      </c>
      <c r="AN89" s="108" t="n">
        <f aca="false">IF(A89="",0,SUMIF(tbl_Donateurs_Demandes[ID Donateur],A89,tbl_Donateurs_Demandes[Montant accorde]))</f>
        <v>0</v>
      </c>
      <c r="AO89" s="108" t="n">
        <f aca="false">IF(A89="",0,SUMIF(tbl_Donateurs_Decaissements[ID Donateur],A89,tbl_Donateurs_Decaissements[Montant recu]))</f>
        <v>0</v>
      </c>
      <c r="AP89" s="109" t="str">
        <f aca="false">IFERROR(AL89/AK89,"")</f>
        <v/>
      </c>
      <c r="AQ89" s="107" t="n">
        <f aca="false">IF(A89="",0,COUNTIF(tbl_Donateurs_Contacts[ID Donateur],A89))</f>
        <v>0</v>
      </c>
      <c r="AR89" s="107" t="n">
        <f aca="false">IF(A89="",0,COUNTIF(tbl_Donateurs_Documents[ID Donateur],A89))</f>
        <v>0</v>
      </c>
      <c r="AS89" s="107" t="n">
        <f aca="false">IF(A89="",0,COUNTIF(tbl_Donateurs_Conventions[ID Donateur],A89))</f>
        <v>0</v>
      </c>
      <c r="AT89" s="115" t="n">
        <f aca="false">IFERROR(_xlfn.MAXIFS(tbl_Donateurs_Decaissements[Date recue],tbl_Donateurs_Decaissements[ID Donateur],A89),"")</f>
        <v>0</v>
      </c>
      <c r="AU89" s="108" t="str">
        <f aca="false">IFERROR(AN89/AL89,"")</f>
        <v/>
      </c>
      <c r="AV89" s="107" t="str">
        <f aca="true">IF(A89="","",IF(OR(AB89="A relancer",AND(AF89&lt;&gt;"",AF89&lt;=TODAY())),"OUI","NON"))</f>
        <v/>
      </c>
      <c r="AW89" s="107" t="str">
        <f aca="false">IF(B89="","",IF(OR(COUNTIF($B$56:$B$205,B89)&gt;1,AND(D89&lt;&gt;"",COUNTIF($D$56:$D$205,D89)&gt;1),AND(K89&lt;&gt;"",COUNTIF($K$56:$K$205,K89)&gt;1),AND(L89&lt;&gt;"",COUNTIF($L$56:$L$205,L89)&gt;1)),"OUI","NON"))</f>
        <v/>
      </c>
      <c r="AX89" s="113"/>
    </row>
    <row r="90" customFormat="false" ht="15" hidden="false" customHeight="true" outlineLevel="0" collapsed="false">
      <c r="A90" s="107" t="str">
        <f aca="false">IF(B90="","","DON"&amp;TEXT(ROW()-55,"00000"))</f>
        <v/>
      </c>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07" t="str">
        <f aca="false">IFERROR(INDEX(PARAMETRES!$B$536:$B$586,MATCH(X90,PARAMETRES!$J$536:$J$586,0)),"")</f>
        <v/>
      </c>
      <c r="Z90" s="107" t="str">
        <f aca="false">IFERROR(INDEX(PARAMETRES!$D$536:$D$586,MATCH(X90,PARAMETRES!$J$536:$J$586,0)),"")</f>
        <v/>
      </c>
      <c r="AA90" s="107" t="str">
        <f aca="false">IFERROR(INDEX(PARAMETRES!$F$536:$F$586,MATCH(X90,PARAMETRES!$J$536:$J$586,0)),"")</f>
        <v/>
      </c>
      <c r="AB90" s="113"/>
      <c r="AC90" s="114"/>
      <c r="AD90" s="113"/>
      <c r="AE90" s="114"/>
      <c r="AF90" s="114"/>
      <c r="AG90" s="113"/>
      <c r="AH90" s="113"/>
      <c r="AI90" s="107" t="n">
        <f aca="false">IF(A90="",0,COUNTIF(tbl_Donateurs_Opportunites[ID Donateur],A90))</f>
        <v>0</v>
      </c>
      <c r="AJ90" s="107" t="n">
        <f aca="false">IF(A90="",0,COUNTIFS(tbl_Donateurs_Opportunites[ID Donateur],A90,tbl_Donateurs_Opportunites[Statut],"Ouverte"))</f>
        <v>0</v>
      </c>
      <c r="AK90" s="107" t="n">
        <f aca="false">IF(A90="",0,COUNTIF(tbl_Donateurs_Demandes[ID Donateur],A90))</f>
        <v>0</v>
      </c>
      <c r="AL90" s="107" t="n">
        <f aca="false">IF(A90="",0,COUNTIFS(tbl_Donateurs_Demandes[ID Donateur],A90,tbl_Donateurs_Demandes[Statut],"Approuvee")+COUNTIFS(tbl_Donateurs_Demandes[ID Donateur],A90,tbl_Donateurs_Demandes[Statut],"Financement recu"))</f>
        <v>0</v>
      </c>
      <c r="AM90" s="108" t="n">
        <f aca="false">IF(A90="",0,SUMIF(tbl_Donateurs_Demandes[ID Donateur],A90,tbl_Donateurs_Demandes[Montant demande]))</f>
        <v>0</v>
      </c>
      <c r="AN90" s="108" t="n">
        <f aca="false">IF(A90="",0,SUMIF(tbl_Donateurs_Demandes[ID Donateur],A90,tbl_Donateurs_Demandes[Montant accorde]))</f>
        <v>0</v>
      </c>
      <c r="AO90" s="108" t="n">
        <f aca="false">IF(A90="",0,SUMIF(tbl_Donateurs_Decaissements[ID Donateur],A90,tbl_Donateurs_Decaissements[Montant recu]))</f>
        <v>0</v>
      </c>
      <c r="AP90" s="109" t="str">
        <f aca="false">IFERROR(AL90/AK90,"")</f>
        <v/>
      </c>
      <c r="AQ90" s="107" t="n">
        <f aca="false">IF(A90="",0,COUNTIF(tbl_Donateurs_Contacts[ID Donateur],A90))</f>
        <v>0</v>
      </c>
      <c r="AR90" s="107" t="n">
        <f aca="false">IF(A90="",0,COUNTIF(tbl_Donateurs_Documents[ID Donateur],A90))</f>
        <v>0</v>
      </c>
      <c r="AS90" s="107" t="n">
        <f aca="false">IF(A90="",0,COUNTIF(tbl_Donateurs_Conventions[ID Donateur],A90))</f>
        <v>0</v>
      </c>
      <c r="AT90" s="115" t="n">
        <f aca="false">IFERROR(_xlfn.MAXIFS(tbl_Donateurs_Decaissements[Date recue],tbl_Donateurs_Decaissements[ID Donateur],A90),"")</f>
        <v>0</v>
      </c>
      <c r="AU90" s="108" t="str">
        <f aca="false">IFERROR(AN90/AL90,"")</f>
        <v/>
      </c>
      <c r="AV90" s="107" t="str">
        <f aca="true">IF(A90="","",IF(OR(AB90="A relancer",AND(AF90&lt;&gt;"",AF90&lt;=TODAY())),"OUI","NON"))</f>
        <v/>
      </c>
      <c r="AW90" s="107" t="str">
        <f aca="false">IF(B90="","",IF(OR(COUNTIF($B$56:$B$205,B90)&gt;1,AND(D90&lt;&gt;"",COUNTIF($D$56:$D$205,D90)&gt;1),AND(K90&lt;&gt;"",COUNTIF($K$56:$K$205,K90)&gt;1),AND(L90&lt;&gt;"",COUNTIF($L$56:$L$205,L90)&gt;1)),"OUI","NON"))</f>
        <v/>
      </c>
      <c r="AX90" s="113"/>
    </row>
    <row r="91" customFormat="false" ht="15" hidden="false" customHeight="true" outlineLevel="0" collapsed="false">
      <c r="A91" s="107" t="str">
        <f aca="false">IF(B91="","","DON"&amp;TEXT(ROW()-55,"00000"))</f>
        <v/>
      </c>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07" t="str">
        <f aca="false">IFERROR(INDEX(PARAMETRES!$B$536:$B$586,MATCH(X91,PARAMETRES!$J$536:$J$586,0)),"")</f>
        <v/>
      </c>
      <c r="Z91" s="107" t="str">
        <f aca="false">IFERROR(INDEX(PARAMETRES!$D$536:$D$586,MATCH(X91,PARAMETRES!$J$536:$J$586,0)),"")</f>
        <v/>
      </c>
      <c r="AA91" s="107" t="str">
        <f aca="false">IFERROR(INDEX(PARAMETRES!$F$536:$F$586,MATCH(X91,PARAMETRES!$J$536:$J$586,0)),"")</f>
        <v/>
      </c>
      <c r="AB91" s="113"/>
      <c r="AC91" s="114"/>
      <c r="AD91" s="113"/>
      <c r="AE91" s="114"/>
      <c r="AF91" s="114"/>
      <c r="AG91" s="113"/>
      <c r="AH91" s="113"/>
      <c r="AI91" s="107" t="n">
        <f aca="false">IF(A91="",0,COUNTIF(tbl_Donateurs_Opportunites[ID Donateur],A91))</f>
        <v>0</v>
      </c>
      <c r="AJ91" s="107" t="n">
        <f aca="false">IF(A91="",0,COUNTIFS(tbl_Donateurs_Opportunites[ID Donateur],A91,tbl_Donateurs_Opportunites[Statut],"Ouverte"))</f>
        <v>0</v>
      </c>
      <c r="AK91" s="107" t="n">
        <f aca="false">IF(A91="",0,COUNTIF(tbl_Donateurs_Demandes[ID Donateur],A91))</f>
        <v>0</v>
      </c>
      <c r="AL91" s="107" t="n">
        <f aca="false">IF(A91="",0,COUNTIFS(tbl_Donateurs_Demandes[ID Donateur],A91,tbl_Donateurs_Demandes[Statut],"Approuvee")+COUNTIFS(tbl_Donateurs_Demandes[ID Donateur],A91,tbl_Donateurs_Demandes[Statut],"Financement recu"))</f>
        <v>0</v>
      </c>
      <c r="AM91" s="108" t="n">
        <f aca="false">IF(A91="",0,SUMIF(tbl_Donateurs_Demandes[ID Donateur],A91,tbl_Donateurs_Demandes[Montant demande]))</f>
        <v>0</v>
      </c>
      <c r="AN91" s="108" t="n">
        <f aca="false">IF(A91="",0,SUMIF(tbl_Donateurs_Demandes[ID Donateur],A91,tbl_Donateurs_Demandes[Montant accorde]))</f>
        <v>0</v>
      </c>
      <c r="AO91" s="108" t="n">
        <f aca="false">IF(A91="",0,SUMIF(tbl_Donateurs_Decaissements[ID Donateur],A91,tbl_Donateurs_Decaissements[Montant recu]))</f>
        <v>0</v>
      </c>
      <c r="AP91" s="109" t="str">
        <f aca="false">IFERROR(AL91/AK91,"")</f>
        <v/>
      </c>
      <c r="AQ91" s="107" t="n">
        <f aca="false">IF(A91="",0,COUNTIF(tbl_Donateurs_Contacts[ID Donateur],A91))</f>
        <v>0</v>
      </c>
      <c r="AR91" s="107" t="n">
        <f aca="false">IF(A91="",0,COUNTIF(tbl_Donateurs_Documents[ID Donateur],A91))</f>
        <v>0</v>
      </c>
      <c r="AS91" s="107" t="n">
        <f aca="false">IF(A91="",0,COUNTIF(tbl_Donateurs_Conventions[ID Donateur],A91))</f>
        <v>0</v>
      </c>
      <c r="AT91" s="115" t="n">
        <f aca="false">IFERROR(_xlfn.MAXIFS(tbl_Donateurs_Decaissements[Date recue],tbl_Donateurs_Decaissements[ID Donateur],A91),"")</f>
        <v>0</v>
      </c>
      <c r="AU91" s="108" t="str">
        <f aca="false">IFERROR(AN91/AL91,"")</f>
        <v/>
      </c>
      <c r="AV91" s="107" t="str">
        <f aca="true">IF(A91="","",IF(OR(AB91="A relancer",AND(AF91&lt;&gt;"",AF91&lt;=TODAY())),"OUI","NON"))</f>
        <v/>
      </c>
      <c r="AW91" s="107" t="str">
        <f aca="false">IF(B91="","",IF(OR(COUNTIF($B$56:$B$205,B91)&gt;1,AND(D91&lt;&gt;"",COUNTIF($D$56:$D$205,D91)&gt;1),AND(K91&lt;&gt;"",COUNTIF($K$56:$K$205,K91)&gt;1),AND(L91&lt;&gt;"",COUNTIF($L$56:$L$205,L91)&gt;1)),"OUI","NON"))</f>
        <v/>
      </c>
      <c r="AX91" s="113"/>
    </row>
    <row r="92" customFormat="false" ht="15" hidden="false" customHeight="true" outlineLevel="0" collapsed="false">
      <c r="A92" s="107" t="str">
        <f aca="false">IF(B92="","","DON"&amp;TEXT(ROW()-55,"00000"))</f>
        <v/>
      </c>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07" t="str">
        <f aca="false">IFERROR(INDEX(PARAMETRES!$B$536:$B$586,MATCH(X92,PARAMETRES!$J$536:$J$586,0)),"")</f>
        <v/>
      </c>
      <c r="Z92" s="107" t="str">
        <f aca="false">IFERROR(INDEX(PARAMETRES!$D$536:$D$586,MATCH(X92,PARAMETRES!$J$536:$J$586,0)),"")</f>
        <v/>
      </c>
      <c r="AA92" s="107" t="str">
        <f aca="false">IFERROR(INDEX(PARAMETRES!$F$536:$F$586,MATCH(X92,PARAMETRES!$J$536:$J$586,0)),"")</f>
        <v/>
      </c>
      <c r="AB92" s="113"/>
      <c r="AC92" s="114"/>
      <c r="AD92" s="113"/>
      <c r="AE92" s="114"/>
      <c r="AF92" s="114"/>
      <c r="AG92" s="113"/>
      <c r="AH92" s="113"/>
      <c r="AI92" s="107" t="n">
        <f aca="false">IF(A92="",0,COUNTIF(tbl_Donateurs_Opportunites[ID Donateur],A92))</f>
        <v>0</v>
      </c>
      <c r="AJ92" s="107" t="n">
        <f aca="false">IF(A92="",0,COUNTIFS(tbl_Donateurs_Opportunites[ID Donateur],A92,tbl_Donateurs_Opportunites[Statut],"Ouverte"))</f>
        <v>0</v>
      </c>
      <c r="AK92" s="107" t="n">
        <f aca="false">IF(A92="",0,COUNTIF(tbl_Donateurs_Demandes[ID Donateur],A92))</f>
        <v>0</v>
      </c>
      <c r="AL92" s="107" t="n">
        <f aca="false">IF(A92="",0,COUNTIFS(tbl_Donateurs_Demandes[ID Donateur],A92,tbl_Donateurs_Demandes[Statut],"Approuvee")+COUNTIFS(tbl_Donateurs_Demandes[ID Donateur],A92,tbl_Donateurs_Demandes[Statut],"Financement recu"))</f>
        <v>0</v>
      </c>
      <c r="AM92" s="108" t="n">
        <f aca="false">IF(A92="",0,SUMIF(tbl_Donateurs_Demandes[ID Donateur],A92,tbl_Donateurs_Demandes[Montant demande]))</f>
        <v>0</v>
      </c>
      <c r="AN92" s="108" t="n">
        <f aca="false">IF(A92="",0,SUMIF(tbl_Donateurs_Demandes[ID Donateur],A92,tbl_Donateurs_Demandes[Montant accorde]))</f>
        <v>0</v>
      </c>
      <c r="AO92" s="108" t="n">
        <f aca="false">IF(A92="",0,SUMIF(tbl_Donateurs_Decaissements[ID Donateur],A92,tbl_Donateurs_Decaissements[Montant recu]))</f>
        <v>0</v>
      </c>
      <c r="AP92" s="109" t="str">
        <f aca="false">IFERROR(AL92/AK92,"")</f>
        <v/>
      </c>
      <c r="AQ92" s="107" t="n">
        <f aca="false">IF(A92="",0,COUNTIF(tbl_Donateurs_Contacts[ID Donateur],A92))</f>
        <v>0</v>
      </c>
      <c r="AR92" s="107" t="n">
        <f aca="false">IF(A92="",0,COUNTIF(tbl_Donateurs_Documents[ID Donateur],A92))</f>
        <v>0</v>
      </c>
      <c r="AS92" s="107" t="n">
        <f aca="false">IF(A92="",0,COUNTIF(tbl_Donateurs_Conventions[ID Donateur],A92))</f>
        <v>0</v>
      </c>
      <c r="AT92" s="115" t="n">
        <f aca="false">IFERROR(_xlfn.MAXIFS(tbl_Donateurs_Decaissements[Date recue],tbl_Donateurs_Decaissements[ID Donateur],A92),"")</f>
        <v>0</v>
      </c>
      <c r="AU92" s="108" t="str">
        <f aca="false">IFERROR(AN92/AL92,"")</f>
        <v/>
      </c>
      <c r="AV92" s="107" t="str">
        <f aca="true">IF(A92="","",IF(OR(AB92="A relancer",AND(AF92&lt;&gt;"",AF92&lt;=TODAY())),"OUI","NON"))</f>
        <v/>
      </c>
      <c r="AW92" s="107" t="str">
        <f aca="false">IF(B92="","",IF(OR(COUNTIF($B$56:$B$205,B92)&gt;1,AND(D92&lt;&gt;"",COUNTIF($D$56:$D$205,D92)&gt;1),AND(K92&lt;&gt;"",COUNTIF($K$56:$K$205,K92)&gt;1),AND(L92&lt;&gt;"",COUNTIF($L$56:$L$205,L92)&gt;1)),"OUI","NON"))</f>
        <v/>
      </c>
      <c r="AX92" s="113"/>
    </row>
    <row r="93" customFormat="false" ht="15" hidden="false" customHeight="true" outlineLevel="0" collapsed="false">
      <c r="A93" s="107" t="str">
        <f aca="false">IF(B93="","","DON"&amp;TEXT(ROW()-55,"00000"))</f>
        <v/>
      </c>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07" t="str">
        <f aca="false">IFERROR(INDEX(PARAMETRES!$B$536:$B$586,MATCH(X93,PARAMETRES!$J$536:$J$586,0)),"")</f>
        <v/>
      </c>
      <c r="Z93" s="107" t="str">
        <f aca="false">IFERROR(INDEX(PARAMETRES!$D$536:$D$586,MATCH(X93,PARAMETRES!$J$536:$J$586,0)),"")</f>
        <v/>
      </c>
      <c r="AA93" s="107" t="str">
        <f aca="false">IFERROR(INDEX(PARAMETRES!$F$536:$F$586,MATCH(X93,PARAMETRES!$J$536:$J$586,0)),"")</f>
        <v/>
      </c>
      <c r="AB93" s="113"/>
      <c r="AC93" s="114"/>
      <c r="AD93" s="113"/>
      <c r="AE93" s="114"/>
      <c r="AF93" s="114"/>
      <c r="AG93" s="113"/>
      <c r="AH93" s="113"/>
      <c r="AI93" s="107" t="n">
        <f aca="false">IF(A93="",0,COUNTIF(tbl_Donateurs_Opportunites[ID Donateur],A93))</f>
        <v>0</v>
      </c>
      <c r="AJ93" s="107" t="n">
        <f aca="false">IF(A93="",0,COUNTIFS(tbl_Donateurs_Opportunites[ID Donateur],A93,tbl_Donateurs_Opportunites[Statut],"Ouverte"))</f>
        <v>0</v>
      </c>
      <c r="AK93" s="107" t="n">
        <f aca="false">IF(A93="",0,COUNTIF(tbl_Donateurs_Demandes[ID Donateur],A93))</f>
        <v>0</v>
      </c>
      <c r="AL93" s="107" t="n">
        <f aca="false">IF(A93="",0,COUNTIFS(tbl_Donateurs_Demandes[ID Donateur],A93,tbl_Donateurs_Demandes[Statut],"Approuvee")+COUNTIFS(tbl_Donateurs_Demandes[ID Donateur],A93,tbl_Donateurs_Demandes[Statut],"Financement recu"))</f>
        <v>0</v>
      </c>
      <c r="AM93" s="108" t="n">
        <f aca="false">IF(A93="",0,SUMIF(tbl_Donateurs_Demandes[ID Donateur],A93,tbl_Donateurs_Demandes[Montant demande]))</f>
        <v>0</v>
      </c>
      <c r="AN93" s="108" t="n">
        <f aca="false">IF(A93="",0,SUMIF(tbl_Donateurs_Demandes[ID Donateur],A93,tbl_Donateurs_Demandes[Montant accorde]))</f>
        <v>0</v>
      </c>
      <c r="AO93" s="108" t="n">
        <f aca="false">IF(A93="",0,SUMIF(tbl_Donateurs_Decaissements[ID Donateur],A93,tbl_Donateurs_Decaissements[Montant recu]))</f>
        <v>0</v>
      </c>
      <c r="AP93" s="109" t="str">
        <f aca="false">IFERROR(AL93/AK93,"")</f>
        <v/>
      </c>
      <c r="AQ93" s="107" t="n">
        <f aca="false">IF(A93="",0,COUNTIF(tbl_Donateurs_Contacts[ID Donateur],A93))</f>
        <v>0</v>
      </c>
      <c r="AR93" s="107" t="n">
        <f aca="false">IF(A93="",0,COUNTIF(tbl_Donateurs_Documents[ID Donateur],A93))</f>
        <v>0</v>
      </c>
      <c r="AS93" s="107" t="n">
        <f aca="false">IF(A93="",0,COUNTIF(tbl_Donateurs_Conventions[ID Donateur],A93))</f>
        <v>0</v>
      </c>
      <c r="AT93" s="115" t="n">
        <f aca="false">IFERROR(_xlfn.MAXIFS(tbl_Donateurs_Decaissements[Date recue],tbl_Donateurs_Decaissements[ID Donateur],A93),"")</f>
        <v>0</v>
      </c>
      <c r="AU93" s="108" t="str">
        <f aca="false">IFERROR(AN93/AL93,"")</f>
        <v/>
      </c>
      <c r="AV93" s="107" t="str">
        <f aca="true">IF(A93="","",IF(OR(AB93="A relancer",AND(AF93&lt;&gt;"",AF93&lt;=TODAY())),"OUI","NON"))</f>
        <v/>
      </c>
      <c r="AW93" s="107" t="str">
        <f aca="false">IF(B93="","",IF(OR(COUNTIF($B$56:$B$205,B93)&gt;1,AND(D93&lt;&gt;"",COUNTIF($D$56:$D$205,D93)&gt;1),AND(K93&lt;&gt;"",COUNTIF($K$56:$K$205,K93)&gt;1),AND(L93&lt;&gt;"",COUNTIF($L$56:$L$205,L93)&gt;1)),"OUI","NON"))</f>
        <v/>
      </c>
      <c r="AX93" s="113"/>
    </row>
    <row r="94" customFormat="false" ht="15" hidden="false" customHeight="true" outlineLevel="0" collapsed="false">
      <c r="A94" s="107" t="str">
        <f aca="false">IF(B94="","","DON"&amp;TEXT(ROW()-55,"00000"))</f>
        <v/>
      </c>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07" t="str">
        <f aca="false">IFERROR(INDEX(PARAMETRES!$B$536:$B$586,MATCH(X94,PARAMETRES!$J$536:$J$586,0)),"")</f>
        <v/>
      </c>
      <c r="Z94" s="107" t="str">
        <f aca="false">IFERROR(INDEX(PARAMETRES!$D$536:$D$586,MATCH(X94,PARAMETRES!$J$536:$J$586,0)),"")</f>
        <v/>
      </c>
      <c r="AA94" s="107" t="str">
        <f aca="false">IFERROR(INDEX(PARAMETRES!$F$536:$F$586,MATCH(X94,PARAMETRES!$J$536:$J$586,0)),"")</f>
        <v/>
      </c>
      <c r="AB94" s="113"/>
      <c r="AC94" s="114"/>
      <c r="AD94" s="113"/>
      <c r="AE94" s="114"/>
      <c r="AF94" s="114"/>
      <c r="AG94" s="113"/>
      <c r="AH94" s="113"/>
      <c r="AI94" s="107" t="n">
        <f aca="false">IF(A94="",0,COUNTIF(tbl_Donateurs_Opportunites[ID Donateur],A94))</f>
        <v>0</v>
      </c>
      <c r="AJ94" s="107" t="n">
        <f aca="false">IF(A94="",0,COUNTIFS(tbl_Donateurs_Opportunites[ID Donateur],A94,tbl_Donateurs_Opportunites[Statut],"Ouverte"))</f>
        <v>0</v>
      </c>
      <c r="AK94" s="107" t="n">
        <f aca="false">IF(A94="",0,COUNTIF(tbl_Donateurs_Demandes[ID Donateur],A94))</f>
        <v>0</v>
      </c>
      <c r="AL94" s="107" t="n">
        <f aca="false">IF(A94="",0,COUNTIFS(tbl_Donateurs_Demandes[ID Donateur],A94,tbl_Donateurs_Demandes[Statut],"Approuvee")+COUNTIFS(tbl_Donateurs_Demandes[ID Donateur],A94,tbl_Donateurs_Demandes[Statut],"Financement recu"))</f>
        <v>0</v>
      </c>
      <c r="AM94" s="108" t="n">
        <f aca="false">IF(A94="",0,SUMIF(tbl_Donateurs_Demandes[ID Donateur],A94,tbl_Donateurs_Demandes[Montant demande]))</f>
        <v>0</v>
      </c>
      <c r="AN94" s="108" t="n">
        <f aca="false">IF(A94="",0,SUMIF(tbl_Donateurs_Demandes[ID Donateur],A94,tbl_Donateurs_Demandes[Montant accorde]))</f>
        <v>0</v>
      </c>
      <c r="AO94" s="108" t="n">
        <f aca="false">IF(A94="",0,SUMIF(tbl_Donateurs_Decaissements[ID Donateur],A94,tbl_Donateurs_Decaissements[Montant recu]))</f>
        <v>0</v>
      </c>
      <c r="AP94" s="109" t="str">
        <f aca="false">IFERROR(AL94/AK94,"")</f>
        <v/>
      </c>
      <c r="AQ94" s="107" t="n">
        <f aca="false">IF(A94="",0,COUNTIF(tbl_Donateurs_Contacts[ID Donateur],A94))</f>
        <v>0</v>
      </c>
      <c r="AR94" s="107" t="n">
        <f aca="false">IF(A94="",0,COUNTIF(tbl_Donateurs_Documents[ID Donateur],A94))</f>
        <v>0</v>
      </c>
      <c r="AS94" s="107" t="n">
        <f aca="false">IF(A94="",0,COUNTIF(tbl_Donateurs_Conventions[ID Donateur],A94))</f>
        <v>0</v>
      </c>
      <c r="AT94" s="115" t="n">
        <f aca="false">IFERROR(_xlfn.MAXIFS(tbl_Donateurs_Decaissements[Date recue],tbl_Donateurs_Decaissements[ID Donateur],A94),"")</f>
        <v>0</v>
      </c>
      <c r="AU94" s="108" t="str">
        <f aca="false">IFERROR(AN94/AL94,"")</f>
        <v/>
      </c>
      <c r="AV94" s="107" t="str">
        <f aca="true">IF(A94="","",IF(OR(AB94="A relancer",AND(AF94&lt;&gt;"",AF94&lt;=TODAY())),"OUI","NON"))</f>
        <v/>
      </c>
      <c r="AW94" s="107" t="str">
        <f aca="false">IF(B94="","",IF(OR(COUNTIF($B$56:$B$205,B94)&gt;1,AND(D94&lt;&gt;"",COUNTIF($D$56:$D$205,D94)&gt;1),AND(K94&lt;&gt;"",COUNTIF($K$56:$K$205,K94)&gt;1),AND(L94&lt;&gt;"",COUNTIF($L$56:$L$205,L94)&gt;1)),"OUI","NON"))</f>
        <v/>
      </c>
      <c r="AX94" s="113"/>
    </row>
    <row r="95" customFormat="false" ht="15" hidden="false" customHeight="true" outlineLevel="0" collapsed="false">
      <c r="A95" s="107" t="str">
        <f aca="false">IF(B95="","","DON"&amp;TEXT(ROW()-55,"00000"))</f>
        <v/>
      </c>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07" t="str">
        <f aca="false">IFERROR(INDEX(PARAMETRES!$B$536:$B$586,MATCH(X95,PARAMETRES!$J$536:$J$586,0)),"")</f>
        <v/>
      </c>
      <c r="Z95" s="107" t="str">
        <f aca="false">IFERROR(INDEX(PARAMETRES!$D$536:$D$586,MATCH(X95,PARAMETRES!$J$536:$J$586,0)),"")</f>
        <v/>
      </c>
      <c r="AA95" s="107" t="str">
        <f aca="false">IFERROR(INDEX(PARAMETRES!$F$536:$F$586,MATCH(X95,PARAMETRES!$J$536:$J$586,0)),"")</f>
        <v/>
      </c>
      <c r="AB95" s="113"/>
      <c r="AC95" s="114"/>
      <c r="AD95" s="113"/>
      <c r="AE95" s="114"/>
      <c r="AF95" s="114"/>
      <c r="AG95" s="113"/>
      <c r="AH95" s="113"/>
      <c r="AI95" s="107" t="n">
        <f aca="false">IF(A95="",0,COUNTIF(tbl_Donateurs_Opportunites[ID Donateur],A95))</f>
        <v>0</v>
      </c>
      <c r="AJ95" s="107" t="n">
        <f aca="false">IF(A95="",0,COUNTIFS(tbl_Donateurs_Opportunites[ID Donateur],A95,tbl_Donateurs_Opportunites[Statut],"Ouverte"))</f>
        <v>0</v>
      </c>
      <c r="AK95" s="107" t="n">
        <f aca="false">IF(A95="",0,COUNTIF(tbl_Donateurs_Demandes[ID Donateur],A95))</f>
        <v>0</v>
      </c>
      <c r="AL95" s="107" t="n">
        <f aca="false">IF(A95="",0,COUNTIFS(tbl_Donateurs_Demandes[ID Donateur],A95,tbl_Donateurs_Demandes[Statut],"Approuvee")+COUNTIFS(tbl_Donateurs_Demandes[ID Donateur],A95,tbl_Donateurs_Demandes[Statut],"Financement recu"))</f>
        <v>0</v>
      </c>
      <c r="AM95" s="108" t="n">
        <f aca="false">IF(A95="",0,SUMIF(tbl_Donateurs_Demandes[ID Donateur],A95,tbl_Donateurs_Demandes[Montant demande]))</f>
        <v>0</v>
      </c>
      <c r="AN95" s="108" t="n">
        <f aca="false">IF(A95="",0,SUMIF(tbl_Donateurs_Demandes[ID Donateur],A95,tbl_Donateurs_Demandes[Montant accorde]))</f>
        <v>0</v>
      </c>
      <c r="AO95" s="108" t="n">
        <f aca="false">IF(A95="",0,SUMIF(tbl_Donateurs_Decaissements[ID Donateur],A95,tbl_Donateurs_Decaissements[Montant recu]))</f>
        <v>0</v>
      </c>
      <c r="AP95" s="109" t="str">
        <f aca="false">IFERROR(AL95/AK95,"")</f>
        <v/>
      </c>
      <c r="AQ95" s="107" t="n">
        <f aca="false">IF(A95="",0,COUNTIF(tbl_Donateurs_Contacts[ID Donateur],A95))</f>
        <v>0</v>
      </c>
      <c r="AR95" s="107" t="n">
        <f aca="false">IF(A95="",0,COUNTIF(tbl_Donateurs_Documents[ID Donateur],A95))</f>
        <v>0</v>
      </c>
      <c r="AS95" s="107" t="n">
        <f aca="false">IF(A95="",0,COUNTIF(tbl_Donateurs_Conventions[ID Donateur],A95))</f>
        <v>0</v>
      </c>
      <c r="AT95" s="115" t="n">
        <f aca="false">IFERROR(_xlfn.MAXIFS(tbl_Donateurs_Decaissements[Date recue],tbl_Donateurs_Decaissements[ID Donateur],A95),"")</f>
        <v>0</v>
      </c>
      <c r="AU95" s="108" t="str">
        <f aca="false">IFERROR(AN95/AL95,"")</f>
        <v/>
      </c>
      <c r="AV95" s="107" t="str">
        <f aca="true">IF(A95="","",IF(OR(AB95="A relancer",AND(AF95&lt;&gt;"",AF95&lt;=TODAY())),"OUI","NON"))</f>
        <v/>
      </c>
      <c r="AW95" s="107" t="str">
        <f aca="false">IF(B95="","",IF(OR(COUNTIF($B$56:$B$205,B95)&gt;1,AND(D95&lt;&gt;"",COUNTIF($D$56:$D$205,D95)&gt;1),AND(K95&lt;&gt;"",COUNTIF($K$56:$K$205,K95)&gt;1),AND(L95&lt;&gt;"",COUNTIF($L$56:$L$205,L95)&gt;1)),"OUI","NON"))</f>
        <v/>
      </c>
      <c r="AX95" s="113"/>
    </row>
    <row r="96" customFormat="false" ht="15" hidden="false" customHeight="true" outlineLevel="0" collapsed="false">
      <c r="A96" s="107" t="str">
        <f aca="false">IF(B96="","","DON"&amp;TEXT(ROW()-55,"00000"))</f>
        <v/>
      </c>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07" t="str">
        <f aca="false">IFERROR(INDEX(PARAMETRES!$B$536:$B$586,MATCH(X96,PARAMETRES!$J$536:$J$586,0)),"")</f>
        <v/>
      </c>
      <c r="Z96" s="107" t="str">
        <f aca="false">IFERROR(INDEX(PARAMETRES!$D$536:$D$586,MATCH(X96,PARAMETRES!$J$536:$J$586,0)),"")</f>
        <v/>
      </c>
      <c r="AA96" s="107" t="str">
        <f aca="false">IFERROR(INDEX(PARAMETRES!$F$536:$F$586,MATCH(X96,PARAMETRES!$J$536:$J$586,0)),"")</f>
        <v/>
      </c>
      <c r="AB96" s="113"/>
      <c r="AC96" s="114"/>
      <c r="AD96" s="113"/>
      <c r="AE96" s="114"/>
      <c r="AF96" s="114"/>
      <c r="AG96" s="113"/>
      <c r="AH96" s="113"/>
      <c r="AI96" s="107" t="n">
        <f aca="false">IF(A96="",0,COUNTIF(tbl_Donateurs_Opportunites[ID Donateur],A96))</f>
        <v>0</v>
      </c>
      <c r="AJ96" s="107" t="n">
        <f aca="false">IF(A96="",0,COUNTIFS(tbl_Donateurs_Opportunites[ID Donateur],A96,tbl_Donateurs_Opportunites[Statut],"Ouverte"))</f>
        <v>0</v>
      </c>
      <c r="AK96" s="107" t="n">
        <f aca="false">IF(A96="",0,COUNTIF(tbl_Donateurs_Demandes[ID Donateur],A96))</f>
        <v>0</v>
      </c>
      <c r="AL96" s="107" t="n">
        <f aca="false">IF(A96="",0,COUNTIFS(tbl_Donateurs_Demandes[ID Donateur],A96,tbl_Donateurs_Demandes[Statut],"Approuvee")+COUNTIFS(tbl_Donateurs_Demandes[ID Donateur],A96,tbl_Donateurs_Demandes[Statut],"Financement recu"))</f>
        <v>0</v>
      </c>
      <c r="AM96" s="108" t="n">
        <f aca="false">IF(A96="",0,SUMIF(tbl_Donateurs_Demandes[ID Donateur],A96,tbl_Donateurs_Demandes[Montant demande]))</f>
        <v>0</v>
      </c>
      <c r="AN96" s="108" t="n">
        <f aca="false">IF(A96="",0,SUMIF(tbl_Donateurs_Demandes[ID Donateur],A96,tbl_Donateurs_Demandes[Montant accorde]))</f>
        <v>0</v>
      </c>
      <c r="AO96" s="108" t="n">
        <f aca="false">IF(A96="",0,SUMIF(tbl_Donateurs_Decaissements[ID Donateur],A96,tbl_Donateurs_Decaissements[Montant recu]))</f>
        <v>0</v>
      </c>
      <c r="AP96" s="109" t="str">
        <f aca="false">IFERROR(AL96/AK96,"")</f>
        <v/>
      </c>
      <c r="AQ96" s="107" t="n">
        <f aca="false">IF(A96="",0,COUNTIF(tbl_Donateurs_Contacts[ID Donateur],A96))</f>
        <v>0</v>
      </c>
      <c r="AR96" s="107" t="n">
        <f aca="false">IF(A96="",0,COUNTIF(tbl_Donateurs_Documents[ID Donateur],A96))</f>
        <v>0</v>
      </c>
      <c r="AS96" s="107" t="n">
        <f aca="false">IF(A96="",0,COUNTIF(tbl_Donateurs_Conventions[ID Donateur],A96))</f>
        <v>0</v>
      </c>
      <c r="AT96" s="115" t="n">
        <f aca="false">IFERROR(_xlfn.MAXIFS(tbl_Donateurs_Decaissements[Date recue],tbl_Donateurs_Decaissements[ID Donateur],A96),"")</f>
        <v>0</v>
      </c>
      <c r="AU96" s="108" t="str">
        <f aca="false">IFERROR(AN96/AL96,"")</f>
        <v/>
      </c>
      <c r="AV96" s="107" t="str">
        <f aca="true">IF(A96="","",IF(OR(AB96="A relancer",AND(AF96&lt;&gt;"",AF96&lt;=TODAY())),"OUI","NON"))</f>
        <v/>
      </c>
      <c r="AW96" s="107" t="str">
        <f aca="false">IF(B96="","",IF(OR(COUNTIF($B$56:$B$205,B96)&gt;1,AND(D96&lt;&gt;"",COUNTIF($D$56:$D$205,D96)&gt;1),AND(K96&lt;&gt;"",COUNTIF($K$56:$K$205,K96)&gt;1),AND(L96&lt;&gt;"",COUNTIF($L$56:$L$205,L96)&gt;1)),"OUI","NON"))</f>
        <v/>
      </c>
      <c r="AX96" s="113"/>
    </row>
    <row r="97" customFormat="false" ht="15" hidden="false" customHeight="true" outlineLevel="0" collapsed="false">
      <c r="A97" s="107" t="str">
        <f aca="false">IF(B97="","","DON"&amp;TEXT(ROW()-55,"00000"))</f>
        <v/>
      </c>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07" t="str">
        <f aca="false">IFERROR(INDEX(PARAMETRES!$B$536:$B$586,MATCH(X97,PARAMETRES!$J$536:$J$586,0)),"")</f>
        <v/>
      </c>
      <c r="Z97" s="107" t="str">
        <f aca="false">IFERROR(INDEX(PARAMETRES!$D$536:$D$586,MATCH(X97,PARAMETRES!$J$536:$J$586,0)),"")</f>
        <v/>
      </c>
      <c r="AA97" s="107" t="str">
        <f aca="false">IFERROR(INDEX(PARAMETRES!$F$536:$F$586,MATCH(X97,PARAMETRES!$J$536:$J$586,0)),"")</f>
        <v/>
      </c>
      <c r="AB97" s="113"/>
      <c r="AC97" s="114"/>
      <c r="AD97" s="113"/>
      <c r="AE97" s="114"/>
      <c r="AF97" s="114"/>
      <c r="AG97" s="113"/>
      <c r="AH97" s="113"/>
      <c r="AI97" s="107" t="n">
        <f aca="false">IF(A97="",0,COUNTIF(tbl_Donateurs_Opportunites[ID Donateur],A97))</f>
        <v>0</v>
      </c>
      <c r="AJ97" s="107" t="n">
        <f aca="false">IF(A97="",0,COUNTIFS(tbl_Donateurs_Opportunites[ID Donateur],A97,tbl_Donateurs_Opportunites[Statut],"Ouverte"))</f>
        <v>0</v>
      </c>
      <c r="AK97" s="107" t="n">
        <f aca="false">IF(A97="",0,COUNTIF(tbl_Donateurs_Demandes[ID Donateur],A97))</f>
        <v>0</v>
      </c>
      <c r="AL97" s="107" t="n">
        <f aca="false">IF(A97="",0,COUNTIFS(tbl_Donateurs_Demandes[ID Donateur],A97,tbl_Donateurs_Demandes[Statut],"Approuvee")+COUNTIFS(tbl_Donateurs_Demandes[ID Donateur],A97,tbl_Donateurs_Demandes[Statut],"Financement recu"))</f>
        <v>0</v>
      </c>
      <c r="AM97" s="108" t="n">
        <f aca="false">IF(A97="",0,SUMIF(tbl_Donateurs_Demandes[ID Donateur],A97,tbl_Donateurs_Demandes[Montant demande]))</f>
        <v>0</v>
      </c>
      <c r="AN97" s="108" t="n">
        <f aca="false">IF(A97="",0,SUMIF(tbl_Donateurs_Demandes[ID Donateur],A97,tbl_Donateurs_Demandes[Montant accorde]))</f>
        <v>0</v>
      </c>
      <c r="AO97" s="108" t="n">
        <f aca="false">IF(A97="",0,SUMIF(tbl_Donateurs_Decaissements[ID Donateur],A97,tbl_Donateurs_Decaissements[Montant recu]))</f>
        <v>0</v>
      </c>
      <c r="AP97" s="109" t="str">
        <f aca="false">IFERROR(AL97/AK97,"")</f>
        <v/>
      </c>
      <c r="AQ97" s="107" t="n">
        <f aca="false">IF(A97="",0,COUNTIF(tbl_Donateurs_Contacts[ID Donateur],A97))</f>
        <v>0</v>
      </c>
      <c r="AR97" s="107" t="n">
        <f aca="false">IF(A97="",0,COUNTIF(tbl_Donateurs_Documents[ID Donateur],A97))</f>
        <v>0</v>
      </c>
      <c r="AS97" s="107" t="n">
        <f aca="false">IF(A97="",0,COUNTIF(tbl_Donateurs_Conventions[ID Donateur],A97))</f>
        <v>0</v>
      </c>
      <c r="AT97" s="115" t="n">
        <f aca="false">IFERROR(_xlfn.MAXIFS(tbl_Donateurs_Decaissements[Date recue],tbl_Donateurs_Decaissements[ID Donateur],A97),"")</f>
        <v>0</v>
      </c>
      <c r="AU97" s="108" t="str">
        <f aca="false">IFERROR(AN97/AL97,"")</f>
        <v/>
      </c>
      <c r="AV97" s="107" t="str">
        <f aca="true">IF(A97="","",IF(OR(AB97="A relancer",AND(AF97&lt;&gt;"",AF97&lt;=TODAY())),"OUI","NON"))</f>
        <v/>
      </c>
      <c r="AW97" s="107" t="str">
        <f aca="false">IF(B97="","",IF(OR(COUNTIF($B$56:$B$205,B97)&gt;1,AND(D97&lt;&gt;"",COUNTIF($D$56:$D$205,D97)&gt;1),AND(K97&lt;&gt;"",COUNTIF($K$56:$K$205,K97)&gt;1),AND(L97&lt;&gt;"",COUNTIF($L$56:$L$205,L97)&gt;1)),"OUI","NON"))</f>
        <v/>
      </c>
      <c r="AX97" s="113"/>
    </row>
    <row r="98" customFormat="false" ht="15" hidden="false" customHeight="true" outlineLevel="0" collapsed="false">
      <c r="A98" s="107" t="str">
        <f aca="false">IF(B98="","","DON"&amp;TEXT(ROW()-55,"00000"))</f>
        <v/>
      </c>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07" t="str">
        <f aca="false">IFERROR(INDEX(PARAMETRES!$B$536:$B$586,MATCH(X98,PARAMETRES!$J$536:$J$586,0)),"")</f>
        <v/>
      </c>
      <c r="Z98" s="107" t="str">
        <f aca="false">IFERROR(INDEX(PARAMETRES!$D$536:$D$586,MATCH(X98,PARAMETRES!$J$536:$J$586,0)),"")</f>
        <v/>
      </c>
      <c r="AA98" s="107" t="str">
        <f aca="false">IFERROR(INDEX(PARAMETRES!$F$536:$F$586,MATCH(X98,PARAMETRES!$J$536:$J$586,0)),"")</f>
        <v/>
      </c>
      <c r="AB98" s="113"/>
      <c r="AC98" s="114"/>
      <c r="AD98" s="113"/>
      <c r="AE98" s="114"/>
      <c r="AF98" s="114"/>
      <c r="AG98" s="113"/>
      <c r="AH98" s="113"/>
      <c r="AI98" s="107" t="n">
        <f aca="false">IF(A98="",0,COUNTIF(tbl_Donateurs_Opportunites[ID Donateur],A98))</f>
        <v>0</v>
      </c>
      <c r="AJ98" s="107" t="n">
        <f aca="false">IF(A98="",0,COUNTIFS(tbl_Donateurs_Opportunites[ID Donateur],A98,tbl_Donateurs_Opportunites[Statut],"Ouverte"))</f>
        <v>0</v>
      </c>
      <c r="AK98" s="107" t="n">
        <f aca="false">IF(A98="",0,COUNTIF(tbl_Donateurs_Demandes[ID Donateur],A98))</f>
        <v>0</v>
      </c>
      <c r="AL98" s="107" t="n">
        <f aca="false">IF(A98="",0,COUNTIFS(tbl_Donateurs_Demandes[ID Donateur],A98,tbl_Donateurs_Demandes[Statut],"Approuvee")+COUNTIFS(tbl_Donateurs_Demandes[ID Donateur],A98,tbl_Donateurs_Demandes[Statut],"Financement recu"))</f>
        <v>0</v>
      </c>
      <c r="AM98" s="108" t="n">
        <f aca="false">IF(A98="",0,SUMIF(tbl_Donateurs_Demandes[ID Donateur],A98,tbl_Donateurs_Demandes[Montant demande]))</f>
        <v>0</v>
      </c>
      <c r="AN98" s="108" t="n">
        <f aca="false">IF(A98="",0,SUMIF(tbl_Donateurs_Demandes[ID Donateur],A98,tbl_Donateurs_Demandes[Montant accorde]))</f>
        <v>0</v>
      </c>
      <c r="AO98" s="108" t="n">
        <f aca="false">IF(A98="",0,SUMIF(tbl_Donateurs_Decaissements[ID Donateur],A98,tbl_Donateurs_Decaissements[Montant recu]))</f>
        <v>0</v>
      </c>
      <c r="AP98" s="109" t="str">
        <f aca="false">IFERROR(AL98/AK98,"")</f>
        <v/>
      </c>
      <c r="AQ98" s="107" t="n">
        <f aca="false">IF(A98="",0,COUNTIF(tbl_Donateurs_Contacts[ID Donateur],A98))</f>
        <v>0</v>
      </c>
      <c r="AR98" s="107" t="n">
        <f aca="false">IF(A98="",0,COUNTIF(tbl_Donateurs_Documents[ID Donateur],A98))</f>
        <v>0</v>
      </c>
      <c r="AS98" s="107" t="n">
        <f aca="false">IF(A98="",0,COUNTIF(tbl_Donateurs_Conventions[ID Donateur],A98))</f>
        <v>0</v>
      </c>
      <c r="AT98" s="115" t="n">
        <f aca="false">IFERROR(_xlfn.MAXIFS(tbl_Donateurs_Decaissements[Date recue],tbl_Donateurs_Decaissements[ID Donateur],A98),"")</f>
        <v>0</v>
      </c>
      <c r="AU98" s="108" t="str">
        <f aca="false">IFERROR(AN98/AL98,"")</f>
        <v/>
      </c>
      <c r="AV98" s="107" t="str">
        <f aca="true">IF(A98="","",IF(OR(AB98="A relancer",AND(AF98&lt;&gt;"",AF98&lt;=TODAY())),"OUI","NON"))</f>
        <v/>
      </c>
      <c r="AW98" s="107" t="str">
        <f aca="false">IF(B98="","",IF(OR(COUNTIF($B$56:$B$205,B98)&gt;1,AND(D98&lt;&gt;"",COUNTIF($D$56:$D$205,D98)&gt;1),AND(K98&lt;&gt;"",COUNTIF($K$56:$K$205,K98)&gt;1),AND(L98&lt;&gt;"",COUNTIF($L$56:$L$205,L98)&gt;1)),"OUI","NON"))</f>
        <v/>
      </c>
      <c r="AX98" s="113"/>
    </row>
    <row r="99" customFormat="false" ht="15" hidden="false" customHeight="true" outlineLevel="0" collapsed="false">
      <c r="A99" s="107" t="str">
        <f aca="false">IF(B99="","","DON"&amp;TEXT(ROW()-55,"00000"))</f>
        <v/>
      </c>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07" t="str">
        <f aca="false">IFERROR(INDEX(PARAMETRES!$B$536:$B$586,MATCH(X99,PARAMETRES!$J$536:$J$586,0)),"")</f>
        <v/>
      </c>
      <c r="Z99" s="107" t="str">
        <f aca="false">IFERROR(INDEX(PARAMETRES!$D$536:$D$586,MATCH(X99,PARAMETRES!$J$536:$J$586,0)),"")</f>
        <v/>
      </c>
      <c r="AA99" s="107" t="str">
        <f aca="false">IFERROR(INDEX(PARAMETRES!$F$536:$F$586,MATCH(X99,PARAMETRES!$J$536:$J$586,0)),"")</f>
        <v/>
      </c>
      <c r="AB99" s="113"/>
      <c r="AC99" s="114"/>
      <c r="AD99" s="113"/>
      <c r="AE99" s="114"/>
      <c r="AF99" s="114"/>
      <c r="AG99" s="113"/>
      <c r="AH99" s="113"/>
      <c r="AI99" s="107" t="n">
        <f aca="false">IF(A99="",0,COUNTIF(tbl_Donateurs_Opportunites[ID Donateur],A99))</f>
        <v>0</v>
      </c>
      <c r="AJ99" s="107" t="n">
        <f aca="false">IF(A99="",0,COUNTIFS(tbl_Donateurs_Opportunites[ID Donateur],A99,tbl_Donateurs_Opportunites[Statut],"Ouverte"))</f>
        <v>0</v>
      </c>
      <c r="AK99" s="107" t="n">
        <f aca="false">IF(A99="",0,COUNTIF(tbl_Donateurs_Demandes[ID Donateur],A99))</f>
        <v>0</v>
      </c>
      <c r="AL99" s="107" t="n">
        <f aca="false">IF(A99="",0,COUNTIFS(tbl_Donateurs_Demandes[ID Donateur],A99,tbl_Donateurs_Demandes[Statut],"Approuvee")+COUNTIFS(tbl_Donateurs_Demandes[ID Donateur],A99,tbl_Donateurs_Demandes[Statut],"Financement recu"))</f>
        <v>0</v>
      </c>
      <c r="AM99" s="108" t="n">
        <f aca="false">IF(A99="",0,SUMIF(tbl_Donateurs_Demandes[ID Donateur],A99,tbl_Donateurs_Demandes[Montant demande]))</f>
        <v>0</v>
      </c>
      <c r="AN99" s="108" t="n">
        <f aca="false">IF(A99="",0,SUMIF(tbl_Donateurs_Demandes[ID Donateur],A99,tbl_Donateurs_Demandes[Montant accorde]))</f>
        <v>0</v>
      </c>
      <c r="AO99" s="108" t="n">
        <f aca="false">IF(A99="",0,SUMIF(tbl_Donateurs_Decaissements[ID Donateur],A99,tbl_Donateurs_Decaissements[Montant recu]))</f>
        <v>0</v>
      </c>
      <c r="AP99" s="109" t="str">
        <f aca="false">IFERROR(AL99/AK99,"")</f>
        <v/>
      </c>
      <c r="AQ99" s="107" t="n">
        <f aca="false">IF(A99="",0,COUNTIF(tbl_Donateurs_Contacts[ID Donateur],A99))</f>
        <v>0</v>
      </c>
      <c r="AR99" s="107" t="n">
        <f aca="false">IF(A99="",0,COUNTIF(tbl_Donateurs_Documents[ID Donateur],A99))</f>
        <v>0</v>
      </c>
      <c r="AS99" s="107" t="n">
        <f aca="false">IF(A99="",0,COUNTIF(tbl_Donateurs_Conventions[ID Donateur],A99))</f>
        <v>0</v>
      </c>
      <c r="AT99" s="115" t="n">
        <f aca="false">IFERROR(_xlfn.MAXIFS(tbl_Donateurs_Decaissements[Date recue],tbl_Donateurs_Decaissements[ID Donateur],A99),"")</f>
        <v>0</v>
      </c>
      <c r="AU99" s="108" t="str">
        <f aca="false">IFERROR(AN99/AL99,"")</f>
        <v/>
      </c>
      <c r="AV99" s="107" t="str">
        <f aca="true">IF(A99="","",IF(OR(AB99="A relancer",AND(AF99&lt;&gt;"",AF99&lt;=TODAY())),"OUI","NON"))</f>
        <v/>
      </c>
      <c r="AW99" s="107" t="str">
        <f aca="false">IF(B99="","",IF(OR(COUNTIF($B$56:$B$205,B99)&gt;1,AND(D99&lt;&gt;"",COUNTIF($D$56:$D$205,D99)&gt;1),AND(K99&lt;&gt;"",COUNTIF($K$56:$K$205,K99)&gt;1),AND(L99&lt;&gt;"",COUNTIF($L$56:$L$205,L99)&gt;1)),"OUI","NON"))</f>
        <v/>
      </c>
      <c r="AX99" s="113"/>
    </row>
    <row r="100" customFormat="false" ht="15" hidden="false" customHeight="true" outlineLevel="0" collapsed="false">
      <c r="A100" s="107" t="str">
        <f aca="false">IF(B100="","","DON"&amp;TEXT(ROW()-55,"00000"))</f>
        <v/>
      </c>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07" t="str">
        <f aca="false">IFERROR(INDEX(PARAMETRES!$B$536:$B$586,MATCH(X100,PARAMETRES!$J$536:$J$586,0)),"")</f>
        <v/>
      </c>
      <c r="Z100" s="107" t="str">
        <f aca="false">IFERROR(INDEX(PARAMETRES!$D$536:$D$586,MATCH(X100,PARAMETRES!$J$536:$J$586,0)),"")</f>
        <v/>
      </c>
      <c r="AA100" s="107" t="str">
        <f aca="false">IFERROR(INDEX(PARAMETRES!$F$536:$F$586,MATCH(X100,PARAMETRES!$J$536:$J$586,0)),"")</f>
        <v/>
      </c>
      <c r="AB100" s="113"/>
      <c r="AC100" s="114"/>
      <c r="AD100" s="113"/>
      <c r="AE100" s="114"/>
      <c r="AF100" s="114"/>
      <c r="AG100" s="113"/>
      <c r="AH100" s="113"/>
      <c r="AI100" s="107" t="n">
        <f aca="false">IF(A100="",0,COUNTIF(tbl_Donateurs_Opportunites[ID Donateur],A100))</f>
        <v>0</v>
      </c>
      <c r="AJ100" s="107" t="n">
        <f aca="false">IF(A100="",0,COUNTIFS(tbl_Donateurs_Opportunites[ID Donateur],A100,tbl_Donateurs_Opportunites[Statut],"Ouverte"))</f>
        <v>0</v>
      </c>
      <c r="AK100" s="107" t="n">
        <f aca="false">IF(A100="",0,COUNTIF(tbl_Donateurs_Demandes[ID Donateur],A100))</f>
        <v>0</v>
      </c>
      <c r="AL100" s="107" t="n">
        <f aca="false">IF(A100="",0,COUNTIFS(tbl_Donateurs_Demandes[ID Donateur],A100,tbl_Donateurs_Demandes[Statut],"Approuvee")+COUNTIFS(tbl_Donateurs_Demandes[ID Donateur],A100,tbl_Donateurs_Demandes[Statut],"Financement recu"))</f>
        <v>0</v>
      </c>
      <c r="AM100" s="108" t="n">
        <f aca="false">IF(A100="",0,SUMIF(tbl_Donateurs_Demandes[ID Donateur],A100,tbl_Donateurs_Demandes[Montant demande]))</f>
        <v>0</v>
      </c>
      <c r="AN100" s="108" t="n">
        <f aca="false">IF(A100="",0,SUMIF(tbl_Donateurs_Demandes[ID Donateur],A100,tbl_Donateurs_Demandes[Montant accorde]))</f>
        <v>0</v>
      </c>
      <c r="AO100" s="108" t="n">
        <f aca="false">IF(A100="",0,SUMIF(tbl_Donateurs_Decaissements[ID Donateur],A100,tbl_Donateurs_Decaissements[Montant recu]))</f>
        <v>0</v>
      </c>
      <c r="AP100" s="109" t="str">
        <f aca="false">IFERROR(AL100/AK100,"")</f>
        <v/>
      </c>
      <c r="AQ100" s="107" t="n">
        <f aca="false">IF(A100="",0,COUNTIF(tbl_Donateurs_Contacts[ID Donateur],A100))</f>
        <v>0</v>
      </c>
      <c r="AR100" s="107" t="n">
        <f aca="false">IF(A100="",0,COUNTIF(tbl_Donateurs_Documents[ID Donateur],A100))</f>
        <v>0</v>
      </c>
      <c r="AS100" s="107" t="n">
        <f aca="false">IF(A100="",0,COUNTIF(tbl_Donateurs_Conventions[ID Donateur],A100))</f>
        <v>0</v>
      </c>
      <c r="AT100" s="115" t="n">
        <f aca="false">IFERROR(_xlfn.MAXIFS(tbl_Donateurs_Decaissements[Date recue],tbl_Donateurs_Decaissements[ID Donateur],A100),"")</f>
        <v>0</v>
      </c>
      <c r="AU100" s="108" t="str">
        <f aca="false">IFERROR(AN100/AL100,"")</f>
        <v/>
      </c>
      <c r="AV100" s="107" t="str">
        <f aca="true">IF(A100="","",IF(OR(AB100="A relancer",AND(AF100&lt;&gt;"",AF100&lt;=TODAY())),"OUI","NON"))</f>
        <v/>
      </c>
      <c r="AW100" s="107" t="str">
        <f aca="false">IF(B100="","",IF(OR(COUNTIF($B$56:$B$205,B100)&gt;1,AND(D100&lt;&gt;"",COUNTIF($D$56:$D$205,D100)&gt;1),AND(K100&lt;&gt;"",COUNTIF($K$56:$K$205,K100)&gt;1),AND(L100&lt;&gt;"",COUNTIF($L$56:$L$205,L100)&gt;1)),"OUI","NON"))</f>
        <v/>
      </c>
      <c r="AX100" s="113"/>
    </row>
    <row r="101" customFormat="false" ht="15" hidden="false" customHeight="true" outlineLevel="0" collapsed="false">
      <c r="A101" s="107" t="str">
        <f aca="false">IF(B101="","","DON"&amp;TEXT(ROW()-55,"00000"))</f>
        <v/>
      </c>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07" t="str">
        <f aca="false">IFERROR(INDEX(PARAMETRES!$B$536:$B$586,MATCH(X101,PARAMETRES!$J$536:$J$586,0)),"")</f>
        <v/>
      </c>
      <c r="Z101" s="107" t="str">
        <f aca="false">IFERROR(INDEX(PARAMETRES!$D$536:$D$586,MATCH(X101,PARAMETRES!$J$536:$J$586,0)),"")</f>
        <v/>
      </c>
      <c r="AA101" s="107" t="str">
        <f aca="false">IFERROR(INDEX(PARAMETRES!$F$536:$F$586,MATCH(X101,PARAMETRES!$J$536:$J$586,0)),"")</f>
        <v/>
      </c>
      <c r="AB101" s="113"/>
      <c r="AC101" s="114"/>
      <c r="AD101" s="113"/>
      <c r="AE101" s="114"/>
      <c r="AF101" s="114"/>
      <c r="AG101" s="113"/>
      <c r="AH101" s="113"/>
      <c r="AI101" s="107" t="n">
        <f aca="false">IF(A101="",0,COUNTIF(tbl_Donateurs_Opportunites[ID Donateur],A101))</f>
        <v>0</v>
      </c>
      <c r="AJ101" s="107" t="n">
        <f aca="false">IF(A101="",0,COUNTIFS(tbl_Donateurs_Opportunites[ID Donateur],A101,tbl_Donateurs_Opportunites[Statut],"Ouverte"))</f>
        <v>0</v>
      </c>
      <c r="AK101" s="107" t="n">
        <f aca="false">IF(A101="",0,COUNTIF(tbl_Donateurs_Demandes[ID Donateur],A101))</f>
        <v>0</v>
      </c>
      <c r="AL101" s="107" t="n">
        <f aca="false">IF(A101="",0,COUNTIFS(tbl_Donateurs_Demandes[ID Donateur],A101,tbl_Donateurs_Demandes[Statut],"Approuvee")+COUNTIFS(tbl_Donateurs_Demandes[ID Donateur],A101,tbl_Donateurs_Demandes[Statut],"Financement recu"))</f>
        <v>0</v>
      </c>
      <c r="AM101" s="108" t="n">
        <f aca="false">IF(A101="",0,SUMIF(tbl_Donateurs_Demandes[ID Donateur],A101,tbl_Donateurs_Demandes[Montant demande]))</f>
        <v>0</v>
      </c>
      <c r="AN101" s="108" t="n">
        <f aca="false">IF(A101="",0,SUMIF(tbl_Donateurs_Demandes[ID Donateur],A101,tbl_Donateurs_Demandes[Montant accorde]))</f>
        <v>0</v>
      </c>
      <c r="AO101" s="108" t="n">
        <f aca="false">IF(A101="",0,SUMIF(tbl_Donateurs_Decaissements[ID Donateur],A101,tbl_Donateurs_Decaissements[Montant recu]))</f>
        <v>0</v>
      </c>
      <c r="AP101" s="109" t="str">
        <f aca="false">IFERROR(AL101/AK101,"")</f>
        <v/>
      </c>
      <c r="AQ101" s="107" t="n">
        <f aca="false">IF(A101="",0,COUNTIF(tbl_Donateurs_Contacts[ID Donateur],A101))</f>
        <v>0</v>
      </c>
      <c r="AR101" s="107" t="n">
        <f aca="false">IF(A101="",0,COUNTIF(tbl_Donateurs_Documents[ID Donateur],A101))</f>
        <v>0</v>
      </c>
      <c r="AS101" s="107" t="n">
        <f aca="false">IF(A101="",0,COUNTIF(tbl_Donateurs_Conventions[ID Donateur],A101))</f>
        <v>0</v>
      </c>
      <c r="AT101" s="115" t="n">
        <f aca="false">IFERROR(_xlfn.MAXIFS(tbl_Donateurs_Decaissements[Date recue],tbl_Donateurs_Decaissements[ID Donateur],A101),"")</f>
        <v>0</v>
      </c>
      <c r="AU101" s="108" t="str">
        <f aca="false">IFERROR(AN101/AL101,"")</f>
        <v/>
      </c>
      <c r="AV101" s="107" t="str">
        <f aca="true">IF(A101="","",IF(OR(AB101="A relancer",AND(AF101&lt;&gt;"",AF101&lt;=TODAY())),"OUI","NON"))</f>
        <v/>
      </c>
      <c r="AW101" s="107" t="str">
        <f aca="false">IF(B101="","",IF(OR(COUNTIF($B$56:$B$205,B101)&gt;1,AND(D101&lt;&gt;"",COUNTIF($D$56:$D$205,D101)&gt;1),AND(K101&lt;&gt;"",COUNTIF($K$56:$K$205,K101)&gt;1),AND(L101&lt;&gt;"",COUNTIF($L$56:$L$205,L101)&gt;1)),"OUI","NON"))</f>
        <v/>
      </c>
      <c r="AX101" s="113"/>
    </row>
    <row r="102" customFormat="false" ht="15" hidden="false" customHeight="true" outlineLevel="0" collapsed="false">
      <c r="A102" s="107" t="str">
        <f aca="false">IF(B102="","","DON"&amp;TEXT(ROW()-55,"00000"))</f>
        <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07" t="str">
        <f aca="false">IFERROR(INDEX(PARAMETRES!$B$536:$B$586,MATCH(X102,PARAMETRES!$J$536:$J$586,0)),"")</f>
        <v/>
      </c>
      <c r="Z102" s="107" t="str">
        <f aca="false">IFERROR(INDEX(PARAMETRES!$D$536:$D$586,MATCH(X102,PARAMETRES!$J$536:$J$586,0)),"")</f>
        <v/>
      </c>
      <c r="AA102" s="107" t="str">
        <f aca="false">IFERROR(INDEX(PARAMETRES!$F$536:$F$586,MATCH(X102,PARAMETRES!$J$536:$J$586,0)),"")</f>
        <v/>
      </c>
      <c r="AB102" s="113"/>
      <c r="AC102" s="114"/>
      <c r="AD102" s="113"/>
      <c r="AE102" s="114"/>
      <c r="AF102" s="114"/>
      <c r="AG102" s="113"/>
      <c r="AH102" s="113"/>
      <c r="AI102" s="107" t="n">
        <f aca="false">IF(A102="",0,COUNTIF(tbl_Donateurs_Opportunites[ID Donateur],A102))</f>
        <v>0</v>
      </c>
      <c r="AJ102" s="107" t="n">
        <f aca="false">IF(A102="",0,COUNTIFS(tbl_Donateurs_Opportunites[ID Donateur],A102,tbl_Donateurs_Opportunites[Statut],"Ouverte"))</f>
        <v>0</v>
      </c>
      <c r="AK102" s="107" t="n">
        <f aca="false">IF(A102="",0,COUNTIF(tbl_Donateurs_Demandes[ID Donateur],A102))</f>
        <v>0</v>
      </c>
      <c r="AL102" s="107" t="n">
        <f aca="false">IF(A102="",0,COUNTIFS(tbl_Donateurs_Demandes[ID Donateur],A102,tbl_Donateurs_Demandes[Statut],"Approuvee")+COUNTIFS(tbl_Donateurs_Demandes[ID Donateur],A102,tbl_Donateurs_Demandes[Statut],"Financement recu"))</f>
        <v>0</v>
      </c>
      <c r="AM102" s="108" t="n">
        <f aca="false">IF(A102="",0,SUMIF(tbl_Donateurs_Demandes[ID Donateur],A102,tbl_Donateurs_Demandes[Montant demande]))</f>
        <v>0</v>
      </c>
      <c r="AN102" s="108" t="n">
        <f aca="false">IF(A102="",0,SUMIF(tbl_Donateurs_Demandes[ID Donateur],A102,tbl_Donateurs_Demandes[Montant accorde]))</f>
        <v>0</v>
      </c>
      <c r="AO102" s="108" t="n">
        <f aca="false">IF(A102="",0,SUMIF(tbl_Donateurs_Decaissements[ID Donateur],A102,tbl_Donateurs_Decaissements[Montant recu]))</f>
        <v>0</v>
      </c>
      <c r="AP102" s="109" t="str">
        <f aca="false">IFERROR(AL102/AK102,"")</f>
        <v/>
      </c>
      <c r="AQ102" s="107" t="n">
        <f aca="false">IF(A102="",0,COUNTIF(tbl_Donateurs_Contacts[ID Donateur],A102))</f>
        <v>0</v>
      </c>
      <c r="AR102" s="107" t="n">
        <f aca="false">IF(A102="",0,COUNTIF(tbl_Donateurs_Documents[ID Donateur],A102))</f>
        <v>0</v>
      </c>
      <c r="AS102" s="107" t="n">
        <f aca="false">IF(A102="",0,COUNTIF(tbl_Donateurs_Conventions[ID Donateur],A102))</f>
        <v>0</v>
      </c>
      <c r="AT102" s="115" t="n">
        <f aca="false">IFERROR(_xlfn.MAXIFS(tbl_Donateurs_Decaissements[Date recue],tbl_Donateurs_Decaissements[ID Donateur],A102),"")</f>
        <v>0</v>
      </c>
      <c r="AU102" s="108" t="str">
        <f aca="false">IFERROR(AN102/AL102,"")</f>
        <v/>
      </c>
      <c r="AV102" s="107" t="str">
        <f aca="true">IF(A102="","",IF(OR(AB102="A relancer",AND(AF102&lt;&gt;"",AF102&lt;=TODAY())),"OUI","NON"))</f>
        <v/>
      </c>
      <c r="AW102" s="107" t="str">
        <f aca="false">IF(B102="","",IF(OR(COUNTIF($B$56:$B$205,B102)&gt;1,AND(D102&lt;&gt;"",COUNTIF($D$56:$D$205,D102)&gt;1),AND(K102&lt;&gt;"",COUNTIF($K$56:$K$205,K102)&gt;1),AND(L102&lt;&gt;"",COUNTIF($L$56:$L$205,L102)&gt;1)),"OUI","NON"))</f>
        <v/>
      </c>
      <c r="AX102" s="113"/>
    </row>
    <row r="103" customFormat="false" ht="15" hidden="false" customHeight="true" outlineLevel="0" collapsed="false">
      <c r="A103" s="107" t="str">
        <f aca="false">IF(B103="","","DON"&amp;TEXT(ROW()-55,"00000"))</f>
        <v/>
      </c>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07" t="str">
        <f aca="false">IFERROR(INDEX(PARAMETRES!$B$536:$B$586,MATCH(X103,PARAMETRES!$J$536:$J$586,0)),"")</f>
        <v/>
      </c>
      <c r="Z103" s="107" t="str">
        <f aca="false">IFERROR(INDEX(PARAMETRES!$D$536:$D$586,MATCH(X103,PARAMETRES!$J$536:$J$586,0)),"")</f>
        <v/>
      </c>
      <c r="AA103" s="107" t="str">
        <f aca="false">IFERROR(INDEX(PARAMETRES!$F$536:$F$586,MATCH(X103,PARAMETRES!$J$536:$J$586,0)),"")</f>
        <v/>
      </c>
      <c r="AB103" s="113"/>
      <c r="AC103" s="114"/>
      <c r="AD103" s="113"/>
      <c r="AE103" s="114"/>
      <c r="AF103" s="114"/>
      <c r="AG103" s="113"/>
      <c r="AH103" s="113"/>
      <c r="AI103" s="107" t="n">
        <f aca="false">IF(A103="",0,COUNTIF(tbl_Donateurs_Opportunites[ID Donateur],A103))</f>
        <v>0</v>
      </c>
      <c r="AJ103" s="107" t="n">
        <f aca="false">IF(A103="",0,COUNTIFS(tbl_Donateurs_Opportunites[ID Donateur],A103,tbl_Donateurs_Opportunites[Statut],"Ouverte"))</f>
        <v>0</v>
      </c>
      <c r="AK103" s="107" t="n">
        <f aca="false">IF(A103="",0,COUNTIF(tbl_Donateurs_Demandes[ID Donateur],A103))</f>
        <v>0</v>
      </c>
      <c r="AL103" s="107" t="n">
        <f aca="false">IF(A103="",0,COUNTIFS(tbl_Donateurs_Demandes[ID Donateur],A103,tbl_Donateurs_Demandes[Statut],"Approuvee")+COUNTIFS(tbl_Donateurs_Demandes[ID Donateur],A103,tbl_Donateurs_Demandes[Statut],"Financement recu"))</f>
        <v>0</v>
      </c>
      <c r="AM103" s="108" t="n">
        <f aca="false">IF(A103="",0,SUMIF(tbl_Donateurs_Demandes[ID Donateur],A103,tbl_Donateurs_Demandes[Montant demande]))</f>
        <v>0</v>
      </c>
      <c r="AN103" s="108" t="n">
        <f aca="false">IF(A103="",0,SUMIF(tbl_Donateurs_Demandes[ID Donateur],A103,tbl_Donateurs_Demandes[Montant accorde]))</f>
        <v>0</v>
      </c>
      <c r="AO103" s="108" t="n">
        <f aca="false">IF(A103="",0,SUMIF(tbl_Donateurs_Decaissements[ID Donateur],A103,tbl_Donateurs_Decaissements[Montant recu]))</f>
        <v>0</v>
      </c>
      <c r="AP103" s="109" t="str">
        <f aca="false">IFERROR(AL103/AK103,"")</f>
        <v/>
      </c>
      <c r="AQ103" s="107" t="n">
        <f aca="false">IF(A103="",0,COUNTIF(tbl_Donateurs_Contacts[ID Donateur],A103))</f>
        <v>0</v>
      </c>
      <c r="AR103" s="107" t="n">
        <f aca="false">IF(A103="",0,COUNTIF(tbl_Donateurs_Documents[ID Donateur],A103))</f>
        <v>0</v>
      </c>
      <c r="AS103" s="107" t="n">
        <f aca="false">IF(A103="",0,COUNTIF(tbl_Donateurs_Conventions[ID Donateur],A103))</f>
        <v>0</v>
      </c>
      <c r="AT103" s="115" t="n">
        <f aca="false">IFERROR(_xlfn.MAXIFS(tbl_Donateurs_Decaissements[Date recue],tbl_Donateurs_Decaissements[ID Donateur],A103),"")</f>
        <v>0</v>
      </c>
      <c r="AU103" s="108" t="str">
        <f aca="false">IFERROR(AN103/AL103,"")</f>
        <v/>
      </c>
      <c r="AV103" s="107" t="str">
        <f aca="true">IF(A103="","",IF(OR(AB103="A relancer",AND(AF103&lt;&gt;"",AF103&lt;=TODAY())),"OUI","NON"))</f>
        <v/>
      </c>
      <c r="AW103" s="107" t="str">
        <f aca="false">IF(B103="","",IF(OR(COUNTIF($B$56:$B$205,B103)&gt;1,AND(D103&lt;&gt;"",COUNTIF($D$56:$D$205,D103)&gt;1),AND(K103&lt;&gt;"",COUNTIF($K$56:$K$205,K103)&gt;1),AND(L103&lt;&gt;"",COUNTIF($L$56:$L$205,L103)&gt;1)),"OUI","NON"))</f>
        <v/>
      </c>
      <c r="AX103" s="113"/>
    </row>
    <row r="104" customFormat="false" ht="15" hidden="false" customHeight="true" outlineLevel="0" collapsed="false">
      <c r="A104" s="107" t="str">
        <f aca="false">IF(B104="","","DON"&amp;TEXT(ROW()-55,"00000"))</f>
        <v/>
      </c>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07" t="str">
        <f aca="false">IFERROR(INDEX(PARAMETRES!$B$536:$B$586,MATCH(X104,PARAMETRES!$J$536:$J$586,0)),"")</f>
        <v/>
      </c>
      <c r="Z104" s="107" t="str">
        <f aca="false">IFERROR(INDEX(PARAMETRES!$D$536:$D$586,MATCH(X104,PARAMETRES!$J$536:$J$586,0)),"")</f>
        <v/>
      </c>
      <c r="AA104" s="107" t="str">
        <f aca="false">IFERROR(INDEX(PARAMETRES!$F$536:$F$586,MATCH(X104,PARAMETRES!$J$536:$J$586,0)),"")</f>
        <v/>
      </c>
      <c r="AB104" s="113"/>
      <c r="AC104" s="114"/>
      <c r="AD104" s="113"/>
      <c r="AE104" s="114"/>
      <c r="AF104" s="114"/>
      <c r="AG104" s="113"/>
      <c r="AH104" s="113"/>
      <c r="AI104" s="107" t="n">
        <f aca="false">IF(A104="",0,COUNTIF(tbl_Donateurs_Opportunites[ID Donateur],A104))</f>
        <v>0</v>
      </c>
      <c r="AJ104" s="107" t="n">
        <f aca="false">IF(A104="",0,COUNTIFS(tbl_Donateurs_Opportunites[ID Donateur],A104,tbl_Donateurs_Opportunites[Statut],"Ouverte"))</f>
        <v>0</v>
      </c>
      <c r="AK104" s="107" t="n">
        <f aca="false">IF(A104="",0,COUNTIF(tbl_Donateurs_Demandes[ID Donateur],A104))</f>
        <v>0</v>
      </c>
      <c r="AL104" s="107" t="n">
        <f aca="false">IF(A104="",0,COUNTIFS(tbl_Donateurs_Demandes[ID Donateur],A104,tbl_Donateurs_Demandes[Statut],"Approuvee")+COUNTIFS(tbl_Donateurs_Demandes[ID Donateur],A104,tbl_Donateurs_Demandes[Statut],"Financement recu"))</f>
        <v>0</v>
      </c>
      <c r="AM104" s="108" t="n">
        <f aca="false">IF(A104="",0,SUMIF(tbl_Donateurs_Demandes[ID Donateur],A104,tbl_Donateurs_Demandes[Montant demande]))</f>
        <v>0</v>
      </c>
      <c r="AN104" s="108" t="n">
        <f aca="false">IF(A104="",0,SUMIF(tbl_Donateurs_Demandes[ID Donateur],A104,tbl_Donateurs_Demandes[Montant accorde]))</f>
        <v>0</v>
      </c>
      <c r="AO104" s="108" t="n">
        <f aca="false">IF(A104="",0,SUMIF(tbl_Donateurs_Decaissements[ID Donateur],A104,tbl_Donateurs_Decaissements[Montant recu]))</f>
        <v>0</v>
      </c>
      <c r="AP104" s="109" t="str">
        <f aca="false">IFERROR(AL104/AK104,"")</f>
        <v/>
      </c>
      <c r="AQ104" s="107" t="n">
        <f aca="false">IF(A104="",0,COUNTIF(tbl_Donateurs_Contacts[ID Donateur],A104))</f>
        <v>0</v>
      </c>
      <c r="AR104" s="107" t="n">
        <f aca="false">IF(A104="",0,COUNTIF(tbl_Donateurs_Documents[ID Donateur],A104))</f>
        <v>0</v>
      </c>
      <c r="AS104" s="107" t="n">
        <f aca="false">IF(A104="",0,COUNTIF(tbl_Donateurs_Conventions[ID Donateur],A104))</f>
        <v>0</v>
      </c>
      <c r="AT104" s="115" t="n">
        <f aca="false">IFERROR(_xlfn.MAXIFS(tbl_Donateurs_Decaissements[Date recue],tbl_Donateurs_Decaissements[ID Donateur],A104),"")</f>
        <v>0</v>
      </c>
      <c r="AU104" s="108" t="str">
        <f aca="false">IFERROR(AN104/AL104,"")</f>
        <v/>
      </c>
      <c r="AV104" s="107" t="str">
        <f aca="true">IF(A104="","",IF(OR(AB104="A relancer",AND(AF104&lt;&gt;"",AF104&lt;=TODAY())),"OUI","NON"))</f>
        <v/>
      </c>
      <c r="AW104" s="107" t="str">
        <f aca="false">IF(B104="","",IF(OR(COUNTIF($B$56:$B$205,B104)&gt;1,AND(D104&lt;&gt;"",COUNTIF($D$56:$D$205,D104)&gt;1),AND(K104&lt;&gt;"",COUNTIF($K$56:$K$205,K104)&gt;1),AND(L104&lt;&gt;"",COUNTIF($L$56:$L$205,L104)&gt;1)),"OUI","NON"))</f>
        <v/>
      </c>
      <c r="AX104" s="113"/>
    </row>
    <row r="105" customFormat="false" ht="15" hidden="false" customHeight="true" outlineLevel="0" collapsed="false">
      <c r="A105" s="107" t="str">
        <f aca="false">IF(B105="","","DON"&amp;TEXT(ROW()-55,"00000"))</f>
        <v/>
      </c>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07" t="str">
        <f aca="false">IFERROR(INDEX(PARAMETRES!$B$536:$B$586,MATCH(X105,PARAMETRES!$J$536:$J$586,0)),"")</f>
        <v/>
      </c>
      <c r="Z105" s="107" t="str">
        <f aca="false">IFERROR(INDEX(PARAMETRES!$D$536:$D$586,MATCH(X105,PARAMETRES!$J$536:$J$586,0)),"")</f>
        <v/>
      </c>
      <c r="AA105" s="107" t="str">
        <f aca="false">IFERROR(INDEX(PARAMETRES!$F$536:$F$586,MATCH(X105,PARAMETRES!$J$536:$J$586,0)),"")</f>
        <v/>
      </c>
      <c r="AB105" s="113"/>
      <c r="AC105" s="114"/>
      <c r="AD105" s="113"/>
      <c r="AE105" s="114"/>
      <c r="AF105" s="114"/>
      <c r="AG105" s="113"/>
      <c r="AH105" s="113"/>
      <c r="AI105" s="107" t="n">
        <f aca="false">IF(A105="",0,COUNTIF(tbl_Donateurs_Opportunites[ID Donateur],A105))</f>
        <v>0</v>
      </c>
      <c r="AJ105" s="107" t="n">
        <f aca="false">IF(A105="",0,COUNTIFS(tbl_Donateurs_Opportunites[ID Donateur],A105,tbl_Donateurs_Opportunites[Statut],"Ouverte"))</f>
        <v>0</v>
      </c>
      <c r="AK105" s="107" t="n">
        <f aca="false">IF(A105="",0,COUNTIF(tbl_Donateurs_Demandes[ID Donateur],A105))</f>
        <v>0</v>
      </c>
      <c r="AL105" s="107" t="n">
        <f aca="false">IF(A105="",0,COUNTIFS(tbl_Donateurs_Demandes[ID Donateur],A105,tbl_Donateurs_Demandes[Statut],"Approuvee")+COUNTIFS(tbl_Donateurs_Demandes[ID Donateur],A105,tbl_Donateurs_Demandes[Statut],"Financement recu"))</f>
        <v>0</v>
      </c>
      <c r="AM105" s="108" t="n">
        <f aca="false">IF(A105="",0,SUMIF(tbl_Donateurs_Demandes[ID Donateur],A105,tbl_Donateurs_Demandes[Montant demande]))</f>
        <v>0</v>
      </c>
      <c r="AN105" s="108" t="n">
        <f aca="false">IF(A105="",0,SUMIF(tbl_Donateurs_Demandes[ID Donateur],A105,tbl_Donateurs_Demandes[Montant accorde]))</f>
        <v>0</v>
      </c>
      <c r="AO105" s="108" t="n">
        <f aca="false">IF(A105="",0,SUMIF(tbl_Donateurs_Decaissements[ID Donateur],A105,tbl_Donateurs_Decaissements[Montant recu]))</f>
        <v>0</v>
      </c>
      <c r="AP105" s="109" t="str">
        <f aca="false">IFERROR(AL105/AK105,"")</f>
        <v/>
      </c>
      <c r="AQ105" s="107" t="n">
        <f aca="false">IF(A105="",0,COUNTIF(tbl_Donateurs_Contacts[ID Donateur],A105))</f>
        <v>0</v>
      </c>
      <c r="AR105" s="107" t="n">
        <f aca="false">IF(A105="",0,COUNTIF(tbl_Donateurs_Documents[ID Donateur],A105))</f>
        <v>0</v>
      </c>
      <c r="AS105" s="107" t="n">
        <f aca="false">IF(A105="",0,COUNTIF(tbl_Donateurs_Conventions[ID Donateur],A105))</f>
        <v>0</v>
      </c>
      <c r="AT105" s="115" t="n">
        <f aca="false">IFERROR(_xlfn.MAXIFS(tbl_Donateurs_Decaissements[Date recue],tbl_Donateurs_Decaissements[ID Donateur],A105),"")</f>
        <v>0</v>
      </c>
      <c r="AU105" s="108" t="str">
        <f aca="false">IFERROR(AN105/AL105,"")</f>
        <v/>
      </c>
      <c r="AV105" s="107" t="str">
        <f aca="true">IF(A105="","",IF(OR(AB105="A relancer",AND(AF105&lt;&gt;"",AF105&lt;=TODAY())),"OUI","NON"))</f>
        <v/>
      </c>
      <c r="AW105" s="107" t="str">
        <f aca="false">IF(B105="","",IF(OR(COUNTIF($B$56:$B$205,B105)&gt;1,AND(D105&lt;&gt;"",COUNTIF($D$56:$D$205,D105)&gt;1),AND(K105&lt;&gt;"",COUNTIF($K$56:$K$205,K105)&gt;1),AND(L105&lt;&gt;"",COUNTIF($L$56:$L$205,L105)&gt;1)),"OUI","NON"))</f>
        <v/>
      </c>
      <c r="AX105" s="113"/>
    </row>
    <row r="106" customFormat="false" ht="15" hidden="false" customHeight="true" outlineLevel="0" collapsed="false">
      <c r="A106" s="107" t="str">
        <f aca="false">IF(B106="","","DON"&amp;TEXT(ROW()-55,"00000"))</f>
        <v/>
      </c>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07" t="str">
        <f aca="false">IFERROR(INDEX(PARAMETRES!$B$536:$B$586,MATCH(X106,PARAMETRES!$J$536:$J$586,0)),"")</f>
        <v/>
      </c>
      <c r="Z106" s="107" t="str">
        <f aca="false">IFERROR(INDEX(PARAMETRES!$D$536:$D$586,MATCH(X106,PARAMETRES!$J$536:$J$586,0)),"")</f>
        <v/>
      </c>
      <c r="AA106" s="107" t="str">
        <f aca="false">IFERROR(INDEX(PARAMETRES!$F$536:$F$586,MATCH(X106,PARAMETRES!$J$536:$J$586,0)),"")</f>
        <v/>
      </c>
      <c r="AB106" s="113"/>
      <c r="AC106" s="114"/>
      <c r="AD106" s="113"/>
      <c r="AE106" s="114"/>
      <c r="AF106" s="114"/>
      <c r="AG106" s="113"/>
      <c r="AH106" s="113"/>
      <c r="AI106" s="107" t="n">
        <f aca="false">IF(A106="",0,COUNTIF(tbl_Donateurs_Opportunites[ID Donateur],A106))</f>
        <v>0</v>
      </c>
      <c r="AJ106" s="107" t="n">
        <f aca="false">IF(A106="",0,COUNTIFS(tbl_Donateurs_Opportunites[ID Donateur],A106,tbl_Donateurs_Opportunites[Statut],"Ouverte"))</f>
        <v>0</v>
      </c>
      <c r="AK106" s="107" t="n">
        <f aca="false">IF(A106="",0,COUNTIF(tbl_Donateurs_Demandes[ID Donateur],A106))</f>
        <v>0</v>
      </c>
      <c r="AL106" s="107" t="n">
        <f aca="false">IF(A106="",0,COUNTIFS(tbl_Donateurs_Demandes[ID Donateur],A106,tbl_Donateurs_Demandes[Statut],"Approuvee")+COUNTIFS(tbl_Donateurs_Demandes[ID Donateur],A106,tbl_Donateurs_Demandes[Statut],"Financement recu"))</f>
        <v>0</v>
      </c>
      <c r="AM106" s="108" t="n">
        <f aca="false">IF(A106="",0,SUMIF(tbl_Donateurs_Demandes[ID Donateur],A106,tbl_Donateurs_Demandes[Montant demande]))</f>
        <v>0</v>
      </c>
      <c r="AN106" s="108" t="n">
        <f aca="false">IF(A106="",0,SUMIF(tbl_Donateurs_Demandes[ID Donateur],A106,tbl_Donateurs_Demandes[Montant accorde]))</f>
        <v>0</v>
      </c>
      <c r="AO106" s="108" t="n">
        <f aca="false">IF(A106="",0,SUMIF(tbl_Donateurs_Decaissements[ID Donateur],A106,tbl_Donateurs_Decaissements[Montant recu]))</f>
        <v>0</v>
      </c>
      <c r="AP106" s="109" t="str">
        <f aca="false">IFERROR(AL106/AK106,"")</f>
        <v/>
      </c>
      <c r="AQ106" s="107" t="n">
        <f aca="false">IF(A106="",0,COUNTIF(tbl_Donateurs_Contacts[ID Donateur],A106))</f>
        <v>0</v>
      </c>
      <c r="AR106" s="107" t="n">
        <f aca="false">IF(A106="",0,COUNTIF(tbl_Donateurs_Documents[ID Donateur],A106))</f>
        <v>0</v>
      </c>
      <c r="AS106" s="107" t="n">
        <f aca="false">IF(A106="",0,COUNTIF(tbl_Donateurs_Conventions[ID Donateur],A106))</f>
        <v>0</v>
      </c>
      <c r="AT106" s="115" t="n">
        <f aca="false">IFERROR(_xlfn.MAXIFS(tbl_Donateurs_Decaissements[Date recue],tbl_Donateurs_Decaissements[ID Donateur],A106),"")</f>
        <v>0</v>
      </c>
      <c r="AU106" s="108" t="str">
        <f aca="false">IFERROR(AN106/AL106,"")</f>
        <v/>
      </c>
      <c r="AV106" s="107" t="str">
        <f aca="true">IF(A106="","",IF(OR(AB106="A relancer",AND(AF106&lt;&gt;"",AF106&lt;=TODAY())),"OUI","NON"))</f>
        <v/>
      </c>
      <c r="AW106" s="107" t="str">
        <f aca="false">IF(B106="","",IF(OR(COUNTIF($B$56:$B$205,B106)&gt;1,AND(D106&lt;&gt;"",COUNTIF($D$56:$D$205,D106)&gt;1),AND(K106&lt;&gt;"",COUNTIF($K$56:$K$205,K106)&gt;1),AND(L106&lt;&gt;"",COUNTIF($L$56:$L$205,L106)&gt;1)),"OUI","NON"))</f>
        <v/>
      </c>
      <c r="AX106" s="113"/>
    </row>
    <row r="107" customFormat="false" ht="15" hidden="false" customHeight="true" outlineLevel="0" collapsed="false">
      <c r="A107" s="107" t="str">
        <f aca="false">IF(B107="","","DON"&amp;TEXT(ROW()-55,"00000"))</f>
        <v/>
      </c>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07" t="str">
        <f aca="false">IFERROR(INDEX(PARAMETRES!$B$536:$B$586,MATCH(X107,PARAMETRES!$J$536:$J$586,0)),"")</f>
        <v/>
      </c>
      <c r="Z107" s="107" t="str">
        <f aca="false">IFERROR(INDEX(PARAMETRES!$D$536:$D$586,MATCH(X107,PARAMETRES!$J$536:$J$586,0)),"")</f>
        <v/>
      </c>
      <c r="AA107" s="107" t="str">
        <f aca="false">IFERROR(INDEX(PARAMETRES!$F$536:$F$586,MATCH(X107,PARAMETRES!$J$536:$J$586,0)),"")</f>
        <v/>
      </c>
      <c r="AB107" s="113"/>
      <c r="AC107" s="114"/>
      <c r="AD107" s="113"/>
      <c r="AE107" s="114"/>
      <c r="AF107" s="114"/>
      <c r="AG107" s="113"/>
      <c r="AH107" s="113"/>
      <c r="AI107" s="107" t="n">
        <f aca="false">IF(A107="",0,COUNTIF(tbl_Donateurs_Opportunites[ID Donateur],A107))</f>
        <v>0</v>
      </c>
      <c r="AJ107" s="107" t="n">
        <f aca="false">IF(A107="",0,COUNTIFS(tbl_Donateurs_Opportunites[ID Donateur],A107,tbl_Donateurs_Opportunites[Statut],"Ouverte"))</f>
        <v>0</v>
      </c>
      <c r="AK107" s="107" t="n">
        <f aca="false">IF(A107="",0,COUNTIF(tbl_Donateurs_Demandes[ID Donateur],A107))</f>
        <v>0</v>
      </c>
      <c r="AL107" s="107" t="n">
        <f aca="false">IF(A107="",0,COUNTIFS(tbl_Donateurs_Demandes[ID Donateur],A107,tbl_Donateurs_Demandes[Statut],"Approuvee")+COUNTIFS(tbl_Donateurs_Demandes[ID Donateur],A107,tbl_Donateurs_Demandes[Statut],"Financement recu"))</f>
        <v>0</v>
      </c>
      <c r="AM107" s="108" t="n">
        <f aca="false">IF(A107="",0,SUMIF(tbl_Donateurs_Demandes[ID Donateur],A107,tbl_Donateurs_Demandes[Montant demande]))</f>
        <v>0</v>
      </c>
      <c r="AN107" s="108" t="n">
        <f aca="false">IF(A107="",0,SUMIF(tbl_Donateurs_Demandes[ID Donateur],A107,tbl_Donateurs_Demandes[Montant accorde]))</f>
        <v>0</v>
      </c>
      <c r="AO107" s="108" t="n">
        <f aca="false">IF(A107="",0,SUMIF(tbl_Donateurs_Decaissements[ID Donateur],A107,tbl_Donateurs_Decaissements[Montant recu]))</f>
        <v>0</v>
      </c>
      <c r="AP107" s="109" t="str">
        <f aca="false">IFERROR(AL107/AK107,"")</f>
        <v/>
      </c>
      <c r="AQ107" s="107" t="n">
        <f aca="false">IF(A107="",0,COUNTIF(tbl_Donateurs_Contacts[ID Donateur],A107))</f>
        <v>0</v>
      </c>
      <c r="AR107" s="107" t="n">
        <f aca="false">IF(A107="",0,COUNTIF(tbl_Donateurs_Documents[ID Donateur],A107))</f>
        <v>0</v>
      </c>
      <c r="AS107" s="107" t="n">
        <f aca="false">IF(A107="",0,COUNTIF(tbl_Donateurs_Conventions[ID Donateur],A107))</f>
        <v>0</v>
      </c>
      <c r="AT107" s="115" t="n">
        <f aca="false">IFERROR(_xlfn.MAXIFS(tbl_Donateurs_Decaissements[Date recue],tbl_Donateurs_Decaissements[ID Donateur],A107),"")</f>
        <v>0</v>
      </c>
      <c r="AU107" s="108" t="str">
        <f aca="false">IFERROR(AN107/AL107,"")</f>
        <v/>
      </c>
      <c r="AV107" s="107" t="str">
        <f aca="true">IF(A107="","",IF(OR(AB107="A relancer",AND(AF107&lt;&gt;"",AF107&lt;=TODAY())),"OUI","NON"))</f>
        <v/>
      </c>
      <c r="AW107" s="107" t="str">
        <f aca="false">IF(B107="","",IF(OR(COUNTIF($B$56:$B$205,B107)&gt;1,AND(D107&lt;&gt;"",COUNTIF($D$56:$D$205,D107)&gt;1),AND(K107&lt;&gt;"",COUNTIF($K$56:$K$205,K107)&gt;1),AND(L107&lt;&gt;"",COUNTIF($L$56:$L$205,L107)&gt;1)),"OUI","NON"))</f>
        <v/>
      </c>
      <c r="AX107" s="113"/>
    </row>
    <row r="108" customFormat="false" ht="15" hidden="false" customHeight="true" outlineLevel="0" collapsed="false">
      <c r="A108" s="107" t="str">
        <f aca="false">IF(B108="","","DON"&amp;TEXT(ROW()-55,"00000"))</f>
        <v/>
      </c>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07" t="str">
        <f aca="false">IFERROR(INDEX(PARAMETRES!$B$536:$B$586,MATCH(X108,PARAMETRES!$J$536:$J$586,0)),"")</f>
        <v/>
      </c>
      <c r="Z108" s="107" t="str">
        <f aca="false">IFERROR(INDEX(PARAMETRES!$D$536:$D$586,MATCH(X108,PARAMETRES!$J$536:$J$586,0)),"")</f>
        <v/>
      </c>
      <c r="AA108" s="107" t="str">
        <f aca="false">IFERROR(INDEX(PARAMETRES!$F$536:$F$586,MATCH(X108,PARAMETRES!$J$536:$J$586,0)),"")</f>
        <v/>
      </c>
      <c r="AB108" s="113"/>
      <c r="AC108" s="114"/>
      <c r="AD108" s="113"/>
      <c r="AE108" s="114"/>
      <c r="AF108" s="114"/>
      <c r="AG108" s="113"/>
      <c r="AH108" s="113"/>
      <c r="AI108" s="107" t="n">
        <f aca="false">IF(A108="",0,COUNTIF(tbl_Donateurs_Opportunites[ID Donateur],A108))</f>
        <v>0</v>
      </c>
      <c r="AJ108" s="107" t="n">
        <f aca="false">IF(A108="",0,COUNTIFS(tbl_Donateurs_Opportunites[ID Donateur],A108,tbl_Donateurs_Opportunites[Statut],"Ouverte"))</f>
        <v>0</v>
      </c>
      <c r="AK108" s="107" t="n">
        <f aca="false">IF(A108="",0,COUNTIF(tbl_Donateurs_Demandes[ID Donateur],A108))</f>
        <v>0</v>
      </c>
      <c r="AL108" s="107" t="n">
        <f aca="false">IF(A108="",0,COUNTIFS(tbl_Donateurs_Demandes[ID Donateur],A108,tbl_Donateurs_Demandes[Statut],"Approuvee")+COUNTIFS(tbl_Donateurs_Demandes[ID Donateur],A108,tbl_Donateurs_Demandes[Statut],"Financement recu"))</f>
        <v>0</v>
      </c>
      <c r="AM108" s="108" t="n">
        <f aca="false">IF(A108="",0,SUMIF(tbl_Donateurs_Demandes[ID Donateur],A108,tbl_Donateurs_Demandes[Montant demande]))</f>
        <v>0</v>
      </c>
      <c r="AN108" s="108" t="n">
        <f aca="false">IF(A108="",0,SUMIF(tbl_Donateurs_Demandes[ID Donateur],A108,tbl_Donateurs_Demandes[Montant accorde]))</f>
        <v>0</v>
      </c>
      <c r="AO108" s="108" t="n">
        <f aca="false">IF(A108="",0,SUMIF(tbl_Donateurs_Decaissements[ID Donateur],A108,tbl_Donateurs_Decaissements[Montant recu]))</f>
        <v>0</v>
      </c>
      <c r="AP108" s="109" t="str">
        <f aca="false">IFERROR(AL108/AK108,"")</f>
        <v/>
      </c>
      <c r="AQ108" s="107" t="n">
        <f aca="false">IF(A108="",0,COUNTIF(tbl_Donateurs_Contacts[ID Donateur],A108))</f>
        <v>0</v>
      </c>
      <c r="AR108" s="107" t="n">
        <f aca="false">IF(A108="",0,COUNTIF(tbl_Donateurs_Documents[ID Donateur],A108))</f>
        <v>0</v>
      </c>
      <c r="AS108" s="107" t="n">
        <f aca="false">IF(A108="",0,COUNTIF(tbl_Donateurs_Conventions[ID Donateur],A108))</f>
        <v>0</v>
      </c>
      <c r="AT108" s="115" t="n">
        <f aca="false">IFERROR(_xlfn.MAXIFS(tbl_Donateurs_Decaissements[Date recue],tbl_Donateurs_Decaissements[ID Donateur],A108),"")</f>
        <v>0</v>
      </c>
      <c r="AU108" s="108" t="str">
        <f aca="false">IFERROR(AN108/AL108,"")</f>
        <v/>
      </c>
      <c r="AV108" s="107" t="str">
        <f aca="true">IF(A108="","",IF(OR(AB108="A relancer",AND(AF108&lt;&gt;"",AF108&lt;=TODAY())),"OUI","NON"))</f>
        <v/>
      </c>
      <c r="AW108" s="107" t="str">
        <f aca="false">IF(B108="","",IF(OR(COUNTIF($B$56:$B$205,B108)&gt;1,AND(D108&lt;&gt;"",COUNTIF($D$56:$D$205,D108)&gt;1),AND(K108&lt;&gt;"",COUNTIF($K$56:$K$205,K108)&gt;1),AND(L108&lt;&gt;"",COUNTIF($L$56:$L$205,L108)&gt;1)),"OUI","NON"))</f>
        <v/>
      </c>
      <c r="AX108" s="113"/>
    </row>
    <row r="109" customFormat="false" ht="15" hidden="false" customHeight="true" outlineLevel="0" collapsed="false">
      <c r="A109" s="107" t="str">
        <f aca="false">IF(B109="","","DON"&amp;TEXT(ROW()-55,"00000"))</f>
        <v/>
      </c>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07" t="str">
        <f aca="false">IFERROR(INDEX(PARAMETRES!$B$536:$B$586,MATCH(X109,PARAMETRES!$J$536:$J$586,0)),"")</f>
        <v/>
      </c>
      <c r="Z109" s="107" t="str">
        <f aca="false">IFERROR(INDEX(PARAMETRES!$D$536:$D$586,MATCH(X109,PARAMETRES!$J$536:$J$586,0)),"")</f>
        <v/>
      </c>
      <c r="AA109" s="107" t="str">
        <f aca="false">IFERROR(INDEX(PARAMETRES!$F$536:$F$586,MATCH(X109,PARAMETRES!$J$536:$J$586,0)),"")</f>
        <v/>
      </c>
      <c r="AB109" s="113"/>
      <c r="AC109" s="114"/>
      <c r="AD109" s="113"/>
      <c r="AE109" s="114"/>
      <c r="AF109" s="114"/>
      <c r="AG109" s="113"/>
      <c r="AH109" s="113"/>
      <c r="AI109" s="107" t="n">
        <f aca="false">IF(A109="",0,COUNTIF(tbl_Donateurs_Opportunites[ID Donateur],A109))</f>
        <v>0</v>
      </c>
      <c r="AJ109" s="107" t="n">
        <f aca="false">IF(A109="",0,COUNTIFS(tbl_Donateurs_Opportunites[ID Donateur],A109,tbl_Donateurs_Opportunites[Statut],"Ouverte"))</f>
        <v>0</v>
      </c>
      <c r="AK109" s="107" t="n">
        <f aca="false">IF(A109="",0,COUNTIF(tbl_Donateurs_Demandes[ID Donateur],A109))</f>
        <v>0</v>
      </c>
      <c r="AL109" s="107" t="n">
        <f aca="false">IF(A109="",0,COUNTIFS(tbl_Donateurs_Demandes[ID Donateur],A109,tbl_Donateurs_Demandes[Statut],"Approuvee")+COUNTIFS(tbl_Donateurs_Demandes[ID Donateur],A109,tbl_Donateurs_Demandes[Statut],"Financement recu"))</f>
        <v>0</v>
      </c>
      <c r="AM109" s="108" t="n">
        <f aca="false">IF(A109="",0,SUMIF(tbl_Donateurs_Demandes[ID Donateur],A109,tbl_Donateurs_Demandes[Montant demande]))</f>
        <v>0</v>
      </c>
      <c r="AN109" s="108" t="n">
        <f aca="false">IF(A109="",0,SUMIF(tbl_Donateurs_Demandes[ID Donateur],A109,tbl_Donateurs_Demandes[Montant accorde]))</f>
        <v>0</v>
      </c>
      <c r="AO109" s="108" t="n">
        <f aca="false">IF(A109="",0,SUMIF(tbl_Donateurs_Decaissements[ID Donateur],A109,tbl_Donateurs_Decaissements[Montant recu]))</f>
        <v>0</v>
      </c>
      <c r="AP109" s="109" t="str">
        <f aca="false">IFERROR(AL109/AK109,"")</f>
        <v/>
      </c>
      <c r="AQ109" s="107" t="n">
        <f aca="false">IF(A109="",0,COUNTIF(tbl_Donateurs_Contacts[ID Donateur],A109))</f>
        <v>0</v>
      </c>
      <c r="AR109" s="107" t="n">
        <f aca="false">IF(A109="",0,COUNTIF(tbl_Donateurs_Documents[ID Donateur],A109))</f>
        <v>0</v>
      </c>
      <c r="AS109" s="107" t="n">
        <f aca="false">IF(A109="",0,COUNTIF(tbl_Donateurs_Conventions[ID Donateur],A109))</f>
        <v>0</v>
      </c>
      <c r="AT109" s="115" t="n">
        <f aca="false">IFERROR(_xlfn.MAXIFS(tbl_Donateurs_Decaissements[Date recue],tbl_Donateurs_Decaissements[ID Donateur],A109),"")</f>
        <v>0</v>
      </c>
      <c r="AU109" s="108" t="str">
        <f aca="false">IFERROR(AN109/AL109,"")</f>
        <v/>
      </c>
      <c r="AV109" s="107" t="str">
        <f aca="true">IF(A109="","",IF(OR(AB109="A relancer",AND(AF109&lt;&gt;"",AF109&lt;=TODAY())),"OUI","NON"))</f>
        <v/>
      </c>
      <c r="AW109" s="107" t="str">
        <f aca="false">IF(B109="","",IF(OR(COUNTIF($B$56:$B$205,B109)&gt;1,AND(D109&lt;&gt;"",COUNTIF($D$56:$D$205,D109)&gt;1),AND(K109&lt;&gt;"",COUNTIF($K$56:$K$205,K109)&gt;1),AND(L109&lt;&gt;"",COUNTIF($L$56:$L$205,L109)&gt;1)),"OUI","NON"))</f>
        <v/>
      </c>
      <c r="AX109" s="113"/>
    </row>
    <row r="110" customFormat="false" ht="15" hidden="false" customHeight="true" outlineLevel="0" collapsed="false">
      <c r="A110" s="107" t="str">
        <f aca="false">IF(B110="","","DON"&amp;TEXT(ROW()-55,"00000"))</f>
        <v/>
      </c>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07" t="str">
        <f aca="false">IFERROR(INDEX(PARAMETRES!$B$536:$B$586,MATCH(X110,PARAMETRES!$J$536:$J$586,0)),"")</f>
        <v/>
      </c>
      <c r="Z110" s="107" t="str">
        <f aca="false">IFERROR(INDEX(PARAMETRES!$D$536:$D$586,MATCH(X110,PARAMETRES!$J$536:$J$586,0)),"")</f>
        <v/>
      </c>
      <c r="AA110" s="107" t="str">
        <f aca="false">IFERROR(INDEX(PARAMETRES!$F$536:$F$586,MATCH(X110,PARAMETRES!$J$536:$J$586,0)),"")</f>
        <v/>
      </c>
      <c r="AB110" s="113"/>
      <c r="AC110" s="114"/>
      <c r="AD110" s="113"/>
      <c r="AE110" s="114"/>
      <c r="AF110" s="114"/>
      <c r="AG110" s="113"/>
      <c r="AH110" s="113"/>
      <c r="AI110" s="107" t="n">
        <f aca="false">IF(A110="",0,COUNTIF(tbl_Donateurs_Opportunites[ID Donateur],A110))</f>
        <v>0</v>
      </c>
      <c r="AJ110" s="107" t="n">
        <f aca="false">IF(A110="",0,COUNTIFS(tbl_Donateurs_Opportunites[ID Donateur],A110,tbl_Donateurs_Opportunites[Statut],"Ouverte"))</f>
        <v>0</v>
      </c>
      <c r="AK110" s="107" t="n">
        <f aca="false">IF(A110="",0,COUNTIF(tbl_Donateurs_Demandes[ID Donateur],A110))</f>
        <v>0</v>
      </c>
      <c r="AL110" s="107" t="n">
        <f aca="false">IF(A110="",0,COUNTIFS(tbl_Donateurs_Demandes[ID Donateur],A110,tbl_Donateurs_Demandes[Statut],"Approuvee")+COUNTIFS(tbl_Donateurs_Demandes[ID Donateur],A110,tbl_Donateurs_Demandes[Statut],"Financement recu"))</f>
        <v>0</v>
      </c>
      <c r="AM110" s="108" t="n">
        <f aca="false">IF(A110="",0,SUMIF(tbl_Donateurs_Demandes[ID Donateur],A110,tbl_Donateurs_Demandes[Montant demande]))</f>
        <v>0</v>
      </c>
      <c r="AN110" s="108" t="n">
        <f aca="false">IF(A110="",0,SUMIF(tbl_Donateurs_Demandes[ID Donateur],A110,tbl_Donateurs_Demandes[Montant accorde]))</f>
        <v>0</v>
      </c>
      <c r="AO110" s="108" t="n">
        <f aca="false">IF(A110="",0,SUMIF(tbl_Donateurs_Decaissements[ID Donateur],A110,tbl_Donateurs_Decaissements[Montant recu]))</f>
        <v>0</v>
      </c>
      <c r="AP110" s="109" t="str">
        <f aca="false">IFERROR(AL110/AK110,"")</f>
        <v/>
      </c>
      <c r="AQ110" s="107" t="n">
        <f aca="false">IF(A110="",0,COUNTIF(tbl_Donateurs_Contacts[ID Donateur],A110))</f>
        <v>0</v>
      </c>
      <c r="AR110" s="107" t="n">
        <f aca="false">IF(A110="",0,COUNTIF(tbl_Donateurs_Documents[ID Donateur],A110))</f>
        <v>0</v>
      </c>
      <c r="AS110" s="107" t="n">
        <f aca="false">IF(A110="",0,COUNTIF(tbl_Donateurs_Conventions[ID Donateur],A110))</f>
        <v>0</v>
      </c>
      <c r="AT110" s="115" t="n">
        <f aca="false">IFERROR(_xlfn.MAXIFS(tbl_Donateurs_Decaissements[Date recue],tbl_Donateurs_Decaissements[ID Donateur],A110),"")</f>
        <v>0</v>
      </c>
      <c r="AU110" s="108" t="str">
        <f aca="false">IFERROR(AN110/AL110,"")</f>
        <v/>
      </c>
      <c r="AV110" s="107" t="str">
        <f aca="true">IF(A110="","",IF(OR(AB110="A relancer",AND(AF110&lt;&gt;"",AF110&lt;=TODAY())),"OUI","NON"))</f>
        <v/>
      </c>
      <c r="AW110" s="107" t="str">
        <f aca="false">IF(B110="","",IF(OR(COUNTIF($B$56:$B$205,B110)&gt;1,AND(D110&lt;&gt;"",COUNTIF($D$56:$D$205,D110)&gt;1),AND(K110&lt;&gt;"",COUNTIF($K$56:$K$205,K110)&gt;1),AND(L110&lt;&gt;"",COUNTIF($L$56:$L$205,L110)&gt;1)),"OUI","NON"))</f>
        <v/>
      </c>
      <c r="AX110" s="113"/>
    </row>
    <row r="111" customFormat="false" ht="15" hidden="false" customHeight="true" outlineLevel="0" collapsed="false">
      <c r="A111" s="107" t="str">
        <f aca="false">IF(B111="","","DON"&amp;TEXT(ROW()-55,"00000"))</f>
        <v/>
      </c>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07" t="str">
        <f aca="false">IFERROR(INDEX(PARAMETRES!$B$536:$B$586,MATCH(X111,PARAMETRES!$J$536:$J$586,0)),"")</f>
        <v/>
      </c>
      <c r="Z111" s="107" t="str">
        <f aca="false">IFERROR(INDEX(PARAMETRES!$D$536:$D$586,MATCH(X111,PARAMETRES!$J$536:$J$586,0)),"")</f>
        <v/>
      </c>
      <c r="AA111" s="107" t="str">
        <f aca="false">IFERROR(INDEX(PARAMETRES!$F$536:$F$586,MATCH(X111,PARAMETRES!$J$536:$J$586,0)),"")</f>
        <v/>
      </c>
      <c r="AB111" s="113"/>
      <c r="AC111" s="114"/>
      <c r="AD111" s="113"/>
      <c r="AE111" s="114"/>
      <c r="AF111" s="114"/>
      <c r="AG111" s="113"/>
      <c r="AH111" s="113"/>
      <c r="AI111" s="107" t="n">
        <f aca="false">IF(A111="",0,COUNTIF(tbl_Donateurs_Opportunites[ID Donateur],A111))</f>
        <v>0</v>
      </c>
      <c r="AJ111" s="107" t="n">
        <f aca="false">IF(A111="",0,COUNTIFS(tbl_Donateurs_Opportunites[ID Donateur],A111,tbl_Donateurs_Opportunites[Statut],"Ouverte"))</f>
        <v>0</v>
      </c>
      <c r="AK111" s="107" t="n">
        <f aca="false">IF(A111="",0,COUNTIF(tbl_Donateurs_Demandes[ID Donateur],A111))</f>
        <v>0</v>
      </c>
      <c r="AL111" s="107" t="n">
        <f aca="false">IF(A111="",0,COUNTIFS(tbl_Donateurs_Demandes[ID Donateur],A111,tbl_Donateurs_Demandes[Statut],"Approuvee")+COUNTIFS(tbl_Donateurs_Demandes[ID Donateur],A111,tbl_Donateurs_Demandes[Statut],"Financement recu"))</f>
        <v>0</v>
      </c>
      <c r="AM111" s="108" t="n">
        <f aca="false">IF(A111="",0,SUMIF(tbl_Donateurs_Demandes[ID Donateur],A111,tbl_Donateurs_Demandes[Montant demande]))</f>
        <v>0</v>
      </c>
      <c r="AN111" s="108" t="n">
        <f aca="false">IF(A111="",0,SUMIF(tbl_Donateurs_Demandes[ID Donateur],A111,tbl_Donateurs_Demandes[Montant accorde]))</f>
        <v>0</v>
      </c>
      <c r="AO111" s="108" t="n">
        <f aca="false">IF(A111="",0,SUMIF(tbl_Donateurs_Decaissements[ID Donateur],A111,tbl_Donateurs_Decaissements[Montant recu]))</f>
        <v>0</v>
      </c>
      <c r="AP111" s="109" t="str">
        <f aca="false">IFERROR(AL111/AK111,"")</f>
        <v/>
      </c>
      <c r="AQ111" s="107" t="n">
        <f aca="false">IF(A111="",0,COUNTIF(tbl_Donateurs_Contacts[ID Donateur],A111))</f>
        <v>0</v>
      </c>
      <c r="AR111" s="107" t="n">
        <f aca="false">IF(A111="",0,COUNTIF(tbl_Donateurs_Documents[ID Donateur],A111))</f>
        <v>0</v>
      </c>
      <c r="AS111" s="107" t="n">
        <f aca="false">IF(A111="",0,COUNTIF(tbl_Donateurs_Conventions[ID Donateur],A111))</f>
        <v>0</v>
      </c>
      <c r="AT111" s="115" t="n">
        <f aca="false">IFERROR(_xlfn.MAXIFS(tbl_Donateurs_Decaissements[Date recue],tbl_Donateurs_Decaissements[ID Donateur],A111),"")</f>
        <v>0</v>
      </c>
      <c r="AU111" s="108" t="str">
        <f aca="false">IFERROR(AN111/AL111,"")</f>
        <v/>
      </c>
      <c r="AV111" s="107" t="str">
        <f aca="true">IF(A111="","",IF(OR(AB111="A relancer",AND(AF111&lt;&gt;"",AF111&lt;=TODAY())),"OUI","NON"))</f>
        <v/>
      </c>
      <c r="AW111" s="107" t="str">
        <f aca="false">IF(B111="","",IF(OR(COUNTIF($B$56:$B$205,B111)&gt;1,AND(D111&lt;&gt;"",COUNTIF($D$56:$D$205,D111)&gt;1),AND(K111&lt;&gt;"",COUNTIF($K$56:$K$205,K111)&gt;1),AND(L111&lt;&gt;"",COUNTIF($L$56:$L$205,L111)&gt;1)),"OUI","NON"))</f>
        <v/>
      </c>
      <c r="AX111" s="113"/>
    </row>
    <row r="112" customFormat="false" ht="15" hidden="false" customHeight="true" outlineLevel="0" collapsed="false">
      <c r="A112" s="107" t="str">
        <f aca="false">IF(B112="","","DON"&amp;TEXT(ROW()-55,"00000"))</f>
        <v/>
      </c>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07" t="str">
        <f aca="false">IFERROR(INDEX(PARAMETRES!$B$536:$B$586,MATCH(X112,PARAMETRES!$J$536:$J$586,0)),"")</f>
        <v/>
      </c>
      <c r="Z112" s="107" t="str">
        <f aca="false">IFERROR(INDEX(PARAMETRES!$D$536:$D$586,MATCH(X112,PARAMETRES!$J$536:$J$586,0)),"")</f>
        <v/>
      </c>
      <c r="AA112" s="107" t="str">
        <f aca="false">IFERROR(INDEX(PARAMETRES!$F$536:$F$586,MATCH(X112,PARAMETRES!$J$536:$J$586,0)),"")</f>
        <v/>
      </c>
      <c r="AB112" s="113"/>
      <c r="AC112" s="114"/>
      <c r="AD112" s="113"/>
      <c r="AE112" s="114"/>
      <c r="AF112" s="114"/>
      <c r="AG112" s="113"/>
      <c r="AH112" s="113"/>
      <c r="AI112" s="107" t="n">
        <f aca="false">IF(A112="",0,COUNTIF(tbl_Donateurs_Opportunites[ID Donateur],A112))</f>
        <v>0</v>
      </c>
      <c r="AJ112" s="107" t="n">
        <f aca="false">IF(A112="",0,COUNTIFS(tbl_Donateurs_Opportunites[ID Donateur],A112,tbl_Donateurs_Opportunites[Statut],"Ouverte"))</f>
        <v>0</v>
      </c>
      <c r="AK112" s="107" t="n">
        <f aca="false">IF(A112="",0,COUNTIF(tbl_Donateurs_Demandes[ID Donateur],A112))</f>
        <v>0</v>
      </c>
      <c r="AL112" s="107" t="n">
        <f aca="false">IF(A112="",0,COUNTIFS(tbl_Donateurs_Demandes[ID Donateur],A112,tbl_Donateurs_Demandes[Statut],"Approuvee")+COUNTIFS(tbl_Donateurs_Demandes[ID Donateur],A112,tbl_Donateurs_Demandes[Statut],"Financement recu"))</f>
        <v>0</v>
      </c>
      <c r="AM112" s="108" t="n">
        <f aca="false">IF(A112="",0,SUMIF(tbl_Donateurs_Demandes[ID Donateur],A112,tbl_Donateurs_Demandes[Montant demande]))</f>
        <v>0</v>
      </c>
      <c r="AN112" s="108" t="n">
        <f aca="false">IF(A112="",0,SUMIF(tbl_Donateurs_Demandes[ID Donateur],A112,tbl_Donateurs_Demandes[Montant accorde]))</f>
        <v>0</v>
      </c>
      <c r="AO112" s="108" t="n">
        <f aca="false">IF(A112="",0,SUMIF(tbl_Donateurs_Decaissements[ID Donateur],A112,tbl_Donateurs_Decaissements[Montant recu]))</f>
        <v>0</v>
      </c>
      <c r="AP112" s="109" t="str">
        <f aca="false">IFERROR(AL112/AK112,"")</f>
        <v/>
      </c>
      <c r="AQ112" s="107" t="n">
        <f aca="false">IF(A112="",0,COUNTIF(tbl_Donateurs_Contacts[ID Donateur],A112))</f>
        <v>0</v>
      </c>
      <c r="AR112" s="107" t="n">
        <f aca="false">IF(A112="",0,COUNTIF(tbl_Donateurs_Documents[ID Donateur],A112))</f>
        <v>0</v>
      </c>
      <c r="AS112" s="107" t="n">
        <f aca="false">IF(A112="",0,COUNTIF(tbl_Donateurs_Conventions[ID Donateur],A112))</f>
        <v>0</v>
      </c>
      <c r="AT112" s="115" t="n">
        <f aca="false">IFERROR(_xlfn.MAXIFS(tbl_Donateurs_Decaissements[Date recue],tbl_Donateurs_Decaissements[ID Donateur],A112),"")</f>
        <v>0</v>
      </c>
      <c r="AU112" s="108" t="str">
        <f aca="false">IFERROR(AN112/AL112,"")</f>
        <v/>
      </c>
      <c r="AV112" s="107" t="str">
        <f aca="true">IF(A112="","",IF(OR(AB112="A relancer",AND(AF112&lt;&gt;"",AF112&lt;=TODAY())),"OUI","NON"))</f>
        <v/>
      </c>
      <c r="AW112" s="107" t="str">
        <f aca="false">IF(B112="","",IF(OR(COUNTIF($B$56:$B$205,B112)&gt;1,AND(D112&lt;&gt;"",COUNTIF($D$56:$D$205,D112)&gt;1),AND(K112&lt;&gt;"",COUNTIF($K$56:$K$205,K112)&gt;1),AND(L112&lt;&gt;"",COUNTIF($L$56:$L$205,L112)&gt;1)),"OUI","NON"))</f>
        <v/>
      </c>
      <c r="AX112" s="113"/>
    </row>
    <row r="113" customFormat="false" ht="15" hidden="false" customHeight="true" outlineLevel="0" collapsed="false">
      <c r="A113" s="107" t="str">
        <f aca="false">IF(B113="","","DON"&amp;TEXT(ROW()-55,"00000"))</f>
        <v/>
      </c>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07" t="str">
        <f aca="false">IFERROR(INDEX(PARAMETRES!$B$536:$B$586,MATCH(X113,PARAMETRES!$J$536:$J$586,0)),"")</f>
        <v/>
      </c>
      <c r="Z113" s="107" t="str">
        <f aca="false">IFERROR(INDEX(PARAMETRES!$D$536:$D$586,MATCH(X113,PARAMETRES!$J$536:$J$586,0)),"")</f>
        <v/>
      </c>
      <c r="AA113" s="107" t="str">
        <f aca="false">IFERROR(INDEX(PARAMETRES!$F$536:$F$586,MATCH(X113,PARAMETRES!$J$536:$J$586,0)),"")</f>
        <v/>
      </c>
      <c r="AB113" s="113"/>
      <c r="AC113" s="114"/>
      <c r="AD113" s="113"/>
      <c r="AE113" s="114"/>
      <c r="AF113" s="114"/>
      <c r="AG113" s="113"/>
      <c r="AH113" s="113"/>
      <c r="AI113" s="107" t="n">
        <f aca="false">IF(A113="",0,COUNTIF(tbl_Donateurs_Opportunites[ID Donateur],A113))</f>
        <v>0</v>
      </c>
      <c r="AJ113" s="107" t="n">
        <f aca="false">IF(A113="",0,COUNTIFS(tbl_Donateurs_Opportunites[ID Donateur],A113,tbl_Donateurs_Opportunites[Statut],"Ouverte"))</f>
        <v>0</v>
      </c>
      <c r="AK113" s="107" t="n">
        <f aca="false">IF(A113="",0,COUNTIF(tbl_Donateurs_Demandes[ID Donateur],A113))</f>
        <v>0</v>
      </c>
      <c r="AL113" s="107" t="n">
        <f aca="false">IF(A113="",0,COUNTIFS(tbl_Donateurs_Demandes[ID Donateur],A113,tbl_Donateurs_Demandes[Statut],"Approuvee")+COUNTIFS(tbl_Donateurs_Demandes[ID Donateur],A113,tbl_Donateurs_Demandes[Statut],"Financement recu"))</f>
        <v>0</v>
      </c>
      <c r="AM113" s="108" t="n">
        <f aca="false">IF(A113="",0,SUMIF(tbl_Donateurs_Demandes[ID Donateur],A113,tbl_Donateurs_Demandes[Montant demande]))</f>
        <v>0</v>
      </c>
      <c r="AN113" s="108" t="n">
        <f aca="false">IF(A113="",0,SUMIF(tbl_Donateurs_Demandes[ID Donateur],A113,tbl_Donateurs_Demandes[Montant accorde]))</f>
        <v>0</v>
      </c>
      <c r="AO113" s="108" t="n">
        <f aca="false">IF(A113="",0,SUMIF(tbl_Donateurs_Decaissements[ID Donateur],A113,tbl_Donateurs_Decaissements[Montant recu]))</f>
        <v>0</v>
      </c>
      <c r="AP113" s="109" t="str">
        <f aca="false">IFERROR(AL113/AK113,"")</f>
        <v/>
      </c>
      <c r="AQ113" s="107" t="n">
        <f aca="false">IF(A113="",0,COUNTIF(tbl_Donateurs_Contacts[ID Donateur],A113))</f>
        <v>0</v>
      </c>
      <c r="AR113" s="107" t="n">
        <f aca="false">IF(A113="",0,COUNTIF(tbl_Donateurs_Documents[ID Donateur],A113))</f>
        <v>0</v>
      </c>
      <c r="AS113" s="107" t="n">
        <f aca="false">IF(A113="",0,COUNTIF(tbl_Donateurs_Conventions[ID Donateur],A113))</f>
        <v>0</v>
      </c>
      <c r="AT113" s="115" t="n">
        <f aca="false">IFERROR(_xlfn.MAXIFS(tbl_Donateurs_Decaissements[Date recue],tbl_Donateurs_Decaissements[ID Donateur],A113),"")</f>
        <v>0</v>
      </c>
      <c r="AU113" s="108" t="str">
        <f aca="false">IFERROR(AN113/AL113,"")</f>
        <v/>
      </c>
      <c r="AV113" s="107" t="str">
        <f aca="true">IF(A113="","",IF(OR(AB113="A relancer",AND(AF113&lt;&gt;"",AF113&lt;=TODAY())),"OUI","NON"))</f>
        <v/>
      </c>
      <c r="AW113" s="107" t="str">
        <f aca="false">IF(B113="","",IF(OR(COUNTIF($B$56:$B$205,B113)&gt;1,AND(D113&lt;&gt;"",COUNTIF($D$56:$D$205,D113)&gt;1),AND(K113&lt;&gt;"",COUNTIF($K$56:$K$205,K113)&gt;1),AND(L113&lt;&gt;"",COUNTIF($L$56:$L$205,L113)&gt;1)),"OUI","NON"))</f>
        <v/>
      </c>
      <c r="AX113" s="113"/>
    </row>
    <row r="114" customFormat="false" ht="15" hidden="false" customHeight="true" outlineLevel="0" collapsed="false">
      <c r="A114" s="107" t="str">
        <f aca="false">IF(B114="","","DON"&amp;TEXT(ROW()-55,"00000"))</f>
        <v/>
      </c>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07" t="str">
        <f aca="false">IFERROR(INDEX(PARAMETRES!$B$536:$B$586,MATCH(X114,PARAMETRES!$J$536:$J$586,0)),"")</f>
        <v/>
      </c>
      <c r="Z114" s="107" t="str">
        <f aca="false">IFERROR(INDEX(PARAMETRES!$D$536:$D$586,MATCH(X114,PARAMETRES!$J$536:$J$586,0)),"")</f>
        <v/>
      </c>
      <c r="AA114" s="107" t="str">
        <f aca="false">IFERROR(INDEX(PARAMETRES!$F$536:$F$586,MATCH(X114,PARAMETRES!$J$536:$J$586,0)),"")</f>
        <v/>
      </c>
      <c r="AB114" s="113"/>
      <c r="AC114" s="114"/>
      <c r="AD114" s="113"/>
      <c r="AE114" s="114"/>
      <c r="AF114" s="114"/>
      <c r="AG114" s="113"/>
      <c r="AH114" s="113"/>
      <c r="AI114" s="107" t="n">
        <f aca="false">IF(A114="",0,COUNTIF(tbl_Donateurs_Opportunites[ID Donateur],A114))</f>
        <v>0</v>
      </c>
      <c r="AJ114" s="107" t="n">
        <f aca="false">IF(A114="",0,COUNTIFS(tbl_Donateurs_Opportunites[ID Donateur],A114,tbl_Donateurs_Opportunites[Statut],"Ouverte"))</f>
        <v>0</v>
      </c>
      <c r="AK114" s="107" t="n">
        <f aca="false">IF(A114="",0,COUNTIF(tbl_Donateurs_Demandes[ID Donateur],A114))</f>
        <v>0</v>
      </c>
      <c r="AL114" s="107" t="n">
        <f aca="false">IF(A114="",0,COUNTIFS(tbl_Donateurs_Demandes[ID Donateur],A114,tbl_Donateurs_Demandes[Statut],"Approuvee")+COUNTIFS(tbl_Donateurs_Demandes[ID Donateur],A114,tbl_Donateurs_Demandes[Statut],"Financement recu"))</f>
        <v>0</v>
      </c>
      <c r="AM114" s="108" t="n">
        <f aca="false">IF(A114="",0,SUMIF(tbl_Donateurs_Demandes[ID Donateur],A114,tbl_Donateurs_Demandes[Montant demande]))</f>
        <v>0</v>
      </c>
      <c r="AN114" s="108" t="n">
        <f aca="false">IF(A114="",0,SUMIF(tbl_Donateurs_Demandes[ID Donateur],A114,tbl_Donateurs_Demandes[Montant accorde]))</f>
        <v>0</v>
      </c>
      <c r="AO114" s="108" t="n">
        <f aca="false">IF(A114="",0,SUMIF(tbl_Donateurs_Decaissements[ID Donateur],A114,tbl_Donateurs_Decaissements[Montant recu]))</f>
        <v>0</v>
      </c>
      <c r="AP114" s="109" t="str">
        <f aca="false">IFERROR(AL114/AK114,"")</f>
        <v/>
      </c>
      <c r="AQ114" s="107" t="n">
        <f aca="false">IF(A114="",0,COUNTIF(tbl_Donateurs_Contacts[ID Donateur],A114))</f>
        <v>0</v>
      </c>
      <c r="AR114" s="107" t="n">
        <f aca="false">IF(A114="",0,COUNTIF(tbl_Donateurs_Documents[ID Donateur],A114))</f>
        <v>0</v>
      </c>
      <c r="AS114" s="107" t="n">
        <f aca="false">IF(A114="",0,COUNTIF(tbl_Donateurs_Conventions[ID Donateur],A114))</f>
        <v>0</v>
      </c>
      <c r="AT114" s="115" t="n">
        <f aca="false">IFERROR(_xlfn.MAXIFS(tbl_Donateurs_Decaissements[Date recue],tbl_Donateurs_Decaissements[ID Donateur],A114),"")</f>
        <v>0</v>
      </c>
      <c r="AU114" s="108" t="str">
        <f aca="false">IFERROR(AN114/AL114,"")</f>
        <v/>
      </c>
      <c r="AV114" s="107" t="str">
        <f aca="true">IF(A114="","",IF(OR(AB114="A relancer",AND(AF114&lt;&gt;"",AF114&lt;=TODAY())),"OUI","NON"))</f>
        <v/>
      </c>
      <c r="AW114" s="107" t="str">
        <f aca="false">IF(B114="","",IF(OR(COUNTIF($B$56:$B$205,B114)&gt;1,AND(D114&lt;&gt;"",COUNTIF($D$56:$D$205,D114)&gt;1),AND(K114&lt;&gt;"",COUNTIF($K$56:$K$205,K114)&gt;1),AND(L114&lt;&gt;"",COUNTIF($L$56:$L$205,L114)&gt;1)),"OUI","NON"))</f>
        <v/>
      </c>
      <c r="AX114" s="113"/>
    </row>
    <row r="115" customFormat="false" ht="15" hidden="false" customHeight="true" outlineLevel="0" collapsed="false">
      <c r="A115" s="107" t="str">
        <f aca="false">IF(B115="","","DON"&amp;TEXT(ROW()-55,"00000"))</f>
        <v/>
      </c>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07" t="str">
        <f aca="false">IFERROR(INDEX(PARAMETRES!$B$536:$B$586,MATCH(X115,PARAMETRES!$J$536:$J$586,0)),"")</f>
        <v/>
      </c>
      <c r="Z115" s="107" t="str">
        <f aca="false">IFERROR(INDEX(PARAMETRES!$D$536:$D$586,MATCH(X115,PARAMETRES!$J$536:$J$586,0)),"")</f>
        <v/>
      </c>
      <c r="AA115" s="107" t="str">
        <f aca="false">IFERROR(INDEX(PARAMETRES!$F$536:$F$586,MATCH(X115,PARAMETRES!$J$536:$J$586,0)),"")</f>
        <v/>
      </c>
      <c r="AB115" s="113"/>
      <c r="AC115" s="114"/>
      <c r="AD115" s="113"/>
      <c r="AE115" s="114"/>
      <c r="AF115" s="114"/>
      <c r="AG115" s="113"/>
      <c r="AH115" s="113"/>
      <c r="AI115" s="107" t="n">
        <f aca="false">IF(A115="",0,COUNTIF(tbl_Donateurs_Opportunites[ID Donateur],A115))</f>
        <v>0</v>
      </c>
      <c r="AJ115" s="107" t="n">
        <f aca="false">IF(A115="",0,COUNTIFS(tbl_Donateurs_Opportunites[ID Donateur],A115,tbl_Donateurs_Opportunites[Statut],"Ouverte"))</f>
        <v>0</v>
      </c>
      <c r="AK115" s="107" t="n">
        <f aca="false">IF(A115="",0,COUNTIF(tbl_Donateurs_Demandes[ID Donateur],A115))</f>
        <v>0</v>
      </c>
      <c r="AL115" s="107" t="n">
        <f aca="false">IF(A115="",0,COUNTIFS(tbl_Donateurs_Demandes[ID Donateur],A115,tbl_Donateurs_Demandes[Statut],"Approuvee")+COUNTIFS(tbl_Donateurs_Demandes[ID Donateur],A115,tbl_Donateurs_Demandes[Statut],"Financement recu"))</f>
        <v>0</v>
      </c>
      <c r="AM115" s="108" t="n">
        <f aca="false">IF(A115="",0,SUMIF(tbl_Donateurs_Demandes[ID Donateur],A115,tbl_Donateurs_Demandes[Montant demande]))</f>
        <v>0</v>
      </c>
      <c r="AN115" s="108" t="n">
        <f aca="false">IF(A115="",0,SUMIF(tbl_Donateurs_Demandes[ID Donateur],A115,tbl_Donateurs_Demandes[Montant accorde]))</f>
        <v>0</v>
      </c>
      <c r="AO115" s="108" t="n">
        <f aca="false">IF(A115="",0,SUMIF(tbl_Donateurs_Decaissements[ID Donateur],A115,tbl_Donateurs_Decaissements[Montant recu]))</f>
        <v>0</v>
      </c>
      <c r="AP115" s="109" t="str">
        <f aca="false">IFERROR(AL115/AK115,"")</f>
        <v/>
      </c>
      <c r="AQ115" s="107" t="n">
        <f aca="false">IF(A115="",0,COUNTIF(tbl_Donateurs_Contacts[ID Donateur],A115))</f>
        <v>0</v>
      </c>
      <c r="AR115" s="107" t="n">
        <f aca="false">IF(A115="",0,COUNTIF(tbl_Donateurs_Documents[ID Donateur],A115))</f>
        <v>0</v>
      </c>
      <c r="AS115" s="107" t="n">
        <f aca="false">IF(A115="",0,COUNTIF(tbl_Donateurs_Conventions[ID Donateur],A115))</f>
        <v>0</v>
      </c>
      <c r="AT115" s="115" t="n">
        <f aca="false">IFERROR(_xlfn.MAXIFS(tbl_Donateurs_Decaissements[Date recue],tbl_Donateurs_Decaissements[ID Donateur],A115),"")</f>
        <v>0</v>
      </c>
      <c r="AU115" s="108" t="str">
        <f aca="false">IFERROR(AN115/AL115,"")</f>
        <v/>
      </c>
      <c r="AV115" s="107" t="str">
        <f aca="true">IF(A115="","",IF(OR(AB115="A relancer",AND(AF115&lt;&gt;"",AF115&lt;=TODAY())),"OUI","NON"))</f>
        <v/>
      </c>
      <c r="AW115" s="107" t="str">
        <f aca="false">IF(B115="","",IF(OR(COUNTIF($B$56:$B$205,B115)&gt;1,AND(D115&lt;&gt;"",COUNTIF($D$56:$D$205,D115)&gt;1),AND(K115&lt;&gt;"",COUNTIF($K$56:$K$205,K115)&gt;1),AND(L115&lt;&gt;"",COUNTIF($L$56:$L$205,L115)&gt;1)),"OUI","NON"))</f>
        <v/>
      </c>
      <c r="AX115" s="113"/>
    </row>
    <row r="116" customFormat="false" ht="15" hidden="false" customHeight="true" outlineLevel="0" collapsed="false">
      <c r="A116" s="107" t="str">
        <f aca="false">IF(B116="","","DON"&amp;TEXT(ROW()-55,"00000"))</f>
        <v/>
      </c>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07" t="str">
        <f aca="false">IFERROR(INDEX(PARAMETRES!$B$536:$B$586,MATCH(X116,PARAMETRES!$J$536:$J$586,0)),"")</f>
        <v/>
      </c>
      <c r="Z116" s="107" t="str">
        <f aca="false">IFERROR(INDEX(PARAMETRES!$D$536:$D$586,MATCH(X116,PARAMETRES!$J$536:$J$586,0)),"")</f>
        <v/>
      </c>
      <c r="AA116" s="107" t="str">
        <f aca="false">IFERROR(INDEX(PARAMETRES!$F$536:$F$586,MATCH(X116,PARAMETRES!$J$536:$J$586,0)),"")</f>
        <v/>
      </c>
      <c r="AB116" s="113"/>
      <c r="AC116" s="114"/>
      <c r="AD116" s="113"/>
      <c r="AE116" s="114"/>
      <c r="AF116" s="114"/>
      <c r="AG116" s="113"/>
      <c r="AH116" s="113"/>
      <c r="AI116" s="107" t="n">
        <f aca="false">IF(A116="",0,COUNTIF(tbl_Donateurs_Opportunites[ID Donateur],A116))</f>
        <v>0</v>
      </c>
      <c r="AJ116" s="107" t="n">
        <f aca="false">IF(A116="",0,COUNTIFS(tbl_Donateurs_Opportunites[ID Donateur],A116,tbl_Donateurs_Opportunites[Statut],"Ouverte"))</f>
        <v>0</v>
      </c>
      <c r="AK116" s="107" t="n">
        <f aca="false">IF(A116="",0,COUNTIF(tbl_Donateurs_Demandes[ID Donateur],A116))</f>
        <v>0</v>
      </c>
      <c r="AL116" s="107" t="n">
        <f aca="false">IF(A116="",0,COUNTIFS(tbl_Donateurs_Demandes[ID Donateur],A116,tbl_Donateurs_Demandes[Statut],"Approuvee")+COUNTIFS(tbl_Donateurs_Demandes[ID Donateur],A116,tbl_Donateurs_Demandes[Statut],"Financement recu"))</f>
        <v>0</v>
      </c>
      <c r="AM116" s="108" t="n">
        <f aca="false">IF(A116="",0,SUMIF(tbl_Donateurs_Demandes[ID Donateur],A116,tbl_Donateurs_Demandes[Montant demande]))</f>
        <v>0</v>
      </c>
      <c r="AN116" s="108" t="n">
        <f aca="false">IF(A116="",0,SUMIF(tbl_Donateurs_Demandes[ID Donateur],A116,tbl_Donateurs_Demandes[Montant accorde]))</f>
        <v>0</v>
      </c>
      <c r="AO116" s="108" t="n">
        <f aca="false">IF(A116="",0,SUMIF(tbl_Donateurs_Decaissements[ID Donateur],A116,tbl_Donateurs_Decaissements[Montant recu]))</f>
        <v>0</v>
      </c>
      <c r="AP116" s="109" t="str">
        <f aca="false">IFERROR(AL116/AK116,"")</f>
        <v/>
      </c>
      <c r="AQ116" s="107" t="n">
        <f aca="false">IF(A116="",0,COUNTIF(tbl_Donateurs_Contacts[ID Donateur],A116))</f>
        <v>0</v>
      </c>
      <c r="AR116" s="107" t="n">
        <f aca="false">IF(A116="",0,COUNTIF(tbl_Donateurs_Documents[ID Donateur],A116))</f>
        <v>0</v>
      </c>
      <c r="AS116" s="107" t="n">
        <f aca="false">IF(A116="",0,COUNTIF(tbl_Donateurs_Conventions[ID Donateur],A116))</f>
        <v>0</v>
      </c>
      <c r="AT116" s="115" t="n">
        <f aca="false">IFERROR(_xlfn.MAXIFS(tbl_Donateurs_Decaissements[Date recue],tbl_Donateurs_Decaissements[ID Donateur],A116),"")</f>
        <v>0</v>
      </c>
      <c r="AU116" s="108" t="str">
        <f aca="false">IFERROR(AN116/AL116,"")</f>
        <v/>
      </c>
      <c r="AV116" s="107" t="str">
        <f aca="true">IF(A116="","",IF(OR(AB116="A relancer",AND(AF116&lt;&gt;"",AF116&lt;=TODAY())),"OUI","NON"))</f>
        <v/>
      </c>
      <c r="AW116" s="107" t="str">
        <f aca="false">IF(B116="","",IF(OR(COUNTIF($B$56:$B$205,B116)&gt;1,AND(D116&lt;&gt;"",COUNTIF($D$56:$D$205,D116)&gt;1),AND(K116&lt;&gt;"",COUNTIF($K$56:$K$205,K116)&gt;1),AND(L116&lt;&gt;"",COUNTIF($L$56:$L$205,L116)&gt;1)),"OUI","NON"))</f>
        <v/>
      </c>
      <c r="AX116" s="113"/>
    </row>
    <row r="117" customFormat="false" ht="15" hidden="false" customHeight="true" outlineLevel="0" collapsed="false">
      <c r="A117" s="107" t="str">
        <f aca="false">IF(B117="","","DON"&amp;TEXT(ROW()-55,"00000"))</f>
        <v/>
      </c>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07" t="str">
        <f aca="false">IFERROR(INDEX(PARAMETRES!$B$536:$B$586,MATCH(X117,PARAMETRES!$J$536:$J$586,0)),"")</f>
        <v/>
      </c>
      <c r="Z117" s="107" t="str">
        <f aca="false">IFERROR(INDEX(PARAMETRES!$D$536:$D$586,MATCH(X117,PARAMETRES!$J$536:$J$586,0)),"")</f>
        <v/>
      </c>
      <c r="AA117" s="107" t="str">
        <f aca="false">IFERROR(INDEX(PARAMETRES!$F$536:$F$586,MATCH(X117,PARAMETRES!$J$536:$J$586,0)),"")</f>
        <v/>
      </c>
      <c r="AB117" s="113"/>
      <c r="AC117" s="114"/>
      <c r="AD117" s="113"/>
      <c r="AE117" s="114"/>
      <c r="AF117" s="114"/>
      <c r="AG117" s="113"/>
      <c r="AH117" s="113"/>
      <c r="AI117" s="107" t="n">
        <f aca="false">IF(A117="",0,COUNTIF(tbl_Donateurs_Opportunites[ID Donateur],A117))</f>
        <v>0</v>
      </c>
      <c r="AJ117" s="107" t="n">
        <f aca="false">IF(A117="",0,COUNTIFS(tbl_Donateurs_Opportunites[ID Donateur],A117,tbl_Donateurs_Opportunites[Statut],"Ouverte"))</f>
        <v>0</v>
      </c>
      <c r="AK117" s="107" t="n">
        <f aca="false">IF(A117="",0,COUNTIF(tbl_Donateurs_Demandes[ID Donateur],A117))</f>
        <v>0</v>
      </c>
      <c r="AL117" s="107" t="n">
        <f aca="false">IF(A117="",0,COUNTIFS(tbl_Donateurs_Demandes[ID Donateur],A117,tbl_Donateurs_Demandes[Statut],"Approuvee")+COUNTIFS(tbl_Donateurs_Demandes[ID Donateur],A117,tbl_Donateurs_Demandes[Statut],"Financement recu"))</f>
        <v>0</v>
      </c>
      <c r="AM117" s="108" t="n">
        <f aca="false">IF(A117="",0,SUMIF(tbl_Donateurs_Demandes[ID Donateur],A117,tbl_Donateurs_Demandes[Montant demande]))</f>
        <v>0</v>
      </c>
      <c r="AN117" s="108" t="n">
        <f aca="false">IF(A117="",0,SUMIF(tbl_Donateurs_Demandes[ID Donateur],A117,tbl_Donateurs_Demandes[Montant accorde]))</f>
        <v>0</v>
      </c>
      <c r="AO117" s="108" t="n">
        <f aca="false">IF(A117="",0,SUMIF(tbl_Donateurs_Decaissements[ID Donateur],A117,tbl_Donateurs_Decaissements[Montant recu]))</f>
        <v>0</v>
      </c>
      <c r="AP117" s="109" t="str">
        <f aca="false">IFERROR(AL117/AK117,"")</f>
        <v/>
      </c>
      <c r="AQ117" s="107" t="n">
        <f aca="false">IF(A117="",0,COUNTIF(tbl_Donateurs_Contacts[ID Donateur],A117))</f>
        <v>0</v>
      </c>
      <c r="AR117" s="107" t="n">
        <f aca="false">IF(A117="",0,COUNTIF(tbl_Donateurs_Documents[ID Donateur],A117))</f>
        <v>0</v>
      </c>
      <c r="AS117" s="107" t="n">
        <f aca="false">IF(A117="",0,COUNTIF(tbl_Donateurs_Conventions[ID Donateur],A117))</f>
        <v>0</v>
      </c>
      <c r="AT117" s="115" t="n">
        <f aca="false">IFERROR(_xlfn.MAXIFS(tbl_Donateurs_Decaissements[Date recue],tbl_Donateurs_Decaissements[ID Donateur],A117),"")</f>
        <v>0</v>
      </c>
      <c r="AU117" s="108" t="str">
        <f aca="false">IFERROR(AN117/AL117,"")</f>
        <v/>
      </c>
      <c r="AV117" s="107" t="str">
        <f aca="true">IF(A117="","",IF(OR(AB117="A relancer",AND(AF117&lt;&gt;"",AF117&lt;=TODAY())),"OUI","NON"))</f>
        <v/>
      </c>
      <c r="AW117" s="107" t="str">
        <f aca="false">IF(B117="","",IF(OR(COUNTIF($B$56:$B$205,B117)&gt;1,AND(D117&lt;&gt;"",COUNTIF($D$56:$D$205,D117)&gt;1),AND(K117&lt;&gt;"",COUNTIF($K$56:$K$205,K117)&gt;1),AND(L117&lt;&gt;"",COUNTIF($L$56:$L$205,L117)&gt;1)),"OUI","NON"))</f>
        <v/>
      </c>
      <c r="AX117" s="113"/>
    </row>
    <row r="118" customFormat="false" ht="15" hidden="false" customHeight="true" outlineLevel="0" collapsed="false">
      <c r="A118" s="107" t="str">
        <f aca="false">IF(B118="","","DON"&amp;TEXT(ROW()-55,"00000"))</f>
        <v/>
      </c>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07" t="str">
        <f aca="false">IFERROR(INDEX(PARAMETRES!$B$536:$B$586,MATCH(X118,PARAMETRES!$J$536:$J$586,0)),"")</f>
        <v/>
      </c>
      <c r="Z118" s="107" t="str">
        <f aca="false">IFERROR(INDEX(PARAMETRES!$D$536:$D$586,MATCH(X118,PARAMETRES!$J$536:$J$586,0)),"")</f>
        <v/>
      </c>
      <c r="AA118" s="107" t="str">
        <f aca="false">IFERROR(INDEX(PARAMETRES!$F$536:$F$586,MATCH(X118,PARAMETRES!$J$536:$J$586,0)),"")</f>
        <v/>
      </c>
      <c r="AB118" s="113"/>
      <c r="AC118" s="114"/>
      <c r="AD118" s="113"/>
      <c r="AE118" s="114"/>
      <c r="AF118" s="114"/>
      <c r="AG118" s="113"/>
      <c r="AH118" s="113"/>
      <c r="AI118" s="107" t="n">
        <f aca="false">IF(A118="",0,COUNTIF(tbl_Donateurs_Opportunites[ID Donateur],A118))</f>
        <v>0</v>
      </c>
      <c r="AJ118" s="107" t="n">
        <f aca="false">IF(A118="",0,COUNTIFS(tbl_Donateurs_Opportunites[ID Donateur],A118,tbl_Donateurs_Opportunites[Statut],"Ouverte"))</f>
        <v>0</v>
      </c>
      <c r="AK118" s="107" t="n">
        <f aca="false">IF(A118="",0,COUNTIF(tbl_Donateurs_Demandes[ID Donateur],A118))</f>
        <v>0</v>
      </c>
      <c r="AL118" s="107" t="n">
        <f aca="false">IF(A118="",0,COUNTIFS(tbl_Donateurs_Demandes[ID Donateur],A118,tbl_Donateurs_Demandes[Statut],"Approuvee")+COUNTIFS(tbl_Donateurs_Demandes[ID Donateur],A118,tbl_Donateurs_Demandes[Statut],"Financement recu"))</f>
        <v>0</v>
      </c>
      <c r="AM118" s="108" t="n">
        <f aca="false">IF(A118="",0,SUMIF(tbl_Donateurs_Demandes[ID Donateur],A118,tbl_Donateurs_Demandes[Montant demande]))</f>
        <v>0</v>
      </c>
      <c r="AN118" s="108" t="n">
        <f aca="false">IF(A118="",0,SUMIF(tbl_Donateurs_Demandes[ID Donateur],A118,tbl_Donateurs_Demandes[Montant accorde]))</f>
        <v>0</v>
      </c>
      <c r="AO118" s="108" t="n">
        <f aca="false">IF(A118="",0,SUMIF(tbl_Donateurs_Decaissements[ID Donateur],A118,tbl_Donateurs_Decaissements[Montant recu]))</f>
        <v>0</v>
      </c>
      <c r="AP118" s="109" t="str">
        <f aca="false">IFERROR(AL118/AK118,"")</f>
        <v/>
      </c>
      <c r="AQ118" s="107" t="n">
        <f aca="false">IF(A118="",0,COUNTIF(tbl_Donateurs_Contacts[ID Donateur],A118))</f>
        <v>0</v>
      </c>
      <c r="AR118" s="107" t="n">
        <f aca="false">IF(A118="",0,COUNTIF(tbl_Donateurs_Documents[ID Donateur],A118))</f>
        <v>0</v>
      </c>
      <c r="AS118" s="107" t="n">
        <f aca="false">IF(A118="",0,COUNTIF(tbl_Donateurs_Conventions[ID Donateur],A118))</f>
        <v>0</v>
      </c>
      <c r="AT118" s="115" t="n">
        <f aca="false">IFERROR(_xlfn.MAXIFS(tbl_Donateurs_Decaissements[Date recue],tbl_Donateurs_Decaissements[ID Donateur],A118),"")</f>
        <v>0</v>
      </c>
      <c r="AU118" s="108" t="str">
        <f aca="false">IFERROR(AN118/AL118,"")</f>
        <v/>
      </c>
      <c r="AV118" s="107" t="str">
        <f aca="true">IF(A118="","",IF(OR(AB118="A relancer",AND(AF118&lt;&gt;"",AF118&lt;=TODAY())),"OUI","NON"))</f>
        <v/>
      </c>
      <c r="AW118" s="107" t="str">
        <f aca="false">IF(B118="","",IF(OR(COUNTIF($B$56:$B$205,B118)&gt;1,AND(D118&lt;&gt;"",COUNTIF($D$56:$D$205,D118)&gt;1),AND(K118&lt;&gt;"",COUNTIF($K$56:$K$205,K118)&gt;1),AND(L118&lt;&gt;"",COUNTIF($L$56:$L$205,L118)&gt;1)),"OUI","NON"))</f>
        <v/>
      </c>
      <c r="AX118" s="113"/>
    </row>
    <row r="119" customFormat="false" ht="15" hidden="false" customHeight="true" outlineLevel="0" collapsed="false">
      <c r="A119" s="107" t="str">
        <f aca="false">IF(B119="","","DON"&amp;TEXT(ROW()-55,"00000"))</f>
        <v/>
      </c>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07" t="str">
        <f aca="false">IFERROR(INDEX(PARAMETRES!$B$536:$B$586,MATCH(X119,PARAMETRES!$J$536:$J$586,0)),"")</f>
        <v/>
      </c>
      <c r="Z119" s="107" t="str">
        <f aca="false">IFERROR(INDEX(PARAMETRES!$D$536:$D$586,MATCH(X119,PARAMETRES!$J$536:$J$586,0)),"")</f>
        <v/>
      </c>
      <c r="AA119" s="107" t="str">
        <f aca="false">IFERROR(INDEX(PARAMETRES!$F$536:$F$586,MATCH(X119,PARAMETRES!$J$536:$J$586,0)),"")</f>
        <v/>
      </c>
      <c r="AB119" s="113"/>
      <c r="AC119" s="114"/>
      <c r="AD119" s="113"/>
      <c r="AE119" s="114"/>
      <c r="AF119" s="114"/>
      <c r="AG119" s="113"/>
      <c r="AH119" s="113"/>
      <c r="AI119" s="107" t="n">
        <f aca="false">IF(A119="",0,COUNTIF(tbl_Donateurs_Opportunites[ID Donateur],A119))</f>
        <v>0</v>
      </c>
      <c r="AJ119" s="107" t="n">
        <f aca="false">IF(A119="",0,COUNTIFS(tbl_Donateurs_Opportunites[ID Donateur],A119,tbl_Donateurs_Opportunites[Statut],"Ouverte"))</f>
        <v>0</v>
      </c>
      <c r="AK119" s="107" t="n">
        <f aca="false">IF(A119="",0,COUNTIF(tbl_Donateurs_Demandes[ID Donateur],A119))</f>
        <v>0</v>
      </c>
      <c r="AL119" s="107" t="n">
        <f aca="false">IF(A119="",0,COUNTIFS(tbl_Donateurs_Demandes[ID Donateur],A119,tbl_Donateurs_Demandes[Statut],"Approuvee")+COUNTIFS(tbl_Donateurs_Demandes[ID Donateur],A119,tbl_Donateurs_Demandes[Statut],"Financement recu"))</f>
        <v>0</v>
      </c>
      <c r="AM119" s="108" t="n">
        <f aca="false">IF(A119="",0,SUMIF(tbl_Donateurs_Demandes[ID Donateur],A119,tbl_Donateurs_Demandes[Montant demande]))</f>
        <v>0</v>
      </c>
      <c r="AN119" s="108" t="n">
        <f aca="false">IF(A119="",0,SUMIF(tbl_Donateurs_Demandes[ID Donateur],A119,tbl_Donateurs_Demandes[Montant accorde]))</f>
        <v>0</v>
      </c>
      <c r="AO119" s="108" t="n">
        <f aca="false">IF(A119="",0,SUMIF(tbl_Donateurs_Decaissements[ID Donateur],A119,tbl_Donateurs_Decaissements[Montant recu]))</f>
        <v>0</v>
      </c>
      <c r="AP119" s="109" t="str">
        <f aca="false">IFERROR(AL119/AK119,"")</f>
        <v/>
      </c>
      <c r="AQ119" s="107" t="n">
        <f aca="false">IF(A119="",0,COUNTIF(tbl_Donateurs_Contacts[ID Donateur],A119))</f>
        <v>0</v>
      </c>
      <c r="AR119" s="107" t="n">
        <f aca="false">IF(A119="",0,COUNTIF(tbl_Donateurs_Documents[ID Donateur],A119))</f>
        <v>0</v>
      </c>
      <c r="AS119" s="107" t="n">
        <f aca="false">IF(A119="",0,COUNTIF(tbl_Donateurs_Conventions[ID Donateur],A119))</f>
        <v>0</v>
      </c>
      <c r="AT119" s="115" t="n">
        <f aca="false">IFERROR(_xlfn.MAXIFS(tbl_Donateurs_Decaissements[Date recue],tbl_Donateurs_Decaissements[ID Donateur],A119),"")</f>
        <v>0</v>
      </c>
      <c r="AU119" s="108" t="str">
        <f aca="false">IFERROR(AN119/AL119,"")</f>
        <v/>
      </c>
      <c r="AV119" s="107" t="str">
        <f aca="true">IF(A119="","",IF(OR(AB119="A relancer",AND(AF119&lt;&gt;"",AF119&lt;=TODAY())),"OUI","NON"))</f>
        <v/>
      </c>
      <c r="AW119" s="107" t="str">
        <f aca="false">IF(B119="","",IF(OR(COUNTIF($B$56:$B$205,B119)&gt;1,AND(D119&lt;&gt;"",COUNTIF($D$56:$D$205,D119)&gt;1),AND(K119&lt;&gt;"",COUNTIF($K$56:$K$205,K119)&gt;1),AND(L119&lt;&gt;"",COUNTIF($L$56:$L$205,L119)&gt;1)),"OUI","NON"))</f>
        <v/>
      </c>
      <c r="AX119" s="113"/>
    </row>
    <row r="120" customFormat="false" ht="15" hidden="false" customHeight="true" outlineLevel="0" collapsed="false">
      <c r="A120" s="107" t="str">
        <f aca="false">IF(B120="","","DON"&amp;TEXT(ROW()-55,"00000"))</f>
        <v/>
      </c>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07" t="str">
        <f aca="false">IFERROR(INDEX(PARAMETRES!$B$536:$B$586,MATCH(X120,PARAMETRES!$J$536:$J$586,0)),"")</f>
        <v/>
      </c>
      <c r="Z120" s="107" t="str">
        <f aca="false">IFERROR(INDEX(PARAMETRES!$D$536:$D$586,MATCH(X120,PARAMETRES!$J$536:$J$586,0)),"")</f>
        <v/>
      </c>
      <c r="AA120" s="107" t="str">
        <f aca="false">IFERROR(INDEX(PARAMETRES!$F$536:$F$586,MATCH(X120,PARAMETRES!$J$536:$J$586,0)),"")</f>
        <v/>
      </c>
      <c r="AB120" s="113"/>
      <c r="AC120" s="114"/>
      <c r="AD120" s="113"/>
      <c r="AE120" s="114"/>
      <c r="AF120" s="114"/>
      <c r="AG120" s="113"/>
      <c r="AH120" s="113"/>
      <c r="AI120" s="107" t="n">
        <f aca="false">IF(A120="",0,COUNTIF(tbl_Donateurs_Opportunites[ID Donateur],A120))</f>
        <v>0</v>
      </c>
      <c r="AJ120" s="107" t="n">
        <f aca="false">IF(A120="",0,COUNTIFS(tbl_Donateurs_Opportunites[ID Donateur],A120,tbl_Donateurs_Opportunites[Statut],"Ouverte"))</f>
        <v>0</v>
      </c>
      <c r="AK120" s="107" t="n">
        <f aca="false">IF(A120="",0,COUNTIF(tbl_Donateurs_Demandes[ID Donateur],A120))</f>
        <v>0</v>
      </c>
      <c r="AL120" s="107" t="n">
        <f aca="false">IF(A120="",0,COUNTIFS(tbl_Donateurs_Demandes[ID Donateur],A120,tbl_Donateurs_Demandes[Statut],"Approuvee")+COUNTIFS(tbl_Donateurs_Demandes[ID Donateur],A120,tbl_Donateurs_Demandes[Statut],"Financement recu"))</f>
        <v>0</v>
      </c>
      <c r="AM120" s="108" t="n">
        <f aca="false">IF(A120="",0,SUMIF(tbl_Donateurs_Demandes[ID Donateur],A120,tbl_Donateurs_Demandes[Montant demande]))</f>
        <v>0</v>
      </c>
      <c r="AN120" s="108" t="n">
        <f aca="false">IF(A120="",0,SUMIF(tbl_Donateurs_Demandes[ID Donateur],A120,tbl_Donateurs_Demandes[Montant accorde]))</f>
        <v>0</v>
      </c>
      <c r="AO120" s="108" t="n">
        <f aca="false">IF(A120="",0,SUMIF(tbl_Donateurs_Decaissements[ID Donateur],A120,tbl_Donateurs_Decaissements[Montant recu]))</f>
        <v>0</v>
      </c>
      <c r="AP120" s="109" t="str">
        <f aca="false">IFERROR(AL120/AK120,"")</f>
        <v/>
      </c>
      <c r="AQ120" s="107" t="n">
        <f aca="false">IF(A120="",0,COUNTIF(tbl_Donateurs_Contacts[ID Donateur],A120))</f>
        <v>0</v>
      </c>
      <c r="AR120" s="107" t="n">
        <f aca="false">IF(A120="",0,COUNTIF(tbl_Donateurs_Documents[ID Donateur],A120))</f>
        <v>0</v>
      </c>
      <c r="AS120" s="107" t="n">
        <f aca="false">IF(A120="",0,COUNTIF(tbl_Donateurs_Conventions[ID Donateur],A120))</f>
        <v>0</v>
      </c>
      <c r="AT120" s="115" t="n">
        <f aca="false">IFERROR(_xlfn.MAXIFS(tbl_Donateurs_Decaissements[Date recue],tbl_Donateurs_Decaissements[ID Donateur],A120),"")</f>
        <v>0</v>
      </c>
      <c r="AU120" s="108" t="str">
        <f aca="false">IFERROR(AN120/AL120,"")</f>
        <v/>
      </c>
      <c r="AV120" s="107" t="str">
        <f aca="true">IF(A120="","",IF(OR(AB120="A relancer",AND(AF120&lt;&gt;"",AF120&lt;=TODAY())),"OUI","NON"))</f>
        <v/>
      </c>
      <c r="AW120" s="107" t="str">
        <f aca="false">IF(B120="","",IF(OR(COUNTIF($B$56:$B$205,B120)&gt;1,AND(D120&lt;&gt;"",COUNTIF($D$56:$D$205,D120)&gt;1),AND(K120&lt;&gt;"",COUNTIF($K$56:$K$205,K120)&gt;1),AND(L120&lt;&gt;"",COUNTIF($L$56:$L$205,L120)&gt;1)),"OUI","NON"))</f>
        <v/>
      </c>
      <c r="AX120" s="113"/>
    </row>
    <row r="121" customFormat="false" ht="15" hidden="false" customHeight="true" outlineLevel="0" collapsed="false">
      <c r="A121" s="107" t="str">
        <f aca="false">IF(B121="","","DON"&amp;TEXT(ROW()-55,"00000"))</f>
        <v/>
      </c>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07" t="str">
        <f aca="false">IFERROR(INDEX(PARAMETRES!$B$536:$B$586,MATCH(X121,PARAMETRES!$J$536:$J$586,0)),"")</f>
        <v/>
      </c>
      <c r="Z121" s="107" t="str">
        <f aca="false">IFERROR(INDEX(PARAMETRES!$D$536:$D$586,MATCH(X121,PARAMETRES!$J$536:$J$586,0)),"")</f>
        <v/>
      </c>
      <c r="AA121" s="107" t="str">
        <f aca="false">IFERROR(INDEX(PARAMETRES!$F$536:$F$586,MATCH(X121,PARAMETRES!$J$536:$J$586,0)),"")</f>
        <v/>
      </c>
      <c r="AB121" s="113"/>
      <c r="AC121" s="114"/>
      <c r="AD121" s="113"/>
      <c r="AE121" s="114"/>
      <c r="AF121" s="114"/>
      <c r="AG121" s="113"/>
      <c r="AH121" s="113"/>
      <c r="AI121" s="107" t="n">
        <f aca="false">IF(A121="",0,COUNTIF(tbl_Donateurs_Opportunites[ID Donateur],A121))</f>
        <v>0</v>
      </c>
      <c r="AJ121" s="107" t="n">
        <f aca="false">IF(A121="",0,COUNTIFS(tbl_Donateurs_Opportunites[ID Donateur],A121,tbl_Donateurs_Opportunites[Statut],"Ouverte"))</f>
        <v>0</v>
      </c>
      <c r="AK121" s="107" t="n">
        <f aca="false">IF(A121="",0,COUNTIF(tbl_Donateurs_Demandes[ID Donateur],A121))</f>
        <v>0</v>
      </c>
      <c r="AL121" s="107" t="n">
        <f aca="false">IF(A121="",0,COUNTIFS(tbl_Donateurs_Demandes[ID Donateur],A121,tbl_Donateurs_Demandes[Statut],"Approuvee")+COUNTIFS(tbl_Donateurs_Demandes[ID Donateur],A121,tbl_Donateurs_Demandes[Statut],"Financement recu"))</f>
        <v>0</v>
      </c>
      <c r="AM121" s="108" t="n">
        <f aca="false">IF(A121="",0,SUMIF(tbl_Donateurs_Demandes[ID Donateur],A121,tbl_Donateurs_Demandes[Montant demande]))</f>
        <v>0</v>
      </c>
      <c r="AN121" s="108" t="n">
        <f aca="false">IF(A121="",0,SUMIF(tbl_Donateurs_Demandes[ID Donateur],A121,tbl_Donateurs_Demandes[Montant accorde]))</f>
        <v>0</v>
      </c>
      <c r="AO121" s="108" t="n">
        <f aca="false">IF(A121="",0,SUMIF(tbl_Donateurs_Decaissements[ID Donateur],A121,tbl_Donateurs_Decaissements[Montant recu]))</f>
        <v>0</v>
      </c>
      <c r="AP121" s="109" t="str">
        <f aca="false">IFERROR(AL121/AK121,"")</f>
        <v/>
      </c>
      <c r="AQ121" s="107" t="n">
        <f aca="false">IF(A121="",0,COUNTIF(tbl_Donateurs_Contacts[ID Donateur],A121))</f>
        <v>0</v>
      </c>
      <c r="AR121" s="107" t="n">
        <f aca="false">IF(A121="",0,COUNTIF(tbl_Donateurs_Documents[ID Donateur],A121))</f>
        <v>0</v>
      </c>
      <c r="AS121" s="107" t="n">
        <f aca="false">IF(A121="",0,COUNTIF(tbl_Donateurs_Conventions[ID Donateur],A121))</f>
        <v>0</v>
      </c>
      <c r="AT121" s="115" t="n">
        <f aca="false">IFERROR(_xlfn.MAXIFS(tbl_Donateurs_Decaissements[Date recue],tbl_Donateurs_Decaissements[ID Donateur],A121),"")</f>
        <v>0</v>
      </c>
      <c r="AU121" s="108" t="str">
        <f aca="false">IFERROR(AN121/AL121,"")</f>
        <v/>
      </c>
      <c r="AV121" s="107" t="str">
        <f aca="true">IF(A121="","",IF(OR(AB121="A relancer",AND(AF121&lt;&gt;"",AF121&lt;=TODAY())),"OUI","NON"))</f>
        <v/>
      </c>
      <c r="AW121" s="107" t="str">
        <f aca="false">IF(B121="","",IF(OR(COUNTIF($B$56:$B$205,B121)&gt;1,AND(D121&lt;&gt;"",COUNTIF($D$56:$D$205,D121)&gt;1),AND(K121&lt;&gt;"",COUNTIF($K$56:$K$205,K121)&gt;1),AND(L121&lt;&gt;"",COUNTIF($L$56:$L$205,L121)&gt;1)),"OUI","NON"))</f>
        <v/>
      </c>
      <c r="AX121" s="113"/>
    </row>
    <row r="122" customFormat="false" ht="15" hidden="false" customHeight="true" outlineLevel="0" collapsed="false">
      <c r="A122" s="107" t="str">
        <f aca="false">IF(B122="","","DON"&amp;TEXT(ROW()-55,"00000"))</f>
        <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07" t="str">
        <f aca="false">IFERROR(INDEX(PARAMETRES!$B$536:$B$586,MATCH(X122,PARAMETRES!$J$536:$J$586,0)),"")</f>
        <v/>
      </c>
      <c r="Z122" s="107" t="str">
        <f aca="false">IFERROR(INDEX(PARAMETRES!$D$536:$D$586,MATCH(X122,PARAMETRES!$J$536:$J$586,0)),"")</f>
        <v/>
      </c>
      <c r="AA122" s="107" t="str">
        <f aca="false">IFERROR(INDEX(PARAMETRES!$F$536:$F$586,MATCH(X122,PARAMETRES!$J$536:$J$586,0)),"")</f>
        <v/>
      </c>
      <c r="AB122" s="113"/>
      <c r="AC122" s="114"/>
      <c r="AD122" s="113"/>
      <c r="AE122" s="114"/>
      <c r="AF122" s="114"/>
      <c r="AG122" s="113"/>
      <c r="AH122" s="113"/>
      <c r="AI122" s="107" t="n">
        <f aca="false">IF(A122="",0,COUNTIF(tbl_Donateurs_Opportunites[ID Donateur],A122))</f>
        <v>0</v>
      </c>
      <c r="AJ122" s="107" t="n">
        <f aca="false">IF(A122="",0,COUNTIFS(tbl_Donateurs_Opportunites[ID Donateur],A122,tbl_Donateurs_Opportunites[Statut],"Ouverte"))</f>
        <v>0</v>
      </c>
      <c r="AK122" s="107" t="n">
        <f aca="false">IF(A122="",0,COUNTIF(tbl_Donateurs_Demandes[ID Donateur],A122))</f>
        <v>0</v>
      </c>
      <c r="AL122" s="107" t="n">
        <f aca="false">IF(A122="",0,COUNTIFS(tbl_Donateurs_Demandes[ID Donateur],A122,tbl_Donateurs_Demandes[Statut],"Approuvee")+COUNTIFS(tbl_Donateurs_Demandes[ID Donateur],A122,tbl_Donateurs_Demandes[Statut],"Financement recu"))</f>
        <v>0</v>
      </c>
      <c r="AM122" s="108" t="n">
        <f aca="false">IF(A122="",0,SUMIF(tbl_Donateurs_Demandes[ID Donateur],A122,tbl_Donateurs_Demandes[Montant demande]))</f>
        <v>0</v>
      </c>
      <c r="AN122" s="108" t="n">
        <f aca="false">IF(A122="",0,SUMIF(tbl_Donateurs_Demandes[ID Donateur],A122,tbl_Donateurs_Demandes[Montant accorde]))</f>
        <v>0</v>
      </c>
      <c r="AO122" s="108" t="n">
        <f aca="false">IF(A122="",0,SUMIF(tbl_Donateurs_Decaissements[ID Donateur],A122,tbl_Donateurs_Decaissements[Montant recu]))</f>
        <v>0</v>
      </c>
      <c r="AP122" s="109" t="str">
        <f aca="false">IFERROR(AL122/AK122,"")</f>
        <v/>
      </c>
      <c r="AQ122" s="107" t="n">
        <f aca="false">IF(A122="",0,COUNTIF(tbl_Donateurs_Contacts[ID Donateur],A122))</f>
        <v>0</v>
      </c>
      <c r="AR122" s="107" t="n">
        <f aca="false">IF(A122="",0,COUNTIF(tbl_Donateurs_Documents[ID Donateur],A122))</f>
        <v>0</v>
      </c>
      <c r="AS122" s="107" t="n">
        <f aca="false">IF(A122="",0,COUNTIF(tbl_Donateurs_Conventions[ID Donateur],A122))</f>
        <v>0</v>
      </c>
      <c r="AT122" s="115" t="n">
        <f aca="false">IFERROR(_xlfn.MAXIFS(tbl_Donateurs_Decaissements[Date recue],tbl_Donateurs_Decaissements[ID Donateur],A122),"")</f>
        <v>0</v>
      </c>
      <c r="AU122" s="108" t="str">
        <f aca="false">IFERROR(AN122/AL122,"")</f>
        <v/>
      </c>
      <c r="AV122" s="107" t="str">
        <f aca="true">IF(A122="","",IF(OR(AB122="A relancer",AND(AF122&lt;&gt;"",AF122&lt;=TODAY())),"OUI","NON"))</f>
        <v/>
      </c>
      <c r="AW122" s="107" t="str">
        <f aca="false">IF(B122="","",IF(OR(COUNTIF($B$56:$B$205,B122)&gt;1,AND(D122&lt;&gt;"",COUNTIF($D$56:$D$205,D122)&gt;1),AND(K122&lt;&gt;"",COUNTIF($K$56:$K$205,K122)&gt;1),AND(L122&lt;&gt;"",COUNTIF($L$56:$L$205,L122)&gt;1)),"OUI","NON"))</f>
        <v/>
      </c>
      <c r="AX122" s="113"/>
    </row>
    <row r="123" customFormat="false" ht="15" hidden="false" customHeight="true" outlineLevel="0" collapsed="false">
      <c r="A123" s="107" t="str">
        <f aca="false">IF(B123="","","DON"&amp;TEXT(ROW()-55,"00000"))</f>
        <v/>
      </c>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07" t="str">
        <f aca="false">IFERROR(INDEX(PARAMETRES!$B$536:$B$586,MATCH(X123,PARAMETRES!$J$536:$J$586,0)),"")</f>
        <v/>
      </c>
      <c r="Z123" s="107" t="str">
        <f aca="false">IFERROR(INDEX(PARAMETRES!$D$536:$D$586,MATCH(X123,PARAMETRES!$J$536:$J$586,0)),"")</f>
        <v/>
      </c>
      <c r="AA123" s="107" t="str">
        <f aca="false">IFERROR(INDEX(PARAMETRES!$F$536:$F$586,MATCH(X123,PARAMETRES!$J$536:$J$586,0)),"")</f>
        <v/>
      </c>
      <c r="AB123" s="113"/>
      <c r="AC123" s="114"/>
      <c r="AD123" s="113"/>
      <c r="AE123" s="114"/>
      <c r="AF123" s="114"/>
      <c r="AG123" s="113"/>
      <c r="AH123" s="113"/>
      <c r="AI123" s="107" t="n">
        <f aca="false">IF(A123="",0,COUNTIF(tbl_Donateurs_Opportunites[ID Donateur],A123))</f>
        <v>0</v>
      </c>
      <c r="AJ123" s="107" t="n">
        <f aca="false">IF(A123="",0,COUNTIFS(tbl_Donateurs_Opportunites[ID Donateur],A123,tbl_Donateurs_Opportunites[Statut],"Ouverte"))</f>
        <v>0</v>
      </c>
      <c r="AK123" s="107" t="n">
        <f aca="false">IF(A123="",0,COUNTIF(tbl_Donateurs_Demandes[ID Donateur],A123))</f>
        <v>0</v>
      </c>
      <c r="AL123" s="107" t="n">
        <f aca="false">IF(A123="",0,COUNTIFS(tbl_Donateurs_Demandes[ID Donateur],A123,tbl_Donateurs_Demandes[Statut],"Approuvee")+COUNTIFS(tbl_Donateurs_Demandes[ID Donateur],A123,tbl_Donateurs_Demandes[Statut],"Financement recu"))</f>
        <v>0</v>
      </c>
      <c r="AM123" s="108" t="n">
        <f aca="false">IF(A123="",0,SUMIF(tbl_Donateurs_Demandes[ID Donateur],A123,tbl_Donateurs_Demandes[Montant demande]))</f>
        <v>0</v>
      </c>
      <c r="AN123" s="108" t="n">
        <f aca="false">IF(A123="",0,SUMIF(tbl_Donateurs_Demandes[ID Donateur],A123,tbl_Donateurs_Demandes[Montant accorde]))</f>
        <v>0</v>
      </c>
      <c r="AO123" s="108" t="n">
        <f aca="false">IF(A123="",0,SUMIF(tbl_Donateurs_Decaissements[ID Donateur],A123,tbl_Donateurs_Decaissements[Montant recu]))</f>
        <v>0</v>
      </c>
      <c r="AP123" s="109" t="str">
        <f aca="false">IFERROR(AL123/AK123,"")</f>
        <v/>
      </c>
      <c r="AQ123" s="107" t="n">
        <f aca="false">IF(A123="",0,COUNTIF(tbl_Donateurs_Contacts[ID Donateur],A123))</f>
        <v>0</v>
      </c>
      <c r="AR123" s="107" t="n">
        <f aca="false">IF(A123="",0,COUNTIF(tbl_Donateurs_Documents[ID Donateur],A123))</f>
        <v>0</v>
      </c>
      <c r="AS123" s="107" t="n">
        <f aca="false">IF(A123="",0,COUNTIF(tbl_Donateurs_Conventions[ID Donateur],A123))</f>
        <v>0</v>
      </c>
      <c r="AT123" s="115" t="n">
        <f aca="false">IFERROR(_xlfn.MAXIFS(tbl_Donateurs_Decaissements[Date recue],tbl_Donateurs_Decaissements[ID Donateur],A123),"")</f>
        <v>0</v>
      </c>
      <c r="AU123" s="108" t="str">
        <f aca="false">IFERROR(AN123/AL123,"")</f>
        <v/>
      </c>
      <c r="AV123" s="107" t="str">
        <f aca="true">IF(A123="","",IF(OR(AB123="A relancer",AND(AF123&lt;&gt;"",AF123&lt;=TODAY())),"OUI","NON"))</f>
        <v/>
      </c>
      <c r="AW123" s="107" t="str">
        <f aca="false">IF(B123="","",IF(OR(COUNTIF($B$56:$B$205,B123)&gt;1,AND(D123&lt;&gt;"",COUNTIF($D$56:$D$205,D123)&gt;1),AND(K123&lt;&gt;"",COUNTIF($K$56:$K$205,K123)&gt;1),AND(L123&lt;&gt;"",COUNTIF($L$56:$L$205,L123)&gt;1)),"OUI","NON"))</f>
        <v/>
      </c>
      <c r="AX123" s="113"/>
    </row>
    <row r="124" customFormat="false" ht="15" hidden="false" customHeight="true" outlineLevel="0" collapsed="false">
      <c r="A124" s="107" t="str">
        <f aca="false">IF(B124="","","DON"&amp;TEXT(ROW()-55,"00000"))</f>
        <v/>
      </c>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07" t="str">
        <f aca="false">IFERROR(INDEX(PARAMETRES!$B$536:$B$586,MATCH(X124,PARAMETRES!$J$536:$J$586,0)),"")</f>
        <v/>
      </c>
      <c r="Z124" s="107" t="str">
        <f aca="false">IFERROR(INDEX(PARAMETRES!$D$536:$D$586,MATCH(X124,PARAMETRES!$J$536:$J$586,0)),"")</f>
        <v/>
      </c>
      <c r="AA124" s="107" t="str">
        <f aca="false">IFERROR(INDEX(PARAMETRES!$F$536:$F$586,MATCH(X124,PARAMETRES!$J$536:$J$586,0)),"")</f>
        <v/>
      </c>
      <c r="AB124" s="113"/>
      <c r="AC124" s="114"/>
      <c r="AD124" s="113"/>
      <c r="AE124" s="114"/>
      <c r="AF124" s="114"/>
      <c r="AG124" s="113"/>
      <c r="AH124" s="113"/>
      <c r="AI124" s="107" t="n">
        <f aca="false">IF(A124="",0,COUNTIF(tbl_Donateurs_Opportunites[ID Donateur],A124))</f>
        <v>0</v>
      </c>
      <c r="AJ124" s="107" t="n">
        <f aca="false">IF(A124="",0,COUNTIFS(tbl_Donateurs_Opportunites[ID Donateur],A124,tbl_Donateurs_Opportunites[Statut],"Ouverte"))</f>
        <v>0</v>
      </c>
      <c r="AK124" s="107" t="n">
        <f aca="false">IF(A124="",0,COUNTIF(tbl_Donateurs_Demandes[ID Donateur],A124))</f>
        <v>0</v>
      </c>
      <c r="AL124" s="107" t="n">
        <f aca="false">IF(A124="",0,COUNTIFS(tbl_Donateurs_Demandes[ID Donateur],A124,tbl_Donateurs_Demandes[Statut],"Approuvee")+COUNTIFS(tbl_Donateurs_Demandes[ID Donateur],A124,tbl_Donateurs_Demandes[Statut],"Financement recu"))</f>
        <v>0</v>
      </c>
      <c r="AM124" s="108" t="n">
        <f aca="false">IF(A124="",0,SUMIF(tbl_Donateurs_Demandes[ID Donateur],A124,tbl_Donateurs_Demandes[Montant demande]))</f>
        <v>0</v>
      </c>
      <c r="AN124" s="108" t="n">
        <f aca="false">IF(A124="",0,SUMIF(tbl_Donateurs_Demandes[ID Donateur],A124,tbl_Donateurs_Demandes[Montant accorde]))</f>
        <v>0</v>
      </c>
      <c r="AO124" s="108" t="n">
        <f aca="false">IF(A124="",0,SUMIF(tbl_Donateurs_Decaissements[ID Donateur],A124,tbl_Donateurs_Decaissements[Montant recu]))</f>
        <v>0</v>
      </c>
      <c r="AP124" s="109" t="str">
        <f aca="false">IFERROR(AL124/AK124,"")</f>
        <v/>
      </c>
      <c r="AQ124" s="107" t="n">
        <f aca="false">IF(A124="",0,COUNTIF(tbl_Donateurs_Contacts[ID Donateur],A124))</f>
        <v>0</v>
      </c>
      <c r="AR124" s="107" t="n">
        <f aca="false">IF(A124="",0,COUNTIF(tbl_Donateurs_Documents[ID Donateur],A124))</f>
        <v>0</v>
      </c>
      <c r="AS124" s="107" t="n">
        <f aca="false">IF(A124="",0,COUNTIF(tbl_Donateurs_Conventions[ID Donateur],A124))</f>
        <v>0</v>
      </c>
      <c r="AT124" s="115" t="n">
        <f aca="false">IFERROR(_xlfn.MAXIFS(tbl_Donateurs_Decaissements[Date recue],tbl_Donateurs_Decaissements[ID Donateur],A124),"")</f>
        <v>0</v>
      </c>
      <c r="AU124" s="108" t="str">
        <f aca="false">IFERROR(AN124/AL124,"")</f>
        <v/>
      </c>
      <c r="AV124" s="107" t="str">
        <f aca="true">IF(A124="","",IF(OR(AB124="A relancer",AND(AF124&lt;&gt;"",AF124&lt;=TODAY())),"OUI","NON"))</f>
        <v/>
      </c>
      <c r="AW124" s="107" t="str">
        <f aca="false">IF(B124="","",IF(OR(COUNTIF($B$56:$B$205,B124)&gt;1,AND(D124&lt;&gt;"",COUNTIF($D$56:$D$205,D124)&gt;1),AND(K124&lt;&gt;"",COUNTIF($K$56:$K$205,K124)&gt;1),AND(L124&lt;&gt;"",COUNTIF($L$56:$L$205,L124)&gt;1)),"OUI","NON"))</f>
        <v/>
      </c>
      <c r="AX124" s="113"/>
    </row>
    <row r="125" customFormat="false" ht="15" hidden="false" customHeight="true" outlineLevel="0" collapsed="false">
      <c r="A125" s="107" t="str">
        <f aca="false">IF(B125="","","DON"&amp;TEXT(ROW()-55,"00000"))</f>
        <v/>
      </c>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07" t="str">
        <f aca="false">IFERROR(INDEX(PARAMETRES!$B$536:$B$586,MATCH(X125,PARAMETRES!$J$536:$J$586,0)),"")</f>
        <v/>
      </c>
      <c r="Z125" s="107" t="str">
        <f aca="false">IFERROR(INDEX(PARAMETRES!$D$536:$D$586,MATCH(X125,PARAMETRES!$J$536:$J$586,0)),"")</f>
        <v/>
      </c>
      <c r="AA125" s="107" t="str">
        <f aca="false">IFERROR(INDEX(PARAMETRES!$F$536:$F$586,MATCH(X125,PARAMETRES!$J$536:$J$586,0)),"")</f>
        <v/>
      </c>
      <c r="AB125" s="113"/>
      <c r="AC125" s="114"/>
      <c r="AD125" s="113"/>
      <c r="AE125" s="114"/>
      <c r="AF125" s="114"/>
      <c r="AG125" s="113"/>
      <c r="AH125" s="113"/>
      <c r="AI125" s="107" t="n">
        <f aca="false">IF(A125="",0,COUNTIF(tbl_Donateurs_Opportunites[ID Donateur],A125))</f>
        <v>0</v>
      </c>
      <c r="AJ125" s="107" t="n">
        <f aca="false">IF(A125="",0,COUNTIFS(tbl_Donateurs_Opportunites[ID Donateur],A125,tbl_Donateurs_Opportunites[Statut],"Ouverte"))</f>
        <v>0</v>
      </c>
      <c r="AK125" s="107" t="n">
        <f aca="false">IF(A125="",0,COUNTIF(tbl_Donateurs_Demandes[ID Donateur],A125))</f>
        <v>0</v>
      </c>
      <c r="AL125" s="107" t="n">
        <f aca="false">IF(A125="",0,COUNTIFS(tbl_Donateurs_Demandes[ID Donateur],A125,tbl_Donateurs_Demandes[Statut],"Approuvee")+COUNTIFS(tbl_Donateurs_Demandes[ID Donateur],A125,tbl_Donateurs_Demandes[Statut],"Financement recu"))</f>
        <v>0</v>
      </c>
      <c r="AM125" s="108" t="n">
        <f aca="false">IF(A125="",0,SUMIF(tbl_Donateurs_Demandes[ID Donateur],A125,tbl_Donateurs_Demandes[Montant demande]))</f>
        <v>0</v>
      </c>
      <c r="AN125" s="108" t="n">
        <f aca="false">IF(A125="",0,SUMIF(tbl_Donateurs_Demandes[ID Donateur],A125,tbl_Donateurs_Demandes[Montant accorde]))</f>
        <v>0</v>
      </c>
      <c r="AO125" s="108" t="n">
        <f aca="false">IF(A125="",0,SUMIF(tbl_Donateurs_Decaissements[ID Donateur],A125,tbl_Donateurs_Decaissements[Montant recu]))</f>
        <v>0</v>
      </c>
      <c r="AP125" s="109" t="str">
        <f aca="false">IFERROR(AL125/AK125,"")</f>
        <v/>
      </c>
      <c r="AQ125" s="107" t="n">
        <f aca="false">IF(A125="",0,COUNTIF(tbl_Donateurs_Contacts[ID Donateur],A125))</f>
        <v>0</v>
      </c>
      <c r="AR125" s="107" t="n">
        <f aca="false">IF(A125="",0,COUNTIF(tbl_Donateurs_Documents[ID Donateur],A125))</f>
        <v>0</v>
      </c>
      <c r="AS125" s="107" t="n">
        <f aca="false">IF(A125="",0,COUNTIF(tbl_Donateurs_Conventions[ID Donateur],A125))</f>
        <v>0</v>
      </c>
      <c r="AT125" s="115" t="n">
        <f aca="false">IFERROR(_xlfn.MAXIFS(tbl_Donateurs_Decaissements[Date recue],tbl_Donateurs_Decaissements[ID Donateur],A125),"")</f>
        <v>0</v>
      </c>
      <c r="AU125" s="108" t="str">
        <f aca="false">IFERROR(AN125/AL125,"")</f>
        <v/>
      </c>
      <c r="AV125" s="107" t="str">
        <f aca="true">IF(A125="","",IF(OR(AB125="A relancer",AND(AF125&lt;&gt;"",AF125&lt;=TODAY())),"OUI","NON"))</f>
        <v/>
      </c>
      <c r="AW125" s="107" t="str">
        <f aca="false">IF(B125="","",IF(OR(COUNTIF($B$56:$B$205,B125)&gt;1,AND(D125&lt;&gt;"",COUNTIF($D$56:$D$205,D125)&gt;1),AND(K125&lt;&gt;"",COUNTIF($K$56:$K$205,K125)&gt;1),AND(L125&lt;&gt;"",COUNTIF($L$56:$L$205,L125)&gt;1)),"OUI","NON"))</f>
        <v/>
      </c>
      <c r="AX125" s="113"/>
    </row>
    <row r="126" customFormat="false" ht="15" hidden="false" customHeight="true" outlineLevel="0" collapsed="false">
      <c r="A126" s="107" t="str">
        <f aca="false">IF(B126="","","DON"&amp;TEXT(ROW()-55,"00000"))</f>
        <v/>
      </c>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07" t="str">
        <f aca="false">IFERROR(INDEX(PARAMETRES!$B$536:$B$586,MATCH(X126,PARAMETRES!$J$536:$J$586,0)),"")</f>
        <v/>
      </c>
      <c r="Z126" s="107" t="str">
        <f aca="false">IFERROR(INDEX(PARAMETRES!$D$536:$D$586,MATCH(X126,PARAMETRES!$J$536:$J$586,0)),"")</f>
        <v/>
      </c>
      <c r="AA126" s="107" t="str">
        <f aca="false">IFERROR(INDEX(PARAMETRES!$F$536:$F$586,MATCH(X126,PARAMETRES!$J$536:$J$586,0)),"")</f>
        <v/>
      </c>
      <c r="AB126" s="113"/>
      <c r="AC126" s="114"/>
      <c r="AD126" s="113"/>
      <c r="AE126" s="114"/>
      <c r="AF126" s="114"/>
      <c r="AG126" s="113"/>
      <c r="AH126" s="113"/>
      <c r="AI126" s="107" t="n">
        <f aca="false">IF(A126="",0,COUNTIF(tbl_Donateurs_Opportunites[ID Donateur],A126))</f>
        <v>0</v>
      </c>
      <c r="AJ126" s="107" t="n">
        <f aca="false">IF(A126="",0,COUNTIFS(tbl_Donateurs_Opportunites[ID Donateur],A126,tbl_Donateurs_Opportunites[Statut],"Ouverte"))</f>
        <v>0</v>
      </c>
      <c r="AK126" s="107" t="n">
        <f aca="false">IF(A126="",0,COUNTIF(tbl_Donateurs_Demandes[ID Donateur],A126))</f>
        <v>0</v>
      </c>
      <c r="AL126" s="107" t="n">
        <f aca="false">IF(A126="",0,COUNTIFS(tbl_Donateurs_Demandes[ID Donateur],A126,tbl_Donateurs_Demandes[Statut],"Approuvee")+COUNTIFS(tbl_Donateurs_Demandes[ID Donateur],A126,tbl_Donateurs_Demandes[Statut],"Financement recu"))</f>
        <v>0</v>
      </c>
      <c r="AM126" s="108" t="n">
        <f aca="false">IF(A126="",0,SUMIF(tbl_Donateurs_Demandes[ID Donateur],A126,tbl_Donateurs_Demandes[Montant demande]))</f>
        <v>0</v>
      </c>
      <c r="AN126" s="108" t="n">
        <f aca="false">IF(A126="",0,SUMIF(tbl_Donateurs_Demandes[ID Donateur],A126,tbl_Donateurs_Demandes[Montant accorde]))</f>
        <v>0</v>
      </c>
      <c r="AO126" s="108" t="n">
        <f aca="false">IF(A126="",0,SUMIF(tbl_Donateurs_Decaissements[ID Donateur],A126,tbl_Donateurs_Decaissements[Montant recu]))</f>
        <v>0</v>
      </c>
      <c r="AP126" s="109" t="str">
        <f aca="false">IFERROR(AL126/AK126,"")</f>
        <v/>
      </c>
      <c r="AQ126" s="107" t="n">
        <f aca="false">IF(A126="",0,COUNTIF(tbl_Donateurs_Contacts[ID Donateur],A126))</f>
        <v>0</v>
      </c>
      <c r="AR126" s="107" t="n">
        <f aca="false">IF(A126="",0,COUNTIF(tbl_Donateurs_Documents[ID Donateur],A126))</f>
        <v>0</v>
      </c>
      <c r="AS126" s="107" t="n">
        <f aca="false">IF(A126="",0,COUNTIF(tbl_Donateurs_Conventions[ID Donateur],A126))</f>
        <v>0</v>
      </c>
      <c r="AT126" s="115" t="n">
        <f aca="false">IFERROR(_xlfn.MAXIFS(tbl_Donateurs_Decaissements[Date recue],tbl_Donateurs_Decaissements[ID Donateur],A126),"")</f>
        <v>0</v>
      </c>
      <c r="AU126" s="108" t="str">
        <f aca="false">IFERROR(AN126/AL126,"")</f>
        <v/>
      </c>
      <c r="AV126" s="107" t="str">
        <f aca="true">IF(A126="","",IF(OR(AB126="A relancer",AND(AF126&lt;&gt;"",AF126&lt;=TODAY())),"OUI","NON"))</f>
        <v/>
      </c>
      <c r="AW126" s="107" t="str">
        <f aca="false">IF(B126="","",IF(OR(COUNTIF($B$56:$B$205,B126)&gt;1,AND(D126&lt;&gt;"",COUNTIF($D$56:$D$205,D126)&gt;1),AND(K126&lt;&gt;"",COUNTIF($K$56:$K$205,K126)&gt;1),AND(L126&lt;&gt;"",COUNTIF($L$56:$L$205,L126)&gt;1)),"OUI","NON"))</f>
        <v/>
      </c>
      <c r="AX126" s="113"/>
    </row>
    <row r="127" customFormat="false" ht="15" hidden="false" customHeight="true" outlineLevel="0" collapsed="false">
      <c r="A127" s="107" t="str">
        <f aca="false">IF(B127="","","DON"&amp;TEXT(ROW()-55,"00000"))</f>
        <v/>
      </c>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07" t="str">
        <f aca="false">IFERROR(INDEX(PARAMETRES!$B$536:$B$586,MATCH(X127,PARAMETRES!$J$536:$J$586,0)),"")</f>
        <v/>
      </c>
      <c r="Z127" s="107" t="str">
        <f aca="false">IFERROR(INDEX(PARAMETRES!$D$536:$D$586,MATCH(X127,PARAMETRES!$J$536:$J$586,0)),"")</f>
        <v/>
      </c>
      <c r="AA127" s="107" t="str">
        <f aca="false">IFERROR(INDEX(PARAMETRES!$F$536:$F$586,MATCH(X127,PARAMETRES!$J$536:$J$586,0)),"")</f>
        <v/>
      </c>
      <c r="AB127" s="113"/>
      <c r="AC127" s="114"/>
      <c r="AD127" s="113"/>
      <c r="AE127" s="114"/>
      <c r="AF127" s="114"/>
      <c r="AG127" s="113"/>
      <c r="AH127" s="113"/>
      <c r="AI127" s="107" t="n">
        <f aca="false">IF(A127="",0,COUNTIF(tbl_Donateurs_Opportunites[ID Donateur],A127))</f>
        <v>0</v>
      </c>
      <c r="AJ127" s="107" t="n">
        <f aca="false">IF(A127="",0,COUNTIFS(tbl_Donateurs_Opportunites[ID Donateur],A127,tbl_Donateurs_Opportunites[Statut],"Ouverte"))</f>
        <v>0</v>
      </c>
      <c r="AK127" s="107" t="n">
        <f aca="false">IF(A127="",0,COUNTIF(tbl_Donateurs_Demandes[ID Donateur],A127))</f>
        <v>0</v>
      </c>
      <c r="AL127" s="107" t="n">
        <f aca="false">IF(A127="",0,COUNTIFS(tbl_Donateurs_Demandes[ID Donateur],A127,tbl_Donateurs_Demandes[Statut],"Approuvee")+COUNTIFS(tbl_Donateurs_Demandes[ID Donateur],A127,tbl_Donateurs_Demandes[Statut],"Financement recu"))</f>
        <v>0</v>
      </c>
      <c r="AM127" s="108" t="n">
        <f aca="false">IF(A127="",0,SUMIF(tbl_Donateurs_Demandes[ID Donateur],A127,tbl_Donateurs_Demandes[Montant demande]))</f>
        <v>0</v>
      </c>
      <c r="AN127" s="108" t="n">
        <f aca="false">IF(A127="",0,SUMIF(tbl_Donateurs_Demandes[ID Donateur],A127,tbl_Donateurs_Demandes[Montant accorde]))</f>
        <v>0</v>
      </c>
      <c r="AO127" s="108" t="n">
        <f aca="false">IF(A127="",0,SUMIF(tbl_Donateurs_Decaissements[ID Donateur],A127,tbl_Donateurs_Decaissements[Montant recu]))</f>
        <v>0</v>
      </c>
      <c r="AP127" s="109" t="str">
        <f aca="false">IFERROR(AL127/AK127,"")</f>
        <v/>
      </c>
      <c r="AQ127" s="107" t="n">
        <f aca="false">IF(A127="",0,COUNTIF(tbl_Donateurs_Contacts[ID Donateur],A127))</f>
        <v>0</v>
      </c>
      <c r="AR127" s="107" t="n">
        <f aca="false">IF(A127="",0,COUNTIF(tbl_Donateurs_Documents[ID Donateur],A127))</f>
        <v>0</v>
      </c>
      <c r="AS127" s="107" t="n">
        <f aca="false">IF(A127="",0,COUNTIF(tbl_Donateurs_Conventions[ID Donateur],A127))</f>
        <v>0</v>
      </c>
      <c r="AT127" s="115" t="n">
        <f aca="false">IFERROR(_xlfn.MAXIFS(tbl_Donateurs_Decaissements[Date recue],tbl_Donateurs_Decaissements[ID Donateur],A127),"")</f>
        <v>0</v>
      </c>
      <c r="AU127" s="108" t="str">
        <f aca="false">IFERROR(AN127/AL127,"")</f>
        <v/>
      </c>
      <c r="AV127" s="107" t="str">
        <f aca="true">IF(A127="","",IF(OR(AB127="A relancer",AND(AF127&lt;&gt;"",AF127&lt;=TODAY())),"OUI","NON"))</f>
        <v/>
      </c>
      <c r="AW127" s="107" t="str">
        <f aca="false">IF(B127="","",IF(OR(COUNTIF($B$56:$B$205,B127)&gt;1,AND(D127&lt;&gt;"",COUNTIF($D$56:$D$205,D127)&gt;1),AND(K127&lt;&gt;"",COUNTIF($K$56:$K$205,K127)&gt;1),AND(L127&lt;&gt;"",COUNTIF($L$56:$L$205,L127)&gt;1)),"OUI","NON"))</f>
        <v/>
      </c>
      <c r="AX127" s="113"/>
    </row>
    <row r="128" customFormat="false" ht="15" hidden="false" customHeight="true" outlineLevel="0" collapsed="false">
      <c r="A128" s="107" t="str">
        <f aca="false">IF(B128="","","DON"&amp;TEXT(ROW()-55,"00000"))</f>
        <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07" t="str">
        <f aca="false">IFERROR(INDEX(PARAMETRES!$B$536:$B$586,MATCH(X128,PARAMETRES!$J$536:$J$586,0)),"")</f>
        <v/>
      </c>
      <c r="Z128" s="107" t="str">
        <f aca="false">IFERROR(INDEX(PARAMETRES!$D$536:$D$586,MATCH(X128,PARAMETRES!$J$536:$J$586,0)),"")</f>
        <v/>
      </c>
      <c r="AA128" s="107" t="str">
        <f aca="false">IFERROR(INDEX(PARAMETRES!$F$536:$F$586,MATCH(X128,PARAMETRES!$J$536:$J$586,0)),"")</f>
        <v/>
      </c>
      <c r="AB128" s="113"/>
      <c r="AC128" s="114"/>
      <c r="AD128" s="113"/>
      <c r="AE128" s="114"/>
      <c r="AF128" s="114"/>
      <c r="AG128" s="113"/>
      <c r="AH128" s="113"/>
      <c r="AI128" s="107" t="n">
        <f aca="false">IF(A128="",0,COUNTIF(tbl_Donateurs_Opportunites[ID Donateur],A128))</f>
        <v>0</v>
      </c>
      <c r="AJ128" s="107" t="n">
        <f aca="false">IF(A128="",0,COUNTIFS(tbl_Donateurs_Opportunites[ID Donateur],A128,tbl_Donateurs_Opportunites[Statut],"Ouverte"))</f>
        <v>0</v>
      </c>
      <c r="AK128" s="107" t="n">
        <f aca="false">IF(A128="",0,COUNTIF(tbl_Donateurs_Demandes[ID Donateur],A128))</f>
        <v>0</v>
      </c>
      <c r="AL128" s="107" t="n">
        <f aca="false">IF(A128="",0,COUNTIFS(tbl_Donateurs_Demandes[ID Donateur],A128,tbl_Donateurs_Demandes[Statut],"Approuvee")+COUNTIFS(tbl_Donateurs_Demandes[ID Donateur],A128,tbl_Donateurs_Demandes[Statut],"Financement recu"))</f>
        <v>0</v>
      </c>
      <c r="AM128" s="108" t="n">
        <f aca="false">IF(A128="",0,SUMIF(tbl_Donateurs_Demandes[ID Donateur],A128,tbl_Donateurs_Demandes[Montant demande]))</f>
        <v>0</v>
      </c>
      <c r="AN128" s="108" t="n">
        <f aca="false">IF(A128="",0,SUMIF(tbl_Donateurs_Demandes[ID Donateur],A128,tbl_Donateurs_Demandes[Montant accorde]))</f>
        <v>0</v>
      </c>
      <c r="AO128" s="108" t="n">
        <f aca="false">IF(A128="",0,SUMIF(tbl_Donateurs_Decaissements[ID Donateur],A128,tbl_Donateurs_Decaissements[Montant recu]))</f>
        <v>0</v>
      </c>
      <c r="AP128" s="109" t="str">
        <f aca="false">IFERROR(AL128/AK128,"")</f>
        <v/>
      </c>
      <c r="AQ128" s="107" t="n">
        <f aca="false">IF(A128="",0,COUNTIF(tbl_Donateurs_Contacts[ID Donateur],A128))</f>
        <v>0</v>
      </c>
      <c r="AR128" s="107" t="n">
        <f aca="false">IF(A128="",0,COUNTIF(tbl_Donateurs_Documents[ID Donateur],A128))</f>
        <v>0</v>
      </c>
      <c r="AS128" s="107" t="n">
        <f aca="false">IF(A128="",0,COUNTIF(tbl_Donateurs_Conventions[ID Donateur],A128))</f>
        <v>0</v>
      </c>
      <c r="AT128" s="115" t="n">
        <f aca="false">IFERROR(_xlfn.MAXIFS(tbl_Donateurs_Decaissements[Date recue],tbl_Donateurs_Decaissements[ID Donateur],A128),"")</f>
        <v>0</v>
      </c>
      <c r="AU128" s="108" t="str">
        <f aca="false">IFERROR(AN128/AL128,"")</f>
        <v/>
      </c>
      <c r="AV128" s="107" t="str">
        <f aca="true">IF(A128="","",IF(OR(AB128="A relancer",AND(AF128&lt;&gt;"",AF128&lt;=TODAY())),"OUI","NON"))</f>
        <v/>
      </c>
      <c r="AW128" s="107" t="str">
        <f aca="false">IF(B128="","",IF(OR(COUNTIF($B$56:$B$205,B128)&gt;1,AND(D128&lt;&gt;"",COUNTIF($D$56:$D$205,D128)&gt;1),AND(K128&lt;&gt;"",COUNTIF($K$56:$K$205,K128)&gt;1),AND(L128&lt;&gt;"",COUNTIF($L$56:$L$205,L128)&gt;1)),"OUI","NON"))</f>
        <v/>
      </c>
      <c r="AX128" s="113"/>
    </row>
    <row r="129" customFormat="false" ht="15" hidden="false" customHeight="true" outlineLevel="0" collapsed="false">
      <c r="A129" s="107" t="str">
        <f aca="false">IF(B129="","","DON"&amp;TEXT(ROW()-55,"00000"))</f>
        <v/>
      </c>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07" t="str">
        <f aca="false">IFERROR(INDEX(PARAMETRES!$B$536:$B$586,MATCH(X129,PARAMETRES!$J$536:$J$586,0)),"")</f>
        <v/>
      </c>
      <c r="Z129" s="107" t="str">
        <f aca="false">IFERROR(INDEX(PARAMETRES!$D$536:$D$586,MATCH(X129,PARAMETRES!$J$536:$J$586,0)),"")</f>
        <v/>
      </c>
      <c r="AA129" s="107" t="str">
        <f aca="false">IFERROR(INDEX(PARAMETRES!$F$536:$F$586,MATCH(X129,PARAMETRES!$J$536:$J$586,0)),"")</f>
        <v/>
      </c>
      <c r="AB129" s="113"/>
      <c r="AC129" s="114"/>
      <c r="AD129" s="113"/>
      <c r="AE129" s="114"/>
      <c r="AF129" s="114"/>
      <c r="AG129" s="113"/>
      <c r="AH129" s="113"/>
      <c r="AI129" s="107" t="n">
        <f aca="false">IF(A129="",0,COUNTIF(tbl_Donateurs_Opportunites[ID Donateur],A129))</f>
        <v>0</v>
      </c>
      <c r="AJ129" s="107" t="n">
        <f aca="false">IF(A129="",0,COUNTIFS(tbl_Donateurs_Opportunites[ID Donateur],A129,tbl_Donateurs_Opportunites[Statut],"Ouverte"))</f>
        <v>0</v>
      </c>
      <c r="AK129" s="107" t="n">
        <f aca="false">IF(A129="",0,COUNTIF(tbl_Donateurs_Demandes[ID Donateur],A129))</f>
        <v>0</v>
      </c>
      <c r="AL129" s="107" t="n">
        <f aca="false">IF(A129="",0,COUNTIFS(tbl_Donateurs_Demandes[ID Donateur],A129,tbl_Donateurs_Demandes[Statut],"Approuvee")+COUNTIFS(tbl_Donateurs_Demandes[ID Donateur],A129,tbl_Donateurs_Demandes[Statut],"Financement recu"))</f>
        <v>0</v>
      </c>
      <c r="AM129" s="108" t="n">
        <f aca="false">IF(A129="",0,SUMIF(tbl_Donateurs_Demandes[ID Donateur],A129,tbl_Donateurs_Demandes[Montant demande]))</f>
        <v>0</v>
      </c>
      <c r="AN129" s="108" t="n">
        <f aca="false">IF(A129="",0,SUMIF(tbl_Donateurs_Demandes[ID Donateur],A129,tbl_Donateurs_Demandes[Montant accorde]))</f>
        <v>0</v>
      </c>
      <c r="AO129" s="108" t="n">
        <f aca="false">IF(A129="",0,SUMIF(tbl_Donateurs_Decaissements[ID Donateur],A129,tbl_Donateurs_Decaissements[Montant recu]))</f>
        <v>0</v>
      </c>
      <c r="AP129" s="109" t="str">
        <f aca="false">IFERROR(AL129/AK129,"")</f>
        <v/>
      </c>
      <c r="AQ129" s="107" t="n">
        <f aca="false">IF(A129="",0,COUNTIF(tbl_Donateurs_Contacts[ID Donateur],A129))</f>
        <v>0</v>
      </c>
      <c r="AR129" s="107" t="n">
        <f aca="false">IF(A129="",0,COUNTIF(tbl_Donateurs_Documents[ID Donateur],A129))</f>
        <v>0</v>
      </c>
      <c r="AS129" s="107" t="n">
        <f aca="false">IF(A129="",0,COUNTIF(tbl_Donateurs_Conventions[ID Donateur],A129))</f>
        <v>0</v>
      </c>
      <c r="AT129" s="115" t="n">
        <f aca="false">IFERROR(_xlfn.MAXIFS(tbl_Donateurs_Decaissements[Date recue],tbl_Donateurs_Decaissements[ID Donateur],A129),"")</f>
        <v>0</v>
      </c>
      <c r="AU129" s="108" t="str">
        <f aca="false">IFERROR(AN129/AL129,"")</f>
        <v/>
      </c>
      <c r="AV129" s="107" t="str">
        <f aca="true">IF(A129="","",IF(OR(AB129="A relancer",AND(AF129&lt;&gt;"",AF129&lt;=TODAY())),"OUI","NON"))</f>
        <v/>
      </c>
      <c r="AW129" s="107" t="str">
        <f aca="false">IF(B129="","",IF(OR(COUNTIF($B$56:$B$205,B129)&gt;1,AND(D129&lt;&gt;"",COUNTIF($D$56:$D$205,D129)&gt;1),AND(K129&lt;&gt;"",COUNTIF($K$56:$K$205,K129)&gt;1),AND(L129&lt;&gt;"",COUNTIF($L$56:$L$205,L129)&gt;1)),"OUI","NON"))</f>
        <v/>
      </c>
      <c r="AX129" s="113"/>
    </row>
    <row r="130" customFormat="false" ht="15" hidden="false" customHeight="true" outlineLevel="0" collapsed="false">
      <c r="A130" s="107" t="str">
        <f aca="false">IF(B130="","","DON"&amp;TEXT(ROW()-55,"00000"))</f>
        <v/>
      </c>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07" t="str">
        <f aca="false">IFERROR(INDEX(PARAMETRES!$B$536:$B$586,MATCH(X130,PARAMETRES!$J$536:$J$586,0)),"")</f>
        <v/>
      </c>
      <c r="Z130" s="107" t="str">
        <f aca="false">IFERROR(INDEX(PARAMETRES!$D$536:$D$586,MATCH(X130,PARAMETRES!$J$536:$J$586,0)),"")</f>
        <v/>
      </c>
      <c r="AA130" s="107" t="str">
        <f aca="false">IFERROR(INDEX(PARAMETRES!$F$536:$F$586,MATCH(X130,PARAMETRES!$J$536:$J$586,0)),"")</f>
        <v/>
      </c>
      <c r="AB130" s="113"/>
      <c r="AC130" s="114"/>
      <c r="AD130" s="113"/>
      <c r="AE130" s="114"/>
      <c r="AF130" s="114"/>
      <c r="AG130" s="113"/>
      <c r="AH130" s="113"/>
      <c r="AI130" s="107" t="n">
        <f aca="false">IF(A130="",0,COUNTIF(tbl_Donateurs_Opportunites[ID Donateur],A130))</f>
        <v>0</v>
      </c>
      <c r="AJ130" s="107" t="n">
        <f aca="false">IF(A130="",0,COUNTIFS(tbl_Donateurs_Opportunites[ID Donateur],A130,tbl_Donateurs_Opportunites[Statut],"Ouverte"))</f>
        <v>0</v>
      </c>
      <c r="AK130" s="107" t="n">
        <f aca="false">IF(A130="",0,COUNTIF(tbl_Donateurs_Demandes[ID Donateur],A130))</f>
        <v>0</v>
      </c>
      <c r="AL130" s="107" t="n">
        <f aca="false">IF(A130="",0,COUNTIFS(tbl_Donateurs_Demandes[ID Donateur],A130,tbl_Donateurs_Demandes[Statut],"Approuvee")+COUNTIFS(tbl_Donateurs_Demandes[ID Donateur],A130,tbl_Donateurs_Demandes[Statut],"Financement recu"))</f>
        <v>0</v>
      </c>
      <c r="AM130" s="108" t="n">
        <f aca="false">IF(A130="",0,SUMIF(tbl_Donateurs_Demandes[ID Donateur],A130,tbl_Donateurs_Demandes[Montant demande]))</f>
        <v>0</v>
      </c>
      <c r="AN130" s="108" t="n">
        <f aca="false">IF(A130="",0,SUMIF(tbl_Donateurs_Demandes[ID Donateur],A130,tbl_Donateurs_Demandes[Montant accorde]))</f>
        <v>0</v>
      </c>
      <c r="AO130" s="108" t="n">
        <f aca="false">IF(A130="",0,SUMIF(tbl_Donateurs_Decaissements[ID Donateur],A130,tbl_Donateurs_Decaissements[Montant recu]))</f>
        <v>0</v>
      </c>
      <c r="AP130" s="109" t="str">
        <f aca="false">IFERROR(AL130/AK130,"")</f>
        <v/>
      </c>
      <c r="AQ130" s="107" t="n">
        <f aca="false">IF(A130="",0,COUNTIF(tbl_Donateurs_Contacts[ID Donateur],A130))</f>
        <v>0</v>
      </c>
      <c r="AR130" s="107" t="n">
        <f aca="false">IF(A130="",0,COUNTIF(tbl_Donateurs_Documents[ID Donateur],A130))</f>
        <v>0</v>
      </c>
      <c r="AS130" s="107" t="n">
        <f aca="false">IF(A130="",0,COUNTIF(tbl_Donateurs_Conventions[ID Donateur],A130))</f>
        <v>0</v>
      </c>
      <c r="AT130" s="115" t="n">
        <f aca="false">IFERROR(_xlfn.MAXIFS(tbl_Donateurs_Decaissements[Date recue],tbl_Donateurs_Decaissements[ID Donateur],A130),"")</f>
        <v>0</v>
      </c>
      <c r="AU130" s="108" t="str">
        <f aca="false">IFERROR(AN130/AL130,"")</f>
        <v/>
      </c>
      <c r="AV130" s="107" t="str">
        <f aca="true">IF(A130="","",IF(OR(AB130="A relancer",AND(AF130&lt;&gt;"",AF130&lt;=TODAY())),"OUI","NON"))</f>
        <v/>
      </c>
      <c r="AW130" s="107" t="str">
        <f aca="false">IF(B130="","",IF(OR(COUNTIF($B$56:$B$205,B130)&gt;1,AND(D130&lt;&gt;"",COUNTIF($D$56:$D$205,D130)&gt;1),AND(K130&lt;&gt;"",COUNTIF($K$56:$K$205,K130)&gt;1),AND(L130&lt;&gt;"",COUNTIF($L$56:$L$205,L130)&gt;1)),"OUI","NON"))</f>
        <v/>
      </c>
      <c r="AX130" s="113"/>
    </row>
    <row r="131" customFormat="false" ht="15" hidden="false" customHeight="true" outlineLevel="0" collapsed="false">
      <c r="A131" s="107" t="str">
        <f aca="false">IF(B131="","","DON"&amp;TEXT(ROW()-55,"00000"))</f>
        <v/>
      </c>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07" t="str">
        <f aca="false">IFERROR(INDEX(PARAMETRES!$B$536:$B$586,MATCH(X131,PARAMETRES!$J$536:$J$586,0)),"")</f>
        <v/>
      </c>
      <c r="Z131" s="107" t="str">
        <f aca="false">IFERROR(INDEX(PARAMETRES!$D$536:$D$586,MATCH(X131,PARAMETRES!$J$536:$J$586,0)),"")</f>
        <v/>
      </c>
      <c r="AA131" s="107" t="str">
        <f aca="false">IFERROR(INDEX(PARAMETRES!$F$536:$F$586,MATCH(X131,PARAMETRES!$J$536:$J$586,0)),"")</f>
        <v/>
      </c>
      <c r="AB131" s="113"/>
      <c r="AC131" s="114"/>
      <c r="AD131" s="113"/>
      <c r="AE131" s="114"/>
      <c r="AF131" s="114"/>
      <c r="AG131" s="113"/>
      <c r="AH131" s="113"/>
      <c r="AI131" s="107" t="n">
        <f aca="false">IF(A131="",0,COUNTIF(tbl_Donateurs_Opportunites[ID Donateur],A131))</f>
        <v>0</v>
      </c>
      <c r="AJ131" s="107" t="n">
        <f aca="false">IF(A131="",0,COUNTIFS(tbl_Donateurs_Opportunites[ID Donateur],A131,tbl_Donateurs_Opportunites[Statut],"Ouverte"))</f>
        <v>0</v>
      </c>
      <c r="AK131" s="107" t="n">
        <f aca="false">IF(A131="",0,COUNTIF(tbl_Donateurs_Demandes[ID Donateur],A131))</f>
        <v>0</v>
      </c>
      <c r="AL131" s="107" t="n">
        <f aca="false">IF(A131="",0,COUNTIFS(tbl_Donateurs_Demandes[ID Donateur],A131,tbl_Donateurs_Demandes[Statut],"Approuvee")+COUNTIFS(tbl_Donateurs_Demandes[ID Donateur],A131,tbl_Donateurs_Demandes[Statut],"Financement recu"))</f>
        <v>0</v>
      </c>
      <c r="AM131" s="108" t="n">
        <f aca="false">IF(A131="",0,SUMIF(tbl_Donateurs_Demandes[ID Donateur],A131,tbl_Donateurs_Demandes[Montant demande]))</f>
        <v>0</v>
      </c>
      <c r="AN131" s="108" t="n">
        <f aca="false">IF(A131="",0,SUMIF(tbl_Donateurs_Demandes[ID Donateur],A131,tbl_Donateurs_Demandes[Montant accorde]))</f>
        <v>0</v>
      </c>
      <c r="AO131" s="108" t="n">
        <f aca="false">IF(A131="",0,SUMIF(tbl_Donateurs_Decaissements[ID Donateur],A131,tbl_Donateurs_Decaissements[Montant recu]))</f>
        <v>0</v>
      </c>
      <c r="AP131" s="109" t="str">
        <f aca="false">IFERROR(AL131/AK131,"")</f>
        <v/>
      </c>
      <c r="AQ131" s="107" t="n">
        <f aca="false">IF(A131="",0,COUNTIF(tbl_Donateurs_Contacts[ID Donateur],A131))</f>
        <v>0</v>
      </c>
      <c r="AR131" s="107" t="n">
        <f aca="false">IF(A131="",0,COUNTIF(tbl_Donateurs_Documents[ID Donateur],A131))</f>
        <v>0</v>
      </c>
      <c r="AS131" s="107" t="n">
        <f aca="false">IF(A131="",0,COUNTIF(tbl_Donateurs_Conventions[ID Donateur],A131))</f>
        <v>0</v>
      </c>
      <c r="AT131" s="115" t="n">
        <f aca="false">IFERROR(_xlfn.MAXIFS(tbl_Donateurs_Decaissements[Date recue],tbl_Donateurs_Decaissements[ID Donateur],A131),"")</f>
        <v>0</v>
      </c>
      <c r="AU131" s="108" t="str">
        <f aca="false">IFERROR(AN131/AL131,"")</f>
        <v/>
      </c>
      <c r="AV131" s="107" t="str">
        <f aca="true">IF(A131="","",IF(OR(AB131="A relancer",AND(AF131&lt;&gt;"",AF131&lt;=TODAY())),"OUI","NON"))</f>
        <v/>
      </c>
      <c r="AW131" s="107" t="str">
        <f aca="false">IF(B131="","",IF(OR(COUNTIF($B$56:$B$205,B131)&gt;1,AND(D131&lt;&gt;"",COUNTIF($D$56:$D$205,D131)&gt;1),AND(K131&lt;&gt;"",COUNTIF($K$56:$K$205,K131)&gt;1),AND(L131&lt;&gt;"",COUNTIF($L$56:$L$205,L131)&gt;1)),"OUI","NON"))</f>
        <v/>
      </c>
      <c r="AX131" s="113"/>
    </row>
    <row r="132" customFormat="false" ht="15" hidden="false" customHeight="true" outlineLevel="0" collapsed="false">
      <c r="A132" s="107" t="str">
        <f aca="false">IF(B132="","","DON"&amp;TEXT(ROW()-55,"00000"))</f>
        <v/>
      </c>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07" t="str">
        <f aca="false">IFERROR(INDEX(PARAMETRES!$B$536:$B$586,MATCH(X132,PARAMETRES!$J$536:$J$586,0)),"")</f>
        <v/>
      </c>
      <c r="Z132" s="107" t="str">
        <f aca="false">IFERROR(INDEX(PARAMETRES!$D$536:$D$586,MATCH(X132,PARAMETRES!$J$536:$J$586,0)),"")</f>
        <v/>
      </c>
      <c r="AA132" s="107" t="str">
        <f aca="false">IFERROR(INDEX(PARAMETRES!$F$536:$F$586,MATCH(X132,PARAMETRES!$J$536:$J$586,0)),"")</f>
        <v/>
      </c>
      <c r="AB132" s="113"/>
      <c r="AC132" s="114"/>
      <c r="AD132" s="113"/>
      <c r="AE132" s="114"/>
      <c r="AF132" s="114"/>
      <c r="AG132" s="113"/>
      <c r="AH132" s="113"/>
      <c r="AI132" s="107" t="n">
        <f aca="false">IF(A132="",0,COUNTIF(tbl_Donateurs_Opportunites[ID Donateur],A132))</f>
        <v>0</v>
      </c>
      <c r="AJ132" s="107" t="n">
        <f aca="false">IF(A132="",0,COUNTIFS(tbl_Donateurs_Opportunites[ID Donateur],A132,tbl_Donateurs_Opportunites[Statut],"Ouverte"))</f>
        <v>0</v>
      </c>
      <c r="AK132" s="107" t="n">
        <f aca="false">IF(A132="",0,COUNTIF(tbl_Donateurs_Demandes[ID Donateur],A132))</f>
        <v>0</v>
      </c>
      <c r="AL132" s="107" t="n">
        <f aca="false">IF(A132="",0,COUNTIFS(tbl_Donateurs_Demandes[ID Donateur],A132,tbl_Donateurs_Demandes[Statut],"Approuvee")+COUNTIFS(tbl_Donateurs_Demandes[ID Donateur],A132,tbl_Donateurs_Demandes[Statut],"Financement recu"))</f>
        <v>0</v>
      </c>
      <c r="AM132" s="108" t="n">
        <f aca="false">IF(A132="",0,SUMIF(tbl_Donateurs_Demandes[ID Donateur],A132,tbl_Donateurs_Demandes[Montant demande]))</f>
        <v>0</v>
      </c>
      <c r="AN132" s="108" t="n">
        <f aca="false">IF(A132="",0,SUMIF(tbl_Donateurs_Demandes[ID Donateur],A132,tbl_Donateurs_Demandes[Montant accorde]))</f>
        <v>0</v>
      </c>
      <c r="AO132" s="108" t="n">
        <f aca="false">IF(A132="",0,SUMIF(tbl_Donateurs_Decaissements[ID Donateur],A132,tbl_Donateurs_Decaissements[Montant recu]))</f>
        <v>0</v>
      </c>
      <c r="AP132" s="109" t="str">
        <f aca="false">IFERROR(AL132/AK132,"")</f>
        <v/>
      </c>
      <c r="AQ132" s="107" t="n">
        <f aca="false">IF(A132="",0,COUNTIF(tbl_Donateurs_Contacts[ID Donateur],A132))</f>
        <v>0</v>
      </c>
      <c r="AR132" s="107" t="n">
        <f aca="false">IF(A132="",0,COUNTIF(tbl_Donateurs_Documents[ID Donateur],A132))</f>
        <v>0</v>
      </c>
      <c r="AS132" s="107" t="n">
        <f aca="false">IF(A132="",0,COUNTIF(tbl_Donateurs_Conventions[ID Donateur],A132))</f>
        <v>0</v>
      </c>
      <c r="AT132" s="115" t="n">
        <f aca="false">IFERROR(_xlfn.MAXIFS(tbl_Donateurs_Decaissements[Date recue],tbl_Donateurs_Decaissements[ID Donateur],A132),"")</f>
        <v>0</v>
      </c>
      <c r="AU132" s="108" t="str">
        <f aca="false">IFERROR(AN132/AL132,"")</f>
        <v/>
      </c>
      <c r="AV132" s="107" t="str">
        <f aca="true">IF(A132="","",IF(OR(AB132="A relancer",AND(AF132&lt;&gt;"",AF132&lt;=TODAY())),"OUI","NON"))</f>
        <v/>
      </c>
      <c r="AW132" s="107" t="str">
        <f aca="false">IF(B132="","",IF(OR(COUNTIF($B$56:$B$205,B132)&gt;1,AND(D132&lt;&gt;"",COUNTIF($D$56:$D$205,D132)&gt;1),AND(K132&lt;&gt;"",COUNTIF($K$56:$K$205,K132)&gt;1),AND(L132&lt;&gt;"",COUNTIF($L$56:$L$205,L132)&gt;1)),"OUI","NON"))</f>
        <v/>
      </c>
      <c r="AX132" s="113"/>
    </row>
    <row r="133" customFormat="false" ht="15" hidden="false" customHeight="true" outlineLevel="0" collapsed="false">
      <c r="A133" s="107" t="str">
        <f aca="false">IF(B133="","","DON"&amp;TEXT(ROW()-55,"00000"))</f>
        <v/>
      </c>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07" t="str">
        <f aca="false">IFERROR(INDEX(PARAMETRES!$B$536:$B$586,MATCH(X133,PARAMETRES!$J$536:$J$586,0)),"")</f>
        <v/>
      </c>
      <c r="Z133" s="107" t="str">
        <f aca="false">IFERROR(INDEX(PARAMETRES!$D$536:$D$586,MATCH(X133,PARAMETRES!$J$536:$J$586,0)),"")</f>
        <v/>
      </c>
      <c r="AA133" s="107" t="str">
        <f aca="false">IFERROR(INDEX(PARAMETRES!$F$536:$F$586,MATCH(X133,PARAMETRES!$J$536:$J$586,0)),"")</f>
        <v/>
      </c>
      <c r="AB133" s="113"/>
      <c r="AC133" s="114"/>
      <c r="AD133" s="113"/>
      <c r="AE133" s="114"/>
      <c r="AF133" s="114"/>
      <c r="AG133" s="113"/>
      <c r="AH133" s="113"/>
      <c r="AI133" s="107" t="n">
        <f aca="false">IF(A133="",0,COUNTIF(tbl_Donateurs_Opportunites[ID Donateur],A133))</f>
        <v>0</v>
      </c>
      <c r="AJ133" s="107" t="n">
        <f aca="false">IF(A133="",0,COUNTIFS(tbl_Donateurs_Opportunites[ID Donateur],A133,tbl_Donateurs_Opportunites[Statut],"Ouverte"))</f>
        <v>0</v>
      </c>
      <c r="AK133" s="107" t="n">
        <f aca="false">IF(A133="",0,COUNTIF(tbl_Donateurs_Demandes[ID Donateur],A133))</f>
        <v>0</v>
      </c>
      <c r="AL133" s="107" t="n">
        <f aca="false">IF(A133="",0,COUNTIFS(tbl_Donateurs_Demandes[ID Donateur],A133,tbl_Donateurs_Demandes[Statut],"Approuvee")+COUNTIFS(tbl_Donateurs_Demandes[ID Donateur],A133,tbl_Donateurs_Demandes[Statut],"Financement recu"))</f>
        <v>0</v>
      </c>
      <c r="AM133" s="108" t="n">
        <f aca="false">IF(A133="",0,SUMIF(tbl_Donateurs_Demandes[ID Donateur],A133,tbl_Donateurs_Demandes[Montant demande]))</f>
        <v>0</v>
      </c>
      <c r="AN133" s="108" t="n">
        <f aca="false">IF(A133="",0,SUMIF(tbl_Donateurs_Demandes[ID Donateur],A133,tbl_Donateurs_Demandes[Montant accorde]))</f>
        <v>0</v>
      </c>
      <c r="AO133" s="108" t="n">
        <f aca="false">IF(A133="",0,SUMIF(tbl_Donateurs_Decaissements[ID Donateur],A133,tbl_Donateurs_Decaissements[Montant recu]))</f>
        <v>0</v>
      </c>
      <c r="AP133" s="109" t="str">
        <f aca="false">IFERROR(AL133/AK133,"")</f>
        <v/>
      </c>
      <c r="AQ133" s="107" t="n">
        <f aca="false">IF(A133="",0,COUNTIF(tbl_Donateurs_Contacts[ID Donateur],A133))</f>
        <v>0</v>
      </c>
      <c r="AR133" s="107" t="n">
        <f aca="false">IF(A133="",0,COUNTIF(tbl_Donateurs_Documents[ID Donateur],A133))</f>
        <v>0</v>
      </c>
      <c r="AS133" s="107" t="n">
        <f aca="false">IF(A133="",0,COUNTIF(tbl_Donateurs_Conventions[ID Donateur],A133))</f>
        <v>0</v>
      </c>
      <c r="AT133" s="115" t="n">
        <f aca="false">IFERROR(_xlfn.MAXIFS(tbl_Donateurs_Decaissements[Date recue],tbl_Donateurs_Decaissements[ID Donateur],A133),"")</f>
        <v>0</v>
      </c>
      <c r="AU133" s="108" t="str">
        <f aca="false">IFERROR(AN133/AL133,"")</f>
        <v/>
      </c>
      <c r="AV133" s="107" t="str">
        <f aca="true">IF(A133="","",IF(OR(AB133="A relancer",AND(AF133&lt;&gt;"",AF133&lt;=TODAY())),"OUI","NON"))</f>
        <v/>
      </c>
      <c r="AW133" s="107" t="str">
        <f aca="false">IF(B133="","",IF(OR(COUNTIF($B$56:$B$205,B133)&gt;1,AND(D133&lt;&gt;"",COUNTIF($D$56:$D$205,D133)&gt;1),AND(K133&lt;&gt;"",COUNTIF($K$56:$K$205,K133)&gt;1),AND(L133&lt;&gt;"",COUNTIF($L$56:$L$205,L133)&gt;1)),"OUI","NON"))</f>
        <v/>
      </c>
      <c r="AX133" s="113"/>
    </row>
    <row r="134" customFormat="false" ht="15" hidden="false" customHeight="true" outlineLevel="0" collapsed="false">
      <c r="A134" s="107" t="str">
        <f aca="false">IF(B134="","","DON"&amp;TEXT(ROW()-55,"00000"))</f>
        <v/>
      </c>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07" t="str">
        <f aca="false">IFERROR(INDEX(PARAMETRES!$B$536:$B$586,MATCH(X134,PARAMETRES!$J$536:$J$586,0)),"")</f>
        <v/>
      </c>
      <c r="Z134" s="107" t="str">
        <f aca="false">IFERROR(INDEX(PARAMETRES!$D$536:$D$586,MATCH(X134,PARAMETRES!$J$536:$J$586,0)),"")</f>
        <v/>
      </c>
      <c r="AA134" s="107" t="str">
        <f aca="false">IFERROR(INDEX(PARAMETRES!$F$536:$F$586,MATCH(X134,PARAMETRES!$J$536:$J$586,0)),"")</f>
        <v/>
      </c>
      <c r="AB134" s="113"/>
      <c r="AC134" s="114"/>
      <c r="AD134" s="113"/>
      <c r="AE134" s="114"/>
      <c r="AF134" s="114"/>
      <c r="AG134" s="113"/>
      <c r="AH134" s="113"/>
      <c r="AI134" s="107" t="n">
        <f aca="false">IF(A134="",0,COUNTIF(tbl_Donateurs_Opportunites[ID Donateur],A134))</f>
        <v>0</v>
      </c>
      <c r="AJ134" s="107" t="n">
        <f aca="false">IF(A134="",0,COUNTIFS(tbl_Donateurs_Opportunites[ID Donateur],A134,tbl_Donateurs_Opportunites[Statut],"Ouverte"))</f>
        <v>0</v>
      </c>
      <c r="AK134" s="107" t="n">
        <f aca="false">IF(A134="",0,COUNTIF(tbl_Donateurs_Demandes[ID Donateur],A134))</f>
        <v>0</v>
      </c>
      <c r="AL134" s="107" t="n">
        <f aca="false">IF(A134="",0,COUNTIFS(tbl_Donateurs_Demandes[ID Donateur],A134,tbl_Donateurs_Demandes[Statut],"Approuvee")+COUNTIFS(tbl_Donateurs_Demandes[ID Donateur],A134,tbl_Donateurs_Demandes[Statut],"Financement recu"))</f>
        <v>0</v>
      </c>
      <c r="AM134" s="108" t="n">
        <f aca="false">IF(A134="",0,SUMIF(tbl_Donateurs_Demandes[ID Donateur],A134,tbl_Donateurs_Demandes[Montant demande]))</f>
        <v>0</v>
      </c>
      <c r="AN134" s="108" t="n">
        <f aca="false">IF(A134="",0,SUMIF(tbl_Donateurs_Demandes[ID Donateur],A134,tbl_Donateurs_Demandes[Montant accorde]))</f>
        <v>0</v>
      </c>
      <c r="AO134" s="108" t="n">
        <f aca="false">IF(A134="",0,SUMIF(tbl_Donateurs_Decaissements[ID Donateur],A134,tbl_Donateurs_Decaissements[Montant recu]))</f>
        <v>0</v>
      </c>
      <c r="AP134" s="109" t="str">
        <f aca="false">IFERROR(AL134/AK134,"")</f>
        <v/>
      </c>
      <c r="AQ134" s="107" t="n">
        <f aca="false">IF(A134="",0,COUNTIF(tbl_Donateurs_Contacts[ID Donateur],A134))</f>
        <v>0</v>
      </c>
      <c r="AR134" s="107" t="n">
        <f aca="false">IF(A134="",0,COUNTIF(tbl_Donateurs_Documents[ID Donateur],A134))</f>
        <v>0</v>
      </c>
      <c r="AS134" s="107" t="n">
        <f aca="false">IF(A134="",0,COUNTIF(tbl_Donateurs_Conventions[ID Donateur],A134))</f>
        <v>0</v>
      </c>
      <c r="AT134" s="115" t="n">
        <f aca="false">IFERROR(_xlfn.MAXIFS(tbl_Donateurs_Decaissements[Date recue],tbl_Donateurs_Decaissements[ID Donateur],A134),"")</f>
        <v>0</v>
      </c>
      <c r="AU134" s="108" t="str">
        <f aca="false">IFERROR(AN134/AL134,"")</f>
        <v/>
      </c>
      <c r="AV134" s="107" t="str">
        <f aca="true">IF(A134="","",IF(OR(AB134="A relancer",AND(AF134&lt;&gt;"",AF134&lt;=TODAY())),"OUI","NON"))</f>
        <v/>
      </c>
      <c r="AW134" s="107" t="str">
        <f aca="false">IF(B134="","",IF(OR(COUNTIF($B$56:$B$205,B134)&gt;1,AND(D134&lt;&gt;"",COUNTIF($D$56:$D$205,D134)&gt;1),AND(K134&lt;&gt;"",COUNTIF($K$56:$K$205,K134)&gt;1),AND(L134&lt;&gt;"",COUNTIF($L$56:$L$205,L134)&gt;1)),"OUI","NON"))</f>
        <v/>
      </c>
      <c r="AX134" s="113"/>
    </row>
    <row r="135" customFormat="false" ht="15" hidden="false" customHeight="true" outlineLevel="0" collapsed="false">
      <c r="A135" s="107" t="str">
        <f aca="false">IF(B135="","","DON"&amp;TEXT(ROW()-55,"00000"))</f>
        <v/>
      </c>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07" t="str">
        <f aca="false">IFERROR(INDEX(PARAMETRES!$B$536:$B$586,MATCH(X135,PARAMETRES!$J$536:$J$586,0)),"")</f>
        <v/>
      </c>
      <c r="Z135" s="107" t="str">
        <f aca="false">IFERROR(INDEX(PARAMETRES!$D$536:$D$586,MATCH(X135,PARAMETRES!$J$536:$J$586,0)),"")</f>
        <v/>
      </c>
      <c r="AA135" s="107" t="str">
        <f aca="false">IFERROR(INDEX(PARAMETRES!$F$536:$F$586,MATCH(X135,PARAMETRES!$J$536:$J$586,0)),"")</f>
        <v/>
      </c>
      <c r="AB135" s="113"/>
      <c r="AC135" s="114"/>
      <c r="AD135" s="113"/>
      <c r="AE135" s="114"/>
      <c r="AF135" s="114"/>
      <c r="AG135" s="113"/>
      <c r="AH135" s="113"/>
      <c r="AI135" s="107" t="n">
        <f aca="false">IF(A135="",0,COUNTIF(tbl_Donateurs_Opportunites[ID Donateur],A135))</f>
        <v>0</v>
      </c>
      <c r="AJ135" s="107" t="n">
        <f aca="false">IF(A135="",0,COUNTIFS(tbl_Donateurs_Opportunites[ID Donateur],A135,tbl_Donateurs_Opportunites[Statut],"Ouverte"))</f>
        <v>0</v>
      </c>
      <c r="AK135" s="107" t="n">
        <f aca="false">IF(A135="",0,COUNTIF(tbl_Donateurs_Demandes[ID Donateur],A135))</f>
        <v>0</v>
      </c>
      <c r="AL135" s="107" t="n">
        <f aca="false">IF(A135="",0,COUNTIFS(tbl_Donateurs_Demandes[ID Donateur],A135,tbl_Donateurs_Demandes[Statut],"Approuvee")+COUNTIFS(tbl_Donateurs_Demandes[ID Donateur],A135,tbl_Donateurs_Demandes[Statut],"Financement recu"))</f>
        <v>0</v>
      </c>
      <c r="AM135" s="108" t="n">
        <f aca="false">IF(A135="",0,SUMIF(tbl_Donateurs_Demandes[ID Donateur],A135,tbl_Donateurs_Demandes[Montant demande]))</f>
        <v>0</v>
      </c>
      <c r="AN135" s="108" t="n">
        <f aca="false">IF(A135="",0,SUMIF(tbl_Donateurs_Demandes[ID Donateur],A135,tbl_Donateurs_Demandes[Montant accorde]))</f>
        <v>0</v>
      </c>
      <c r="AO135" s="108" t="n">
        <f aca="false">IF(A135="",0,SUMIF(tbl_Donateurs_Decaissements[ID Donateur],A135,tbl_Donateurs_Decaissements[Montant recu]))</f>
        <v>0</v>
      </c>
      <c r="AP135" s="109" t="str">
        <f aca="false">IFERROR(AL135/AK135,"")</f>
        <v/>
      </c>
      <c r="AQ135" s="107" t="n">
        <f aca="false">IF(A135="",0,COUNTIF(tbl_Donateurs_Contacts[ID Donateur],A135))</f>
        <v>0</v>
      </c>
      <c r="AR135" s="107" t="n">
        <f aca="false">IF(A135="",0,COUNTIF(tbl_Donateurs_Documents[ID Donateur],A135))</f>
        <v>0</v>
      </c>
      <c r="AS135" s="107" t="n">
        <f aca="false">IF(A135="",0,COUNTIF(tbl_Donateurs_Conventions[ID Donateur],A135))</f>
        <v>0</v>
      </c>
      <c r="AT135" s="115" t="n">
        <f aca="false">IFERROR(_xlfn.MAXIFS(tbl_Donateurs_Decaissements[Date recue],tbl_Donateurs_Decaissements[ID Donateur],A135),"")</f>
        <v>0</v>
      </c>
      <c r="AU135" s="108" t="str">
        <f aca="false">IFERROR(AN135/AL135,"")</f>
        <v/>
      </c>
      <c r="AV135" s="107" t="str">
        <f aca="true">IF(A135="","",IF(OR(AB135="A relancer",AND(AF135&lt;&gt;"",AF135&lt;=TODAY())),"OUI","NON"))</f>
        <v/>
      </c>
      <c r="AW135" s="107" t="str">
        <f aca="false">IF(B135="","",IF(OR(COUNTIF($B$56:$B$205,B135)&gt;1,AND(D135&lt;&gt;"",COUNTIF($D$56:$D$205,D135)&gt;1),AND(K135&lt;&gt;"",COUNTIF($K$56:$K$205,K135)&gt;1),AND(L135&lt;&gt;"",COUNTIF($L$56:$L$205,L135)&gt;1)),"OUI","NON"))</f>
        <v/>
      </c>
      <c r="AX135" s="113"/>
    </row>
    <row r="136" customFormat="false" ht="15" hidden="false" customHeight="true" outlineLevel="0" collapsed="false">
      <c r="A136" s="107" t="str">
        <f aca="false">IF(B136="","","DON"&amp;TEXT(ROW()-55,"00000"))</f>
        <v/>
      </c>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07" t="str">
        <f aca="false">IFERROR(INDEX(PARAMETRES!$B$536:$B$586,MATCH(X136,PARAMETRES!$J$536:$J$586,0)),"")</f>
        <v/>
      </c>
      <c r="Z136" s="107" t="str">
        <f aca="false">IFERROR(INDEX(PARAMETRES!$D$536:$D$586,MATCH(X136,PARAMETRES!$J$536:$J$586,0)),"")</f>
        <v/>
      </c>
      <c r="AA136" s="107" t="str">
        <f aca="false">IFERROR(INDEX(PARAMETRES!$F$536:$F$586,MATCH(X136,PARAMETRES!$J$536:$J$586,0)),"")</f>
        <v/>
      </c>
      <c r="AB136" s="113"/>
      <c r="AC136" s="114"/>
      <c r="AD136" s="113"/>
      <c r="AE136" s="114"/>
      <c r="AF136" s="114"/>
      <c r="AG136" s="113"/>
      <c r="AH136" s="113"/>
      <c r="AI136" s="107" t="n">
        <f aca="false">IF(A136="",0,COUNTIF(tbl_Donateurs_Opportunites[ID Donateur],A136))</f>
        <v>0</v>
      </c>
      <c r="AJ136" s="107" t="n">
        <f aca="false">IF(A136="",0,COUNTIFS(tbl_Donateurs_Opportunites[ID Donateur],A136,tbl_Donateurs_Opportunites[Statut],"Ouverte"))</f>
        <v>0</v>
      </c>
      <c r="AK136" s="107" t="n">
        <f aca="false">IF(A136="",0,COUNTIF(tbl_Donateurs_Demandes[ID Donateur],A136))</f>
        <v>0</v>
      </c>
      <c r="AL136" s="107" t="n">
        <f aca="false">IF(A136="",0,COUNTIFS(tbl_Donateurs_Demandes[ID Donateur],A136,tbl_Donateurs_Demandes[Statut],"Approuvee")+COUNTIFS(tbl_Donateurs_Demandes[ID Donateur],A136,tbl_Donateurs_Demandes[Statut],"Financement recu"))</f>
        <v>0</v>
      </c>
      <c r="AM136" s="108" t="n">
        <f aca="false">IF(A136="",0,SUMIF(tbl_Donateurs_Demandes[ID Donateur],A136,tbl_Donateurs_Demandes[Montant demande]))</f>
        <v>0</v>
      </c>
      <c r="AN136" s="108" t="n">
        <f aca="false">IF(A136="",0,SUMIF(tbl_Donateurs_Demandes[ID Donateur],A136,tbl_Donateurs_Demandes[Montant accorde]))</f>
        <v>0</v>
      </c>
      <c r="AO136" s="108" t="n">
        <f aca="false">IF(A136="",0,SUMIF(tbl_Donateurs_Decaissements[ID Donateur],A136,tbl_Donateurs_Decaissements[Montant recu]))</f>
        <v>0</v>
      </c>
      <c r="AP136" s="109" t="str">
        <f aca="false">IFERROR(AL136/AK136,"")</f>
        <v/>
      </c>
      <c r="AQ136" s="107" t="n">
        <f aca="false">IF(A136="",0,COUNTIF(tbl_Donateurs_Contacts[ID Donateur],A136))</f>
        <v>0</v>
      </c>
      <c r="AR136" s="107" t="n">
        <f aca="false">IF(A136="",0,COUNTIF(tbl_Donateurs_Documents[ID Donateur],A136))</f>
        <v>0</v>
      </c>
      <c r="AS136" s="107" t="n">
        <f aca="false">IF(A136="",0,COUNTIF(tbl_Donateurs_Conventions[ID Donateur],A136))</f>
        <v>0</v>
      </c>
      <c r="AT136" s="115" t="n">
        <f aca="false">IFERROR(_xlfn.MAXIFS(tbl_Donateurs_Decaissements[Date recue],tbl_Donateurs_Decaissements[ID Donateur],A136),"")</f>
        <v>0</v>
      </c>
      <c r="AU136" s="108" t="str">
        <f aca="false">IFERROR(AN136/AL136,"")</f>
        <v/>
      </c>
      <c r="AV136" s="107" t="str">
        <f aca="true">IF(A136="","",IF(OR(AB136="A relancer",AND(AF136&lt;&gt;"",AF136&lt;=TODAY())),"OUI","NON"))</f>
        <v/>
      </c>
      <c r="AW136" s="107" t="str">
        <f aca="false">IF(B136="","",IF(OR(COUNTIF($B$56:$B$205,B136)&gt;1,AND(D136&lt;&gt;"",COUNTIF($D$56:$D$205,D136)&gt;1),AND(K136&lt;&gt;"",COUNTIF($K$56:$K$205,K136)&gt;1),AND(L136&lt;&gt;"",COUNTIF($L$56:$L$205,L136)&gt;1)),"OUI","NON"))</f>
        <v/>
      </c>
      <c r="AX136" s="113"/>
    </row>
    <row r="137" customFormat="false" ht="15" hidden="false" customHeight="true" outlineLevel="0" collapsed="false">
      <c r="A137" s="107" t="str">
        <f aca="false">IF(B137="","","DON"&amp;TEXT(ROW()-55,"00000"))</f>
        <v/>
      </c>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07" t="str">
        <f aca="false">IFERROR(INDEX(PARAMETRES!$B$536:$B$586,MATCH(X137,PARAMETRES!$J$536:$J$586,0)),"")</f>
        <v/>
      </c>
      <c r="Z137" s="107" t="str">
        <f aca="false">IFERROR(INDEX(PARAMETRES!$D$536:$D$586,MATCH(X137,PARAMETRES!$J$536:$J$586,0)),"")</f>
        <v/>
      </c>
      <c r="AA137" s="107" t="str">
        <f aca="false">IFERROR(INDEX(PARAMETRES!$F$536:$F$586,MATCH(X137,PARAMETRES!$J$536:$J$586,0)),"")</f>
        <v/>
      </c>
      <c r="AB137" s="113"/>
      <c r="AC137" s="114"/>
      <c r="AD137" s="113"/>
      <c r="AE137" s="114"/>
      <c r="AF137" s="114"/>
      <c r="AG137" s="113"/>
      <c r="AH137" s="113"/>
      <c r="AI137" s="107" t="n">
        <f aca="false">IF(A137="",0,COUNTIF(tbl_Donateurs_Opportunites[ID Donateur],A137))</f>
        <v>0</v>
      </c>
      <c r="AJ137" s="107" t="n">
        <f aca="false">IF(A137="",0,COUNTIFS(tbl_Donateurs_Opportunites[ID Donateur],A137,tbl_Donateurs_Opportunites[Statut],"Ouverte"))</f>
        <v>0</v>
      </c>
      <c r="AK137" s="107" t="n">
        <f aca="false">IF(A137="",0,COUNTIF(tbl_Donateurs_Demandes[ID Donateur],A137))</f>
        <v>0</v>
      </c>
      <c r="AL137" s="107" t="n">
        <f aca="false">IF(A137="",0,COUNTIFS(tbl_Donateurs_Demandes[ID Donateur],A137,tbl_Donateurs_Demandes[Statut],"Approuvee")+COUNTIFS(tbl_Donateurs_Demandes[ID Donateur],A137,tbl_Donateurs_Demandes[Statut],"Financement recu"))</f>
        <v>0</v>
      </c>
      <c r="AM137" s="108" t="n">
        <f aca="false">IF(A137="",0,SUMIF(tbl_Donateurs_Demandes[ID Donateur],A137,tbl_Donateurs_Demandes[Montant demande]))</f>
        <v>0</v>
      </c>
      <c r="AN137" s="108" t="n">
        <f aca="false">IF(A137="",0,SUMIF(tbl_Donateurs_Demandes[ID Donateur],A137,tbl_Donateurs_Demandes[Montant accorde]))</f>
        <v>0</v>
      </c>
      <c r="AO137" s="108" t="n">
        <f aca="false">IF(A137="",0,SUMIF(tbl_Donateurs_Decaissements[ID Donateur],A137,tbl_Donateurs_Decaissements[Montant recu]))</f>
        <v>0</v>
      </c>
      <c r="AP137" s="109" t="str">
        <f aca="false">IFERROR(AL137/AK137,"")</f>
        <v/>
      </c>
      <c r="AQ137" s="107" t="n">
        <f aca="false">IF(A137="",0,COUNTIF(tbl_Donateurs_Contacts[ID Donateur],A137))</f>
        <v>0</v>
      </c>
      <c r="AR137" s="107" t="n">
        <f aca="false">IF(A137="",0,COUNTIF(tbl_Donateurs_Documents[ID Donateur],A137))</f>
        <v>0</v>
      </c>
      <c r="AS137" s="107" t="n">
        <f aca="false">IF(A137="",0,COUNTIF(tbl_Donateurs_Conventions[ID Donateur],A137))</f>
        <v>0</v>
      </c>
      <c r="AT137" s="115" t="n">
        <f aca="false">IFERROR(_xlfn.MAXIFS(tbl_Donateurs_Decaissements[Date recue],tbl_Donateurs_Decaissements[ID Donateur],A137),"")</f>
        <v>0</v>
      </c>
      <c r="AU137" s="108" t="str">
        <f aca="false">IFERROR(AN137/AL137,"")</f>
        <v/>
      </c>
      <c r="AV137" s="107" t="str">
        <f aca="true">IF(A137="","",IF(OR(AB137="A relancer",AND(AF137&lt;&gt;"",AF137&lt;=TODAY())),"OUI","NON"))</f>
        <v/>
      </c>
      <c r="AW137" s="107" t="str">
        <f aca="false">IF(B137="","",IF(OR(COUNTIF($B$56:$B$205,B137)&gt;1,AND(D137&lt;&gt;"",COUNTIF($D$56:$D$205,D137)&gt;1),AND(K137&lt;&gt;"",COUNTIF($K$56:$K$205,K137)&gt;1),AND(L137&lt;&gt;"",COUNTIF($L$56:$L$205,L137)&gt;1)),"OUI","NON"))</f>
        <v/>
      </c>
      <c r="AX137" s="113"/>
    </row>
    <row r="138" customFormat="false" ht="15" hidden="false" customHeight="true" outlineLevel="0" collapsed="false">
      <c r="A138" s="107" t="str">
        <f aca="false">IF(B138="","","DON"&amp;TEXT(ROW()-55,"00000"))</f>
        <v/>
      </c>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07" t="str">
        <f aca="false">IFERROR(INDEX(PARAMETRES!$B$536:$B$586,MATCH(X138,PARAMETRES!$J$536:$J$586,0)),"")</f>
        <v/>
      </c>
      <c r="Z138" s="107" t="str">
        <f aca="false">IFERROR(INDEX(PARAMETRES!$D$536:$D$586,MATCH(X138,PARAMETRES!$J$536:$J$586,0)),"")</f>
        <v/>
      </c>
      <c r="AA138" s="107" t="str">
        <f aca="false">IFERROR(INDEX(PARAMETRES!$F$536:$F$586,MATCH(X138,PARAMETRES!$J$536:$J$586,0)),"")</f>
        <v/>
      </c>
      <c r="AB138" s="113"/>
      <c r="AC138" s="114"/>
      <c r="AD138" s="113"/>
      <c r="AE138" s="114"/>
      <c r="AF138" s="114"/>
      <c r="AG138" s="113"/>
      <c r="AH138" s="113"/>
      <c r="AI138" s="107" t="n">
        <f aca="false">IF(A138="",0,COUNTIF(tbl_Donateurs_Opportunites[ID Donateur],A138))</f>
        <v>0</v>
      </c>
      <c r="AJ138" s="107" t="n">
        <f aca="false">IF(A138="",0,COUNTIFS(tbl_Donateurs_Opportunites[ID Donateur],A138,tbl_Donateurs_Opportunites[Statut],"Ouverte"))</f>
        <v>0</v>
      </c>
      <c r="AK138" s="107" t="n">
        <f aca="false">IF(A138="",0,COUNTIF(tbl_Donateurs_Demandes[ID Donateur],A138))</f>
        <v>0</v>
      </c>
      <c r="AL138" s="107" t="n">
        <f aca="false">IF(A138="",0,COUNTIFS(tbl_Donateurs_Demandes[ID Donateur],A138,tbl_Donateurs_Demandes[Statut],"Approuvee")+COUNTIFS(tbl_Donateurs_Demandes[ID Donateur],A138,tbl_Donateurs_Demandes[Statut],"Financement recu"))</f>
        <v>0</v>
      </c>
      <c r="AM138" s="108" t="n">
        <f aca="false">IF(A138="",0,SUMIF(tbl_Donateurs_Demandes[ID Donateur],A138,tbl_Donateurs_Demandes[Montant demande]))</f>
        <v>0</v>
      </c>
      <c r="AN138" s="108" t="n">
        <f aca="false">IF(A138="",0,SUMIF(tbl_Donateurs_Demandes[ID Donateur],A138,tbl_Donateurs_Demandes[Montant accorde]))</f>
        <v>0</v>
      </c>
      <c r="AO138" s="108" t="n">
        <f aca="false">IF(A138="",0,SUMIF(tbl_Donateurs_Decaissements[ID Donateur],A138,tbl_Donateurs_Decaissements[Montant recu]))</f>
        <v>0</v>
      </c>
      <c r="AP138" s="109" t="str">
        <f aca="false">IFERROR(AL138/AK138,"")</f>
        <v/>
      </c>
      <c r="AQ138" s="107" t="n">
        <f aca="false">IF(A138="",0,COUNTIF(tbl_Donateurs_Contacts[ID Donateur],A138))</f>
        <v>0</v>
      </c>
      <c r="AR138" s="107" t="n">
        <f aca="false">IF(A138="",0,COUNTIF(tbl_Donateurs_Documents[ID Donateur],A138))</f>
        <v>0</v>
      </c>
      <c r="AS138" s="107" t="n">
        <f aca="false">IF(A138="",0,COUNTIF(tbl_Donateurs_Conventions[ID Donateur],A138))</f>
        <v>0</v>
      </c>
      <c r="AT138" s="115" t="n">
        <f aca="false">IFERROR(_xlfn.MAXIFS(tbl_Donateurs_Decaissements[Date recue],tbl_Donateurs_Decaissements[ID Donateur],A138),"")</f>
        <v>0</v>
      </c>
      <c r="AU138" s="108" t="str">
        <f aca="false">IFERROR(AN138/AL138,"")</f>
        <v/>
      </c>
      <c r="AV138" s="107" t="str">
        <f aca="true">IF(A138="","",IF(OR(AB138="A relancer",AND(AF138&lt;&gt;"",AF138&lt;=TODAY())),"OUI","NON"))</f>
        <v/>
      </c>
      <c r="AW138" s="107" t="str">
        <f aca="false">IF(B138="","",IF(OR(COUNTIF($B$56:$B$205,B138)&gt;1,AND(D138&lt;&gt;"",COUNTIF($D$56:$D$205,D138)&gt;1),AND(K138&lt;&gt;"",COUNTIF($K$56:$K$205,K138)&gt;1),AND(L138&lt;&gt;"",COUNTIF($L$56:$L$205,L138)&gt;1)),"OUI","NON"))</f>
        <v/>
      </c>
      <c r="AX138" s="113"/>
    </row>
    <row r="139" customFormat="false" ht="15" hidden="false" customHeight="true" outlineLevel="0" collapsed="false">
      <c r="A139" s="107" t="str">
        <f aca="false">IF(B139="","","DON"&amp;TEXT(ROW()-55,"00000"))</f>
        <v/>
      </c>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07" t="str">
        <f aca="false">IFERROR(INDEX(PARAMETRES!$B$536:$B$586,MATCH(X139,PARAMETRES!$J$536:$J$586,0)),"")</f>
        <v/>
      </c>
      <c r="Z139" s="107" t="str">
        <f aca="false">IFERROR(INDEX(PARAMETRES!$D$536:$D$586,MATCH(X139,PARAMETRES!$J$536:$J$586,0)),"")</f>
        <v/>
      </c>
      <c r="AA139" s="107" t="str">
        <f aca="false">IFERROR(INDEX(PARAMETRES!$F$536:$F$586,MATCH(X139,PARAMETRES!$J$536:$J$586,0)),"")</f>
        <v/>
      </c>
      <c r="AB139" s="113"/>
      <c r="AC139" s="114"/>
      <c r="AD139" s="113"/>
      <c r="AE139" s="114"/>
      <c r="AF139" s="114"/>
      <c r="AG139" s="113"/>
      <c r="AH139" s="113"/>
      <c r="AI139" s="107" t="n">
        <f aca="false">IF(A139="",0,COUNTIF(tbl_Donateurs_Opportunites[ID Donateur],A139))</f>
        <v>0</v>
      </c>
      <c r="AJ139" s="107" t="n">
        <f aca="false">IF(A139="",0,COUNTIFS(tbl_Donateurs_Opportunites[ID Donateur],A139,tbl_Donateurs_Opportunites[Statut],"Ouverte"))</f>
        <v>0</v>
      </c>
      <c r="AK139" s="107" t="n">
        <f aca="false">IF(A139="",0,COUNTIF(tbl_Donateurs_Demandes[ID Donateur],A139))</f>
        <v>0</v>
      </c>
      <c r="AL139" s="107" t="n">
        <f aca="false">IF(A139="",0,COUNTIFS(tbl_Donateurs_Demandes[ID Donateur],A139,tbl_Donateurs_Demandes[Statut],"Approuvee")+COUNTIFS(tbl_Donateurs_Demandes[ID Donateur],A139,tbl_Donateurs_Demandes[Statut],"Financement recu"))</f>
        <v>0</v>
      </c>
      <c r="AM139" s="108" t="n">
        <f aca="false">IF(A139="",0,SUMIF(tbl_Donateurs_Demandes[ID Donateur],A139,tbl_Donateurs_Demandes[Montant demande]))</f>
        <v>0</v>
      </c>
      <c r="AN139" s="108" t="n">
        <f aca="false">IF(A139="",0,SUMIF(tbl_Donateurs_Demandes[ID Donateur],A139,tbl_Donateurs_Demandes[Montant accorde]))</f>
        <v>0</v>
      </c>
      <c r="AO139" s="108" t="n">
        <f aca="false">IF(A139="",0,SUMIF(tbl_Donateurs_Decaissements[ID Donateur],A139,tbl_Donateurs_Decaissements[Montant recu]))</f>
        <v>0</v>
      </c>
      <c r="AP139" s="109" t="str">
        <f aca="false">IFERROR(AL139/AK139,"")</f>
        <v/>
      </c>
      <c r="AQ139" s="107" t="n">
        <f aca="false">IF(A139="",0,COUNTIF(tbl_Donateurs_Contacts[ID Donateur],A139))</f>
        <v>0</v>
      </c>
      <c r="AR139" s="107" t="n">
        <f aca="false">IF(A139="",0,COUNTIF(tbl_Donateurs_Documents[ID Donateur],A139))</f>
        <v>0</v>
      </c>
      <c r="AS139" s="107" t="n">
        <f aca="false">IF(A139="",0,COUNTIF(tbl_Donateurs_Conventions[ID Donateur],A139))</f>
        <v>0</v>
      </c>
      <c r="AT139" s="115" t="n">
        <f aca="false">IFERROR(_xlfn.MAXIFS(tbl_Donateurs_Decaissements[Date recue],tbl_Donateurs_Decaissements[ID Donateur],A139),"")</f>
        <v>0</v>
      </c>
      <c r="AU139" s="108" t="str">
        <f aca="false">IFERROR(AN139/AL139,"")</f>
        <v/>
      </c>
      <c r="AV139" s="107" t="str">
        <f aca="true">IF(A139="","",IF(OR(AB139="A relancer",AND(AF139&lt;&gt;"",AF139&lt;=TODAY())),"OUI","NON"))</f>
        <v/>
      </c>
      <c r="AW139" s="107" t="str">
        <f aca="false">IF(B139="","",IF(OR(COUNTIF($B$56:$B$205,B139)&gt;1,AND(D139&lt;&gt;"",COUNTIF($D$56:$D$205,D139)&gt;1),AND(K139&lt;&gt;"",COUNTIF($K$56:$K$205,K139)&gt;1),AND(L139&lt;&gt;"",COUNTIF($L$56:$L$205,L139)&gt;1)),"OUI","NON"))</f>
        <v/>
      </c>
      <c r="AX139" s="113"/>
    </row>
    <row r="140" customFormat="false" ht="15" hidden="false" customHeight="true" outlineLevel="0" collapsed="false">
      <c r="A140" s="107" t="str">
        <f aca="false">IF(B140="","","DON"&amp;TEXT(ROW()-55,"00000"))</f>
        <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07" t="str">
        <f aca="false">IFERROR(INDEX(PARAMETRES!$B$536:$B$586,MATCH(X140,PARAMETRES!$J$536:$J$586,0)),"")</f>
        <v/>
      </c>
      <c r="Z140" s="107" t="str">
        <f aca="false">IFERROR(INDEX(PARAMETRES!$D$536:$D$586,MATCH(X140,PARAMETRES!$J$536:$J$586,0)),"")</f>
        <v/>
      </c>
      <c r="AA140" s="107" t="str">
        <f aca="false">IFERROR(INDEX(PARAMETRES!$F$536:$F$586,MATCH(X140,PARAMETRES!$J$536:$J$586,0)),"")</f>
        <v/>
      </c>
      <c r="AB140" s="113"/>
      <c r="AC140" s="114"/>
      <c r="AD140" s="113"/>
      <c r="AE140" s="114"/>
      <c r="AF140" s="114"/>
      <c r="AG140" s="113"/>
      <c r="AH140" s="113"/>
      <c r="AI140" s="107" t="n">
        <f aca="false">IF(A140="",0,COUNTIF(tbl_Donateurs_Opportunites[ID Donateur],A140))</f>
        <v>0</v>
      </c>
      <c r="AJ140" s="107" t="n">
        <f aca="false">IF(A140="",0,COUNTIFS(tbl_Donateurs_Opportunites[ID Donateur],A140,tbl_Donateurs_Opportunites[Statut],"Ouverte"))</f>
        <v>0</v>
      </c>
      <c r="AK140" s="107" t="n">
        <f aca="false">IF(A140="",0,COUNTIF(tbl_Donateurs_Demandes[ID Donateur],A140))</f>
        <v>0</v>
      </c>
      <c r="AL140" s="107" t="n">
        <f aca="false">IF(A140="",0,COUNTIFS(tbl_Donateurs_Demandes[ID Donateur],A140,tbl_Donateurs_Demandes[Statut],"Approuvee")+COUNTIFS(tbl_Donateurs_Demandes[ID Donateur],A140,tbl_Donateurs_Demandes[Statut],"Financement recu"))</f>
        <v>0</v>
      </c>
      <c r="AM140" s="108" t="n">
        <f aca="false">IF(A140="",0,SUMIF(tbl_Donateurs_Demandes[ID Donateur],A140,tbl_Donateurs_Demandes[Montant demande]))</f>
        <v>0</v>
      </c>
      <c r="AN140" s="108" t="n">
        <f aca="false">IF(A140="",0,SUMIF(tbl_Donateurs_Demandes[ID Donateur],A140,tbl_Donateurs_Demandes[Montant accorde]))</f>
        <v>0</v>
      </c>
      <c r="AO140" s="108" t="n">
        <f aca="false">IF(A140="",0,SUMIF(tbl_Donateurs_Decaissements[ID Donateur],A140,tbl_Donateurs_Decaissements[Montant recu]))</f>
        <v>0</v>
      </c>
      <c r="AP140" s="109" t="str">
        <f aca="false">IFERROR(AL140/AK140,"")</f>
        <v/>
      </c>
      <c r="AQ140" s="107" t="n">
        <f aca="false">IF(A140="",0,COUNTIF(tbl_Donateurs_Contacts[ID Donateur],A140))</f>
        <v>0</v>
      </c>
      <c r="AR140" s="107" t="n">
        <f aca="false">IF(A140="",0,COUNTIF(tbl_Donateurs_Documents[ID Donateur],A140))</f>
        <v>0</v>
      </c>
      <c r="AS140" s="107" t="n">
        <f aca="false">IF(A140="",0,COUNTIF(tbl_Donateurs_Conventions[ID Donateur],A140))</f>
        <v>0</v>
      </c>
      <c r="AT140" s="115" t="n">
        <f aca="false">IFERROR(_xlfn.MAXIFS(tbl_Donateurs_Decaissements[Date recue],tbl_Donateurs_Decaissements[ID Donateur],A140),"")</f>
        <v>0</v>
      </c>
      <c r="AU140" s="108" t="str">
        <f aca="false">IFERROR(AN140/AL140,"")</f>
        <v/>
      </c>
      <c r="AV140" s="107" t="str">
        <f aca="true">IF(A140="","",IF(OR(AB140="A relancer",AND(AF140&lt;&gt;"",AF140&lt;=TODAY())),"OUI","NON"))</f>
        <v/>
      </c>
      <c r="AW140" s="107" t="str">
        <f aca="false">IF(B140="","",IF(OR(COUNTIF($B$56:$B$205,B140)&gt;1,AND(D140&lt;&gt;"",COUNTIF($D$56:$D$205,D140)&gt;1),AND(K140&lt;&gt;"",COUNTIF($K$56:$K$205,K140)&gt;1),AND(L140&lt;&gt;"",COUNTIF($L$56:$L$205,L140)&gt;1)),"OUI","NON"))</f>
        <v/>
      </c>
      <c r="AX140" s="113"/>
    </row>
    <row r="141" customFormat="false" ht="15" hidden="false" customHeight="true" outlineLevel="0" collapsed="false">
      <c r="A141" s="107" t="str">
        <f aca="false">IF(B141="","","DON"&amp;TEXT(ROW()-55,"00000"))</f>
        <v/>
      </c>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07" t="str">
        <f aca="false">IFERROR(INDEX(PARAMETRES!$B$536:$B$586,MATCH(X141,PARAMETRES!$J$536:$J$586,0)),"")</f>
        <v/>
      </c>
      <c r="Z141" s="107" t="str">
        <f aca="false">IFERROR(INDEX(PARAMETRES!$D$536:$D$586,MATCH(X141,PARAMETRES!$J$536:$J$586,0)),"")</f>
        <v/>
      </c>
      <c r="AA141" s="107" t="str">
        <f aca="false">IFERROR(INDEX(PARAMETRES!$F$536:$F$586,MATCH(X141,PARAMETRES!$J$536:$J$586,0)),"")</f>
        <v/>
      </c>
      <c r="AB141" s="113"/>
      <c r="AC141" s="114"/>
      <c r="AD141" s="113"/>
      <c r="AE141" s="114"/>
      <c r="AF141" s="114"/>
      <c r="AG141" s="113"/>
      <c r="AH141" s="113"/>
      <c r="AI141" s="107" t="n">
        <f aca="false">IF(A141="",0,COUNTIF(tbl_Donateurs_Opportunites[ID Donateur],A141))</f>
        <v>0</v>
      </c>
      <c r="AJ141" s="107" t="n">
        <f aca="false">IF(A141="",0,COUNTIFS(tbl_Donateurs_Opportunites[ID Donateur],A141,tbl_Donateurs_Opportunites[Statut],"Ouverte"))</f>
        <v>0</v>
      </c>
      <c r="AK141" s="107" t="n">
        <f aca="false">IF(A141="",0,COUNTIF(tbl_Donateurs_Demandes[ID Donateur],A141))</f>
        <v>0</v>
      </c>
      <c r="AL141" s="107" t="n">
        <f aca="false">IF(A141="",0,COUNTIFS(tbl_Donateurs_Demandes[ID Donateur],A141,tbl_Donateurs_Demandes[Statut],"Approuvee")+COUNTIFS(tbl_Donateurs_Demandes[ID Donateur],A141,tbl_Donateurs_Demandes[Statut],"Financement recu"))</f>
        <v>0</v>
      </c>
      <c r="AM141" s="108" t="n">
        <f aca="false">IF(A141="",0,SUMIF(tbl_Donateurs_Demandes[ID Donateur],A141,tbl_Donateurs_Demandes[Montant demande]))</f>
        <v>0</v>
      </c>
      <c r="AN141" s="108" t="n">
        <f aca="false">IF(A141="",0,SUMIF(tbl_Donateurs_Demandes[ID Donateur],A141,tbl_Donateurs_Demandes[Montant accorde]))</f>
        <v>0</v>
      </c>
      <c r="AO141" s="108" t="n">
        <f aca="false">IF(A141="",0,SUMIF(tbl_Donateurs_Decaissements[ID Donateur],A141,tbl_Donateurs_Decaissements[Montant recu]))</f>
        <v>0</v>
      </c>
      <c r="AP141" s="109" t="str">
        <f aca="false">IFERROR(AL141/AK141,"")</f>
        <v/>
      </c>
      <c r="AQ141" s="107" t="n">
        <f aca="false">IF(A141="",0,COUNTIF(tbl_Donateurs_Contacts[ID Donateur],A141))</f>
        <v>0</v>
      </c>
      <c r="AR141" s="107" t="n">
        <f aca="false">IF(A141="",0,COUNTIF(tbl_Donateurs_Documents[ID Donateur],A141))</f>
        <v>0</v>
      </c>
      <c r="AS141" s="107" t="n">
        <f aca="false">IF(A141="",0,COUNTIF(tbl_Donateurs_Conventions[ID Donateur],A141))</f>
        <v>0</v>
      </c>
      <c r="AT141" s="115" t="n">
        <f aca="false">IFERROR(_xlfn.MAXIFS(tbl_Donateurs_Decaissements[Date recue],tbl_Donateurs_Decaissements[ID Donateur],A141),"")</f>
        <v>0</v>
      </c>
      <c r="AU141" s="108" t="str">
        <f aca="false">IFERROR(AN141/AL141,"")</f>
        <v/>
      </c>
      <c r="AV141" s="107" t="str">
        <f aca="true">IF(A141="","",IF(OR(AB141="A relancer",AND(AF141&lt;&gt;"",AF141&lt;=TODAY())),"OUI","NON"))</f>
        <v/>
      </c>
      <c r="AW141" s="107" t="str">
        <f aca="false">IF(B141="","",IF(OR(COUNTIF($B$56:$B$205,B141)&gt;1,AND(D141&lt;&gt;"",COUNTIF($D$56:$D$205,D141)&gt;1),AND(K141&lt;&gt;"",COUNTIF($K$56:$K$205,K141)&gt;1),AND(L141&lt;&gt;"",COUNTIF($L$56:$L$205,L141)&gt;1)),"OUI","NON"))</f>
        <v/>
      </c>
      <c r="AX141" s="113"/>
    </row>
    <row r="142" customFormat="false" ht="15" hidden="false" customHeight="true" outlineLevel="0" collapsed="false">
      <c r="A142" s="107" t="str">
        <f aca="false">IF(B142="","","DON"&amp;TEXT(ROW()-55,"00000"))</f>
        <v/>
      </c>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07" t="str">
        <f aca="false">IFERROR(INDEX(PARAMETRES!$B$536:$B$586,MATCH(X142,PARAMETRES!$J$536:$J$586,0)),"")</f>
        <v/>
      </c>
      <c r="Z142" s="107" t="str">
        <f aca="false">IFERROR(INDEX(PARAMETRES!$D$536:$D$586,MATCH(X142,PARAMETRES!$J$536:$J$586,0)),"")</f>
        <v/>
      </c>
      <c r="AA142" s="107" t="str">
        <f aca="false">IFERROR(INDEX(PARAMETRES!$F$536:$F$586,MATCH(X142,PARAMETRES!$J$536:$J$586,0)),"")</f>
        <v/>
      </c>
      <c r="AB142" s="113"/>
      <c r="AC142" s="114"/>
      <c r="AD142" s="113"/>
      <c r="AE142" s="114"/>
      <c r="AF142" s="114"/>
      <c r="AG142" s="113"/>
      <c r="AH142" s="113"/>
      <c r="AI142" s="107" t="n">
        <f aca="false">IF(A142="",0,COUNTIF(tbl_Donateurs_Opportunites[ID Donateur],A142))</f>
        <v>0</v>
      </c>
      <c r="AJ142" s="107" t="n">
        <f aca="false">IF(A142="",0,COUNTIFS(tbl_Donateurs_Opportunites[ID Donateur],A142,tbl_Donateurs_Opportunites[Statut],"Ouverte"))</f>
        <v>0</v>
      </c>
      <c r="AK142" s="107" t="n">
        <f aca="false">IF(A142="",0,COUNTIF(tbl_Donateurs_Demandes[ID Donateur],A142))</f>
        <v>0</v>
      </c>
      <c r="AL142" s="107" t="n">
        <f aca="false">IF(A142="",0,COUNTIFS(tbl_Donateurs_Demandes[ID Donateur],A142,tbl_Donateurs_Demandes[Statut],"Approuvee")+COUNTIFS(tbl_Donateurs_Demandes[ID Donateur],A142,tbl_Donateurs_Demandes[Statut],"Financement recu"))</f>
        <v>0</v>
      </c>
      <c r="AM142" s="108" t="n">
        <f aca="false">IF(A142="",0,SUMIF(tbl_Donateurs_Demandes[ID Donateur],A142,tbl_Donateurs_Demandes[Montant demande]))</f>
        <v>0</v>
      </c>
      <c r="AN142" s="108" t="n">
        <f aca="false">IF(A142="",0,SUMIF(tbl_Donateurs_Demandes[ID Donateur],A142,tbl_Donateurs_Demandes[Montant accorde]))</f>
        <v>0</v>
      </c>
      <c r="AO142" s="108" t="n">
        <f aca="false">IF(A142="",0,SUMIF(tbl_Donateurs_Decaissements[ID Donateur],A142,tbl_Donateurs_Decaissements[Montant recu]))</f>
        <v>0</v>
      </c>
      <c r="AP142" s="109" t="str">
        <f aca="false">IFERROR(AL142/AK142,"")</f>
        <v/>
      </c>
      <c r="AQ142" s="107" t="n">
        <f aca="false">IF(A142="",0,COUNTIF(tbl_Donateurs_Contacts[ID Donateur],A142))</f>
        <v>0</v>
      </c>
      <c r="AR142" s="107" t="n">
        <f aca="false">IF(A142="",0,COUNTIF(tbl_Donateurs_Documents[ID Donateur],A142))</f>
        <v>0</v>
      </c>
      <c r="AS142" s="107" t="n">
        <f aca="false">IF(A142="",0,COUNTIF(tbl_Donateurs_Conventions[ID Donateur],A142))</f>
        <v>0</v>
      </c>
      <c r="AT142" s="115" t="n">
        <f aca="false">IFERROR(_xlfn.MAXIFS(tbl_Donateurs_Decaissements[Date recue],tbl_Donateurs_Decaissements[ID Donateur],A142),"")</f>
        <v>0</v>
      </c>
      <c r="AU142" s="108" t="str">
        <f aca="false">IFERROR(AN142/AL142,"")</f>
        <v/>
      </c>
      <c r="AV142" s="107" t="str">
        <f aca="true">IF(A142="","",IF(OR(AB142="A relancer",AND(AF142&lt;&gt;"",AF142&lt;=TODAY())),"OUI","NON"))</f>
        <v/>
      </c>
      <c r="AW142" s="107" t="str">
        <f aca="false">IF(B142="","",IF(OR(COUNTIF($B$56:$B$205,B142)&gt;1,AND(D142&lt;&gt;"",COUNTIF($D$56:$D$205,D142)&gt;1),AND(K142&lt;&gt;"",COUNTIF($K$56:$K$205,K142)&gt;1),AND(L142&lt;&gt;"",COUNTIF($L$56:$L$205,L142)&gt;1)),"OUI","NON"))</f>
        <v/>
      </c>
      <c r="AX142" s="113"/>
    </row>
    <row r="143" customFormat="false" ht="15" hidden="false" customHeight="true" outlineLevel="0" collapsed="false">
      <c r="A143" s="107" t="str">
        <f aca="false">IF(B143="","","DON"&amp;TEXT(ROW()-55,"00000"))</f>
        <v/>
      </c>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07" t="str">
        <f aca="false">IFERROR(INDEX(PARAMETRES!$B$536:$B$586,MATCH(X143,PARAMETRES!$J$536:$J$586,0)),"")</f>
        <v/>
      </c>
      <c r="Z143" s="107" t="str">
        <f aca="false">IFERROR(INDEX(PARAMETRES!$D$536:$D$586,MATCH(X143,PARAMETRES!$J$536:$J$586,0)),"")</f>
        <v/>
      </c>
      <c r="AA143" s="107" t="str">
        <f aca="false">IFERROR(INDEX(PARAMETRES!$F$536:$F$586,MATCH(X143,PARAMETRES!$J$536:$J$586,0)),"")</f>
        <v/>
      </c>
      <c r="AB143" s="113"/>
      <c r="AC143" s="114"/>
      <c r="AD143" s="113"/>
      <c r="AE143" s="114"/>
      <c r="AF143" s="114"/>
      <c r="AG143" s="113"/>
      <c r="AH143" s="113"/>
      <c r="AI143" s="107" t="n">
        <f aca="false">IF(A143="",0,COUNTIF(tbl_Donateurs_Opportunites[ID Donateur],A143))</f>
        <v>0</v>
      </c>
      <c r="AJ143" s="107" t="n">
        <f aca="false">IF(A143="",0,COUNTIFS(tbl_Donateurs_Opportunites[ID Donateur],A143,tbl_Donateurs_Opportunites[Statut],"Ouverte"))</f>
        <v>0</v>
      </c>
      <c r="AK143" s="107" t="n">
        <f aca="false">IF(A143="",0,COUNTIF(tbl_Donateurs_Demandes[ID Donateur],A143))</f>
        <v>0</v>
      </c>
      <c r="AL143" s="107" t="n">
        <f aca="false">IF(A143="",0,COUNTIFS(tbl_Donateurs_Demandes[ID Donateur],A143,tbl_Donateurs_Demandes[Statut],"Approuvee")+COUNTIFS(tbl_Donateurs_Demandes[ID Donateur],A143,tbl_Donateurs_Demandes[Statut],"Financement recu"))</f>
        <v>0</v>
      </c>
      <c r="AM143" s="108" t="n">
        <f aca="false">IF(A143="",0,SUMIF(tbl_Donateurs_Demandes[ID Donateur],A143,tbl_Donateurs_Demandes[Montant demande]))</f>
        <v>0</v>
      </c>
      <c r="AN143" s="108" t="n">
        <f aca="false">IF(A143="",0,SUMIF(tbl_Donateurs_Demandes[ID Donateur],A143,tbl_Donateurs_Demandes[Montant accorde]))</f>
        <v>0</v>
      </c>
      <c r="AO143" s="108" t="n">
        <f aca="false">IF(A143="",0,SUMIF(tbl_Donateurs_Decaissements[ID Donateur],A143,tbl_Donateurs_Decaissements[Montant recu]))</f>
        <v>0</v>
      </c>
      <c r="AP143" s="109" t="str">
        <f aca="false">IFERROR(AL143/AK143,"")</f>
        <v/>
      </c>
      <c r="AQ143" s="107" t="n">
        <f aca="false">IF(A143="",0,COUNTIF(tbl_Donateurs_Contacts[ID Donateur],A143))</f>
        <v>0</v>
      </c>
      <c r="AR143" s="107" t="n">
        <f aca="false">IF(A143="",0,COUNTIF(tbl_Donateurs_Documents[ID Donateur],A143))</f>
        <v>0</v>
      </c>
      <c r="AS143" s="107" t="n">
        <f aca="false">IF(A143="",0,COUNTIF(tbl_Donateurs_Conventions[ID Donateur],A143))</f>
        <v>0</v>
      </c>
      <c r="AT143" s="115" t="n">
        <f aca="false">IFERROR(_xlfn.MAXIFS(tbl_Donateurs_Decaissements[Date recue],tbl_Donateurs_Decaissements[ID Donateur],A143),"")</f>
        <v>0</v>
      </c>
      <c r="AU143" s="108" t="str">
        <f aca="false">IFERROR(AN143/AL143,"")</f>
        <v/>
      </c>
      <c r="AV143" s="107" t="str">
        <f aca="true">IF(A143="","",IF(OR(AB143="A relancer",AND(AF143&lt;&gt;"",AF143&lt;=TODAY())),"OUI","NON"))</f>
        <v/>
      </c>
      <c r="AW143" s="107" t="str">
        <f aca="false">IF(B143="","",IF(OR(COUNTIF($B$56:$B$205,B143)&gt;1,AND(D143&lt;&gt;"",COUNTIF($D$56:$D$205,D143)&gt;1),AND(K143&lt;&gt;"",COUNTIF($K$56:$K$205,K143)&gt;1),AND(L143&lt;&gt;"",COUNTIF($L$56:$L$205,L143)&gt;1)),"OUI","NON"))</f>
        <v/>
      </c>
      <c r="AX143" s="113"/>
    </row>
    <row r="144" customFormat="false" ht="15" hidden="false" customHeight="true" outlineLevel="0" collapsed="false">
      <c r="A144" s="107" t="str">
        <f aca="false">IF(B144="","","DON"&amp;TEXT(ROW()-55,"00000"))</f>
        <v/>
      </c>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07" t="str">
        <f aca="false">IFERROR(INDEX(PARAMETRES!$B$536:$B$586,MATCH(X144,PARAMETRES!$J$536:$J$586,0)),"")</f>
        <v/>
      </c>
      <c r="Z144" s="107" t="str">
        <f aca="false">IFERROR(INDEX(PARAMETRES!$D$536:$D$586,MATCH(X144,PARAMETRES!$J$536:$J$586,0)),"")</f>
        <v/>
      </c>
      <c r="AA144" s="107" t="str">
        <f aca="false">IFERROR(INDEX(PARAMETRES!$F$536:$F$586,MATCH(X144,PARAMETRES!$J$536:$J$586,0)),"")</f>
        <v/>
      </c>
      <c r="AB144" s="113"/>
      <c r="AC144" s="114"/>
      <c r="AD144" s="113"/>
      <c r="AE144" s="114"/>
      <c r="AF144" s="114"/>
      <c r="AG144" s="113"/>
      <c r="AH144" s="113"/>
      <c r="AI144" s="107" t="n">
        <f aca="false">IF(A144="",0,COUNTIF(tbl_Donateurs_Opportunites[ID Donateur],A144))</f>
        <v>0</v>
      </c>
      <c r="AJ144" s="107" t="n">
        <f aca="false">IF(A144="",0,COUNTIFS(tbl_Donateurs_Opportunites[ID Donateur],A144,tbl_Donateurs_Opportunites[Statut],"Ouverte"))</f>
        <v>0</v>
      </c>
      <c r="AK144" s="107" t="n">
        <f aca="false">IF(A144="",0,COUNTIF(tbl_Donateurs_Demandes[ID Donateur],A144))</f>
        <v>0</v>
      </c>
      <c r="AL144" s="107" t="n">
        <f aca="false">IF(A144="",0,COUNTIFS(tbl_Donateurs_Demandes[ID Donateur],A144,tbl_Donateurs_Demandes[Statut],"Approuvee")+COUNTIFS(tbl_Donateurs_Demandes[ID Donateur],A144,tbl_Donateurs_Demandes[Statut],"Financement recu"))</f>
        <v>0</v>
      </c>
      <c r="AM144" s="108" t="n">
        <f aca="false">IF(A144="",0,SUMIF(tbl_Donateurs_Demandes[ID Donateur],A144,tbl_Donateurs_Demandes[Montant demande]))</f>
        <v>0</v>
      </c>
      <c r="AN144" s="108" t="n">
        <f aca="false">IF(A144="",0,SUMIF(tbl_Donateurs_Demandes[ID Donateur],A144,tbl_Donateurs_Demandes[Montant accorde]))</f>
        <v>0</v>
      </c>
      <c r="AO144" s="108" t="n">
        <f aca="false">IF(A144="",0,SUMIF(tbl_Donateurs_Decaissements[ID Donateur],A144,tbl_Donateurs_Decaissements[Montant recu]))</f>
        <v>0</v>
      </c>
      <c r="AP144" s="109" t="str">
        <f aca="false">IFERROR(AL144/AK144,"")</f>
        <v/>
      </c>
      <c r="AQ144" s="107" t="n">
        <f aca="false">IF(A144="",0,COUNTIF(tbl_Donateurs_Contacts[ID Donateur],A144))</f>
        <v>0</v>
      </c>
      <c r="AR144" s="107" t="n">
        <f aca="false">IF(A144="",0,COUNTIF(tbl_Donateurs_Documents[ID Donateur],A144))</f>
        <v>0</v>
      </c>
      <c r="AS144" s="107" t="n">
        <f aca="false">IF(A144="",0,COUNTIF(tbl_Donateurs_Conventions[ID Donateur],A144))</f>
        <v>0</v>
      </c>
      <c r="AT144" s="115" t="n">
        <f aca="false">IFERROR(_xlfn.MAXIFS(tbl_Donateurs_Decaissements[Date recue],tbl_Donateurs_Decaissements[ID Donateur],A144),"")</f>
        <v>0</v>
      </c>
      <c r="AU144" s="108" t="str">
        <f aca="false">IFERROR(AN144/AL144,"")</f>
        <v/>
      </c>
      <c r="AV144" s="107" t="str">
        <f aca="true">IF(A144="","",IF(OR(AB144="A relancer",AND(AF144&lt;&gt;"",AF144&lt;=TODAY())),"OUI","NON"))</f>
        <v/>
      </c>
      <c r="AW144" s="107" t="str">
        <f aca="false">IF(B144="","",IF(OR(COUNTIF($B$56:$B$205,B144)&gt;1,AND(D144&lt;&gt;"",COUNTIF($D$56:$D$205,D144)&gt;1),AND(K144&lt;&gt;"",COUNTIF($K$56:$K$205,K144)&gt;1),AND(L144&lt;&gt;"",COUNTIF($L$56:$L$205,L144)&gt;1)),"OUI","NON"))</f>
        <v/>
      </c>
      <c r="AX144" s="113"/>
    </row>
    <row r="145" customFormat="false" ht="15" hidden="false" customHeight="true" outlineLevel="0" collapsed="false">
      <c r="A145" s="107" t="str">
        <f aca="false">IF(B145="","","DON"&amp;TEXT(ROW()-55,"00000"))</f>
        <v/>
      </c>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07" t="str">
        <f aca="false">IFERROR(INDEX(PARAMETRES!$B$536:$B$586,MATCH(X145,PARAMETRES!$J$536:$J$586,0)),"")</f>
        <v/>
      </c>
      <c r="Z145" s="107" t="str">
        <f aca="false">IFERROR(INDEX(PARAMETRES!$D$536:$D$586,MATCH(X145,PARAMETRES!$J$536:$J$586,0)),"")</f>
        <v/>
      </c>
      <c r="AA145" s="107" t="str">
        <f aca="false">IFERROR(INDEX(PARAMETRES!$F$536:$F$586,MATCH(X145,PARAMETRES!$J$536:$J$586,0)),"")</f>
        <v/>
      </c>
      <c r="AB145" s="113"/>
      <c r="AC145" s="114"/>
      <c r="AD145" s="113"/>
      <c r="AE145" s="114"/>
      <c r="AF145" s="114"/>
      <c r="AG145" s="113"/>
      <c r="AH145" s="113"/>
      <c r="AI145" s="107" t="n">
        <f aca="false">IF(A145="",0,COUNTIF(tbl_Donateurs_Opportunites[ID Donateur],A145))</f>
        <v>0</v>
      </c>
      <c r="AJ145" s="107" t="n">
        <f aca="false">IF(A145="",0,COUNTIFS(tbl_Donateurs_Opportunites[ID Donateur],A145,tbl_Donateurs_Opportunites[Statut],"Ouverte"))</f>
        <v>0</v>
      </c>
      <c r="AK145" s="107" t="n">
        <f aca="false">IF(A145="",0,COUNTIF(tbl_Donateurs_Demandes[ID Donateur],A145))</f>
        <v>0</v>
      </c>
      <c r="AL145" s="107" t="n">
        <f aca="false">IF(A145="",0,COUNTIFS(tbl_Donateurs_Demandes[ID Donateur],A145,tbl_Donateurs_Demandes[Statut],"Approuvee")+COUNTIFS(tbl_Donateurs_Demandes[ID Donateur],A145,tbl_Donateurs_Demandes[Statut],"Financement recu"))</f>
        <v>0</v>
      </c>
      <c r="AM145" s="108" t="n">
        <f aca="false">IF(A145="",0,SUMIF(tbl_Donateurs_Demandes[ID Donateur],A145,tbl_Donateurs_Demandes[Montant demande]))</f>
        <v>0</v>
      </c>
      <c r="AN145" s="108" t="n">
        <f aca="false">IF(A145="",0,SUMIF(tbl_Donateurs_Demandes[ID Donateur],A145,tbl_Donateurs_Demandes[Montant accorde]))</f>
        <v>0</v>
      </c>
      <c r="AO145" s="108" t="n">
        <f aca="false">IF(A145="",0,SUMIF(tbl_Donateurs_Decaissements[ID Donateur],A145,tbl_Donateurs_Decaissements[Montant recu]))</f>
        <v>0</v>
      </c>
      <c r="AP145" s="109" t="str">
        <f aca="false">IFERROR(AL145/AK145,"")</f>
        <v/>
      </c>
      <c r="AQ145" s="107" t="n">
        <f aca="false">IF(A145="",0,COUNTIF(tbl_Donateurs_Contacts[ID Donateur],A145))</f>
        <v>0</v>
      </c>
      <c r="AR145" s="107" t="n">
        <f aca="false">IF(A145="",0,COUNTIF(tbl_Donateurs_Documents[ID Donateur],A145))</f>
        <v>0</v>
      </c>
      <c r="AS145" s="107" t="n">
        <f aca="false">IF(A145="",0,COUNTIF(tbl_Donateurs_Conventions[ID Donateur],A145))</f>
        <v>0</v>
      </c>
      <c r="AT145" s="115" t="n">
        <f aca="false">IFERROR(_xlfn.MAXIFS(tbl_Donateurs_Decaissements[Date recue],tbl_Donateurs_Decaissements[ID Donateur],A145),"")</f>
        <v>0</v>
      </c>
      <c r="AU145" s="108" t="str">
        <f aca="false">IFERROR(AN145/AL145,"")</f>
        <v/>
      </c>
      <c r="AV145" s="107" t="str">
        <f aca="true">IF(A145="","",IF(OR(AB145="A relancer",AND(AF145&lt;&gt;"",AF145&lt;=TODAY())),"OUI","NON"))</f>
        <v/>
      </c>
      <c r="AW145" s="107" t="str">
        <f aca="false">IF(B145="","",IF(OR(COUNTIF($B$56:$B$205,B145)&gt;1,AND(D145&lt;&gt;"",COUNTIF($D$56:$D$205,D145)&gt;1),AND(K145&lt;&gt;"",COUNTIF($K$56:$K$205,K145)&gt;1),AND(L145&lt;&gt;"",COUNTIF($L$56:$L$205,L145)&gt;1)),"OUI","NON"))</f>
        <v/>
      </c>
      <c r="AX145" s="113"/>
    </row>
    <row r="146" customFormat="false" ht="15" hidden="false" customHeight="true" outlineLevel="0" collapsed="false">
      <c r="A146" s="107" t="str">
        <f aca="false">IF(B146="","","DON"&amp;TEXT(ROW()-55,"00000"))</f>
        <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07" t="str">
        <f aca="false">IFERROR(INDEX(PARAMETRES!$B$536:$B$586,MATCH(X146,PARAMETRES!$J$536:$J$586,0)),"")</f>
        <v/>
      </c>
      <c r="Z146" s="107" t="str">
        <f aca="false">IFERROR(INDEX(PARAMETRES!$D$536:$D$586,MATCH(X146,PARAMETRES!$J$536:$J$586,0)),"")</f>
        <v/>
      </c>
      <c r="AA146" s="107" t="str">
        <f aca="false">IFERROR(INDEX(PARAMETRES!$F$536:$F$586,MATCH(X146,PARAMETRES!$J$536:$J$586,0)),"")</f>
        <v/>
      </c>
      <c r="AB146" s="113"/>
      <c r="AC146" s="114"/>
      <c r="AD146" s="113"/>
      <c r="AE146" s="114"/>
      <c r="AF146" s="114"/>
      <c r="AG146" s="113"/>
      <c r="AH146" s="113"/>
      <c r="AI146" s="107" t="n">
        <f aca="false">IF(A146="",0,COUNTIF(tbl_Donateurs_Opportunites[ID Donateur],A146))</f>
        <v>0</v>
      </c>
      <c r="AJ146" s="107" t="n">
        <f aca="false">IF(A146="",0,COUNTIFS(tbl_Donateurs_Opportunites[ID Donateur],A146,tbl_Donateurs_Opportunites[Statut],"Ouverte"))</f>
        <v>0</v>
      </c>
      <c r="AK146" s="107" t="n">
        <f aca="false">IF(A146="",0,COUNTIF(tbl_Donateurs_Demandes[ID Donateur],A146))</f>
        <v>0</v>
      </c>
      <c r="AL146" s="107" t="n">
        <f aca="false">IF(A146="",0,COUNTIFS(tbl_Donateurs_Demandes[ID Donateur],A146,tbl_Donateurs_Demandes[Statut],"Approuvee")+COUNTIFS(tbl_Donateurs_Demandes[ID Donateur],A146,tbl_Donateurs_Demandes[Statut],"Financement recu"))</f>
        <v>0</v>
      </c>
      <c r="AM146" s="108" t="n">
        <f aca="false">IF(A146="",0,SUMIF(tbl_Donateurs_Demandes[ID Donateur],A146,tbl_Donateurs_Demandes[Montant demande]))</f>
        <v>0</v>
      </c>
      <c r="AN146" s="108" t="n">
        <f aca="false">IF(A146="",0,SUMIF(tbl_Donateurs_Demandes[ID Donateur],A146,tbl_Donateurs_Demandes[Montant accorde]))</f>
        <v>0</v>
      </c>
      <c r="AO146" s="108" t="n">
        <f aca="false">IF(A146="",0,SUMIF(tbl_Donateurs_Decaissements[ID Donateur],A146,tbl_Donateurs_Decaissements[Montant recu]))</f>
        <v>0</v>
      </c>
      <c r="AP146" s="109" t="str">
        <f aca="false">IFERROR(AL146/AK146,"")</f>
        <v/>
      </c>
      <c r="AQ146" s="107" t="n">
        <f aca="false">IF(A146="",0,COUNTIF(tbl_Donateurs_Contacts[ID Donateur],A146))</f>
        <v>0</v>
      </c>
      <c r="AR146" s="107" t="n">
        <f aca="false">IF(A146="",0,COUNTIF(tbl_Donateurs_Documents[ID Donateur],A146))</f>
        <v>0</v>
      </c>
      <c r="AS146" s="107" t="n">
        <f aca="false">IF(A146="",0,COUNTIF(tbl_Donateurs_Conventions[ID Donateur],A146))</f>
        <v>0</v>
      </c>
      <c r="AT146" s="115" t="n">
        <f aca="false">IFERROR(_xlfn.MAXIFS(tbl_Donateurs_Decaissements[Date recue],tbl_Donateurs_Decaissements[ID Donateur],A146),"")</f>
        <v>0</v>
      </c>
      <c r="AU146" s="108" t="str">
        <f aca="false">IFERROR(AN146/AL146,"")</f>
        <v/>
      </c>
      <c r="AV146" s="107" t="str">
        <f aca="true">IF(A146="","",IF(OR(AB146="A relancer",AND(AF146&lt;&gt;"",AF146&lt;=TODAY())),"OUI","NON"))</f>
        <v/>
      </c>
      <c r="AW146" s="107" t="str">
        <f aca="false">IF(B146="","",IF(OR(COUNTIF($B$56:$B$205,B146)&gt;1,AND(D146&lt;&gt;"",COUNTIF($D$56:$D$205,D146)&gt;1),AND(K146&lt;&gt;"",COUNTIF($K$56:$K$205,K146)&gt;1),AND(L146&lt;&gt;"",COUNTIF($L$56:$L$205,L146)&gt;1)),"OUI","NON"))</f>
        <v/>
      </c>
      <c r="AX146" s="113"/>
    </row>
    <row r="147" customFormat="false" ht="15" hidden="false" customHeight="true" outlineLevel="0" collapsed="false">
      <c r="A147" s="107" t="str">
        <f aca="false">IF(B147="","","DON"&amp;TEXT(ROW()-55,"00000"))</f>
        <v/>
      </c>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07" t="str">
        <f aca="false">IFERROR(INDEX(PARAMETRES!$B$536:$B$586,MATCH(X147,PARAMETRES!$J$536:$J$586,0)),"")</f>
        <v/>
      </c>
      <c r="Z147" s="107" t="str">
        <f aca="false">IFERROR(INDEX(PARAMETRES!$D$536:$D$586,MATCH(X147,PARAMETRES!$J$536:$J$586,0)),"")</f>
        <v/>
      </c>
      <c r="AA147" s="107" t="str">
        <f aca="false">IFERROR(INDEX(PARAMETRES!$F$536:$F$586,MATCH(X147,PARAMETRES!$J$536:$J$586,0)),"")</f>
        <v/>
      </c>
      <c r="AB147" s="113"/>
      <c r="AC147" s="114"/>
      <c r="AD147" s="113"/>
      <c r="AE147" s="114"/>
      <c r="AF147" s="114"/>
      <c r="AG147" s="113"/>
      <c r="AH147" s="113"/>
      <c r="AI147" s="107" t="n">
        <f aca="false">IF(A147="",0,COUNTIF(tbl_Donateurs_Opportunites[ID Donateur],A147))</f>
        <v>0</v>
      </c>
      <c r="AJ147" s="107" t="n">
        <f aca="false">IF(A147="",0,COUNTIFS(tbl_Donateurs_Opportunites[ID Donateur],A147,tbl_Donateurs_Opportunites[Statut],"Ouverte"))</f>
        <v>0</v>
      </c>
      <c r="AK147" s="107" t="n">
        <f aca="false">IF(A147="",0,COUNTIF(tbl_Donateurs_Demandes[ID Donateur],A147))</f>
        <v>0</v>
      </c>
      <c r="AL147" s="107" t="n">
        <f aca="false">IF(A147="",0,COUNTIFS(tbl_Donateurs_Demandes[ID Donateur],A147,tbl_Donateurs_Demandes[Statut],"Approuvee")+COUNTIFS(tbl_Donateurs_Demandes[ID Donateur],A147,tbl_Donateurs_Demandes[Statut],"Financement recu"))</f>
        <v>0</v>
      </c>
      <c r="AM147" s="108" t="n">
        <f aca="false">IF(A147="",0,SUMIF(tbl_Donateurs_Demandes[ID Donateur],A147,tbl_Donateurs_Demandes[Montant demande]))</f>
        <v>0</v>
      </c>
      <c r="AN147" s="108" t="n">
        <f aca="false">IF(A147="",0,SUMIF(tbl_Donateurs_Demandes[ID Donateur],A147,tbl_Donateurs_Demandes[Montant accorde]))</f>
        <v>0</v>
      </c>
      <c r="AO147" s="108" t="n">
        <f aca="false">IF(A147="",0,SUMIF(tbl_Donateurs_Decaissements[ID Donateur],A147,tbl_Donateurs_Decaissements[Montant recu]))</f>
        <v>0</v>
      </c>
      <c r="AP147" s="109" t="str">
        <f aca="false">IFERROR(AL147/AK147,"")</f>
        <v/>
      </c>
      <c r="AQ147" s="107" t="n">
        <f aca="false">IF(A147="",0,COUNTIF(tbl_Donateurs_Contacts[ID Donateur],A147))</f>
        <v>0</v>
      </c>
      <c r="AR147" s="107" t="n">
        <f aca="false">IF(A147="",0,COUNTIF(tbl_Donateurs_Documents[ID Donateur],A147))</f>
        <v>0</v>
      </c>
      <c r="AS147" s="107" t="n">
        <f aca="false">IF(A147="",0,COUNTIF(tbl_Donateurs_Conventions[ID Donateur],A147))</f>
        <v>0</v>
      </c>
      <c r="AT147" s="115" t="n">
        <f aca="false">IFERROR(_xlfn.MAXIFS(tbl_Donateurs_Decaissements[Date recue],tbl_Donateurs_Decaissements[ID Donateur],A147),"")</f>
        <v>0</v>
      </c>
      <c r="AU147" s="108" t="str">
        <f aca="false">IFERROR(AN147/AL147,"")</f>
        <v/>
      </c>
      <c r="AV147" s="107" t="str">
        <f aca="true">IF(A147="","",IF(OR(AB147="A relancer",AND(AF147&lt;&gt;"",AF147&lt;=TODAY())),"OUI","NON"))</f>
        <v/>
      </c>
      <c r="AW147" s="107" t="str">
        <f aca="false">IF(B147="","",IF(OR(COUNTIF($B$56:$B$205,B147)&gt;1,AND(D147&lt;&gt;"",COUNTIF($D$56:$D$205,D147)&gt;1),AND(K147&lt;&gt;"",COUNTIF($K$56:$K$205,K147)&gt;1),AND(L147&lt;&gt;"",COUNTIF($L$56:$L$205,L147)&gt;1)),"OUI","NON"))</f>
        <v/>
      </c>
      <c r="AX147" s="113"/>
    </row>
    <row r="148" customFormat="false" ht="15" hidden="false" customHeight="true" outlineLevel="0" collapsed="false">
      <c r="A148" s="107" t="str">
        <f aca="false">IF(B148="","","DON"&amp;TEXT(ROW()-55,"00000"))</f>
        <v/>
      </c>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07" t="str">
        <f aca="false">IFERROR(INDEX(PARAMETRES!$B$536:$B$586,MATCH(X148,PARAMETRES!$J$536:$J$586,0)),"")</f>
        <v/>
      </c>
      <c r="Z148" s="107" t="str">
        <f aca="false">IFERROR(INDEX(PARAMETRES!$D$536:$D$586,MATCH(X148,PARAMETRES!$J$536:$J$586,0)),"")</f>
        <v/>
      </c>
      <c r="AA148" s="107" t="str">
        <f aca="false">IFERROR(INDEX(PARAMETRES!$F$536:$F$586,MATCH(X148,PARAMETRES!$J$536:$J$586,0)),"")</f>
        <v/>
      </c>
      <c r="AB148" s="113"/>
      <c r="AC148" s="114"/>
      <c r="AD148" s="113"/>
      <c r="AE148" s="114"/>
      <c r="AF148" s="114"/>
      <c r="AG148" s="113"/>
      <c r="AH148" s="113"/>
      <c r="AI148" s="107" t="n">
        <f aca="false">IF(A148="",0,COUNTIF(tbl_Donateurs_Opportunites[ID Donateur],A148))</f>
        <v>0</v>
      </c>
      <c r="AJ148" s="107" t="n">
        <f aca="false">IF(A148="",0,COUNTIFS(tbl_Donateurs_Opportunites[ID Donateur],A148,tbl_Donateurs_Opportunites[Statut],"Ouverte"))</f>
        <v>0</v>
      </c>
      <c r="AK148" s="107" t="n">
        <f aca="false">IF(A148="",0,COUNTIF(tbl_Donateurs_Demandes[ID Donateur],A148))</f>
        <v>0</v>
      </c>
      <c r="AL148" s="107" t="n">
        <f aca="false">IF(A148="",0,COUNTIFS(tbl_Donateurs_Demandes[ID Donateur],A148,tbl_Donateurs_Demandes[Statut],"Approuvee")+COUNTIFS(tbl_Donateurs_Demandes[ID Donateur],A148,tbl_Donateurs_Demandes[Statut],"Financement recu"))</f>
        <v>0</v>
      </c>
      <c r="AM148" s="108" t="n">
        <f aca="false">IF(A148="",0,SUMIF(tbl_Donateurs_Demandes[ID Donateur],A148,tbl_Donateurs_Demandes[Montant demande]))</f>
        <v>0</v>
      </c>
      <c r="AN148" s="108" t="n">
        <f aca="false">IF(A148="",0,SUMIF(tbl_Donateurs_Demandes[ID Donateur],A148,tbl_Donateurs_Demandes[Montant accorde]))</f>
        <v>0</v>
      </c>
      <c r="AO148" s="108" t="n">
        <f aca="false">IF(A148="",0,SUMIF(tbl_Donateurs_Decaissements[ID Donateur],A148,tbl_Donateurs_Decaissements[Montant recu]))</f>
        <v>0</v>
      </c>
      <c r="AP148" s="109" t="str">
        <f aca="false">IFERROR(AL148/AK148,"")</f>
        <v/>
      </c>
      <c r="AQ148" s="107" t="n">
        <f aca="false">IF(A148="",0,COUNTIF(tbl_Donateurs_Contacts[ID Donateur],A148))</f>
        <v>0</v>
      </c>
      <c r="AR148" s="107" t="n">
        <f aca="false">IF(A148="",0,COUNTIF(tbl_Donateurs_Documents[ID Donateur],A148))</f>
        <v>0</v>
      </c>
      <c r="AS148" s="107" t="n">
        <f aca="false">IF(A148="",0,COUNTIF(tbl_Donateurs_Conventions[ID Donateur],A148))</f>
        <v>0</v>
      </c>
      <c r="AT148" s="115" t="n">
        <f aca="false">IFERROR(_xlfn.MAXIFS(tbl_Donateurs_Decaissements[Date recue],tbl_Donateurs_Decaissements[ID Donateur],A148),"")</f>
        <v>0</v>
      </c>
      <c r="AU148" s="108" t="str">
        <f aca="false">IFERROR(AN148/AL148,"")</f>
        <v/>
      </c>
      <c r="AV148" s="107" t="str">
        <f aca="true">IF(A148="","",IF(OR(AB148="A relancer",AND(AF148&lt;&gt;"",AF148&lt;=TODAY())),"OUI","NON"))</f>
        <v/>
      </c>
      <c r="AW148" s="107" t="str">
        <f aca="false">IF(B148="","",IF(OR(COUNTIF($B$56:$B$205,B148)&gt;1,AND(D148&lt;&gt;"",COUNTIF($D$56:$D$205,D148)&gt;1),AND(K148&lt;&gt;"",COUNTIF($K$56:$K$205,K148)&gt;1),AND(L148&lt;&gt;"",COUNTIF($L$56:$L$205,L148)&gt;1)),"OUI","NON"))</f>
        <v/>
      </c>
      <c r="AX148" s="113"/>
    </row>
    <row r="149" customFormat="false" ht="15" hidden="false" customHeight="true" outlineLevel="0" collapsed="false">
      <c r="A149" s="107" t="str">
        <f aca="false">IF(B149="","","DON"&amp;TEXT(ROW()-55,"00000"))</f>
        <v/>
      </c>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07" t="str">
        <f aca="false">IFERROR(INDEX(PARAMETRES!$B$536:$B$586,MATCH(X149,PARAMETRES!$J$536:$J$586,0)),"")</f>
        <v/>
      </c>
      <c r="Z149" s="107" t="str">
        <f aca="false">IFERROR(INDEX(PARAMETRES!$D$536:$D$586,MATCH(X149,PARAMETRES!$J$536:$J$586,0)),"")</f>
        <v/>
      </c>
      <c r="AA149" s="107" t="str">
        <f aca="false">IFERROR(INDEX(PARAMETRES!$F$536:$F$586,MATCH(X149,PARAMETRES!$J$536:$J$586,0)),"")</f>
        <v/>
      </c>
      <c r="AB149" s="113"/>
      <c r="AC149" s="114"/>
      <c r="AD149" s="113"/>
      <c r="AE149" s="114"/>
      <c r="AF149" s="114"/>
      <c r="AG149" s="113"/>
      <c r="AH149" s="113"/>
      <c r="AI149" s="107" t="n">
        <f aca="false">IF(A149="",0,COUNTIF(tbl_Donateurs_Opportunites[ID Donateur],A149))</f>
        <v>0</v>
      </c>
      <c r="AJ149" s="107" t="n">
        <f aca="false">IF(A149="",0,COUNTIFS(tbl_Donateurs_Opportunites[ID Donateur],A149,tbl_Donateurs_Opportunites[Statut],"Ouverte"))</f>
        <v>0</v>
      </c>
      <c r="AK149" s="107" t="n">
        <f aca="false">IF(A149="",0,COUNTIF(tbl_Donateurs_Demandes[ID Donateur],A149))</f>
        <v>0</v>
      </c>
      <c r="AL149" s="107" t="n">
        <f aca="false">IF(A149="",0,COUNTIFS(tbl_Donateurs_Demandes[ID Donateur],A149,tbl_Donateurs_Demandes[Statut],"Approuvee")+COUNTIFS(tbl_Donateurs_Demandes[ID Donateur],A149,tbl_Donateurs_Demandes[Statut],"Financement recu"))</f>
        <v>0</v>
      </c>
      <c r="AM149" s="108" t="n">
        <f aca="false">IF(A149="",0,SUMIF(tbl_Donateurs_Demandes[ID Donateur],A149,tbl_Donateurs_Demandes[Montant demande]))</f>
        <v>0</v>
      </c>
      <c r="AN149" s="108" t="n">
        <f aca="false">IF(A149="",0,SUMIF(tbl_Donateurs_Demandes[ID Donateur],A149,tbl_Donateurs_Demandes[Montant accorde]))</f>
        <v>0</v>
      </c>
      <c r="AO149" s="108" t="n">
        <f aca="false">IF(A149="",0,SUMIF(tbl_Donateurs_Decaissements[ID Donateur],A149,tbl_Donateurs_Decaissements[Montant recu]))</f>
        <v>0</v>
      </c>
      <c r="AP149" s="109" t="str">
        <f aca="false">IFERROR(AL149/AK149,"")</f>
        <v/>
      </c>
      <c r="AQ149" s="107" t="n">
        <f aca="false">IF(A149="",0,COUNTIF(tbl_Donateurs_Contacts[ID Donateur],A149))</f>
        <v>0</v>
      </c>
      <c r="AR149" s="107" t="n">
        <f aca="false">IF(A149="",0,COUNTIF(tbl_Donateurs_Documents[ID Donateur],A149))</f>
        <v>0</v>
      </c>
      <c r="AS149" s="107" t="n">
        <f aca="false">IF(A149="",0,COUNTIF(tbl_Donateurs_Conventions[ID Donateur],A149))</f>
        <v>0</v>
      </c>
      <c r="AT149" s="115" t="n">
        <f aca="false">IFERROR(_xlfn.MAXIFS(tbl_Donateurs_Decaissements[Date recue],tbl_Donateurs_Decaissements[ID Donateur],A149),"")</f>
        <v>0</v>
      </c>
      <c r="AU149" s="108" t="str">
        <f aca="false">IFERROR(AN149/AL149,"")</f>
        <v/>
      </c>
      <c r="AV149" s="107" t="str">
        <f aca="true">IF(A149="","",IF(OR(AB149="A relancer",AND(AF149&lt;&gt;"",AF149&lt;=TODAY())),"OUI","NON"))</f>
        <v/>
      </c>
      <c r="AW149" s="107" t="str">
        <f aca="false">IF(B149="","",IF(OR(COUNTIF($B$56:$B$205,B149)&gt;1,AND(D149&lt;&gt;"",COUNTIF($D$56:$D$205,D149)&gt;1),AND(K149&lt;&gt;"",COUNTIF($K$56:$K$205,K149)&gt;1),AND(L149&lt;&gt;"",COUNTIF($L$56:$L$205,L149)&gt;1)),"OUI","NON"))</f>
        <v/>
      </c>
      <c r="AX149" s="113"/>
    </row>
    <row r="150" customFormat="false" ht="15" hidden="false" customHeight="true" outlineLevel="0" collapsed="false">
      <c r="A150" s="107" t="str">
        <f aca="false">IF(B150="","","DON"&amp;TEXT(ROW()-55,"00000"))</f>
        <v/>
      </c>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07" t="str">
        <f aca="false">IFERROR(INDEX(PARAMETRES!$B$536:$B$586,MATCH(X150,PARAMETRES!$J$536:$J$586,0)),"")</f>
        <v/>
      </c>
      <c r="Z150" s="107" t="str">
        <f aca="false">IFERROR(INDEX(PARAMETRES!$D$536:$D$586,MATCH(X150,PARAMETRES!$J$536:$J$586,0)),"")</f>
        <v/>
      </c>
      <c r="AA150" s="107" t="str">
        <f aca="false">IFERROR(INDEX(PARAMETRES!$F$536:$F$586,MATCH(X150,PARAMETRES!$J$536:$J$586,0)),"")</f>
        <v/>
      </c>
      <c r="AB150" s="113"/>
      <c r="AC150" s="114"/>
      <c r="AD150" s="113"/>
      <c r="AE150" s="114"/>
      <c r="AF150" s="114"/>
      <c r="AG150" s="113"/>
      <c r="AH150" s="113"/>
      <c r="AI150" s="107" t="n">
        <f aca="false">IF(A150="",0,COUNTIF(tbl_Donateurs_Opportunites[ID Donateur],A150))</f>
        <v>0</v>
      </c>
      <c r="AJ150" s="107" t="n">
        <f aca="false">IF(A150="",0,COUNTIFS(tbl_Donateurs_Opportunites[ID Donateur],A150,tbl_Donateurs_Opportunites[Statut],"Ouverte"))</f>
        <v>0</v>
      </c>
      <c r="AK150" s="107" t="n">
        <f aca="false">IF(A150="",0,COUNTIF(tbl_Donateurs_Demandes[ID Donateur],A150))</f>
        <v>0</v>
      </c>
      <c r="AL150" s="107" t="n">
        <f aca="false">IF(A150="",0,COUNTIFS(tbl_Donateurs_Demandes[ID Donateur],A150,tbl_Donateurs_Demandes[Statut],"Approuvee")+COUNTIFS(tbl_Donateurs_Demandes[ID Donateur],A150,tbl_Donateurs_Demandes[Statut],"Financement recu"))</f>
        <v>0</v>
      </c>
      <c r="AM150" s="108" t="n">
        <f aca="false">IF(A150="",0,SUMIF(tbl_Donateurs_Demandes[ID Donateur],A150,tbl_Donateurs_Demandes[Montant demande]))</f>
        <v>0</v>
      </c>
      <c r="AN150" s="108" t="n">
        <f aca="false">IF(A150="",0,SUMIF(tbl_Donateurs_Demandes[ID Donateur],A150,tbl_Donateurs_Demandes[Montant accorde]))</f>
        <v>0</v>
      </c>
      <c r="AO150" s="108" t="n">
        <f aca="false">IF(A150="",0,SUMIF(tbl_Donateurs_Decaissements[ID Donateur],A150,tbl_Donateurs_Decaissements[Montant recu]))</f>
        <v>0</v>
      </c>
      <c r="AP150" s="109" t="str">
        <f aca="false">IFERROR(AL150/AK150,"")</f>
        <v/>
      </c>
      <c r="AQ150" s="107" t="n">
        <f aca="false">IF(A150="",0,COUNTIF(tbl_Donateurs_Contacts[ID Donateur],A150))</f>
        <v>0</v>
      </c>
      <c r="AR150" s="107" t="n">
        <f aca="false">IF(A150="",0,COUNTIF(tbl_Donateurs_Documents[ID Donateur],A150))</f>
        <v>0</v>
      </c>
      <c r="AS150" s="107" t="n">
        <f aca="false">IF(A150="",0,COUNTIF(tbl_Donateurs_Conventions[ID Donateur],A150))</f>
        <v>0</v>
      </c>
      <c r="AT150" s="115" t="n">
        <f aca="false">IFERROR(_xlfn.MAXIFS(tbl_Donateurs_Decaissements[Date recue],tbl_Donateurs_Decaissements[ID Donateur],A150),"")</f>
        <v>0</v>
      </c>
      <c r="AU150" s="108" t="str">
        <f aca="false">IFERROR(AN150/AL150,"")</f>
        <v/>
      </c>
      <c r="AV150" s="107" t="str">
        <f aca="true">IF(A150="","",IF(OR(AB150="A relancer",AND(AF150&lt;&gt;"",AF150&lt;=TODAY())),"OUI","NON"))</f>
        <v/>
      </c>
      <c r="AW150" s="107" t="str">
        <f aca="false">IF(B150="","",IF(OR(COUNTIF($B$56:$B$205,B150)&gt;1,AND(D150&lt;&gt;"",COUNTIF($D$56:$D$205,D150)&gt;1),AND(K150&lt;&gt;"",COUNTIF($K$56:$K$205,K150)&gt;1),AND(L150&lt;&gt;"",COUNTIF($L$56:$L$205,L150)&gt;1)),"OUI","NON"))</f>
        <v/>
      </c>
      <c r="AX150" s="113"/>
    </row>
    <row r="151" customFormat="false" ht="15" hidden="false" customHeight="true" outlineLevel="0" collapsed="false">
      <c r="A151" s="107" t="str">
        <f aca="false">IF(B151="","","DON"&amp;TEXT(ROW()-55,"00000"))</f>
        <v/>
      </c>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07" t="str">
        <f aca="false">IFERROR(INDEX(PARAMETRES!$B$536:$B$586,MATCH(X151,PARAMETRES!$J$536:$J$586,0)),"")</f>
        <v/>
      </c>
      <c r="Z151" s="107" t="str">
        <f aca="false">IFERROR(INDEX(PARAMETRES!$D$536:$D$586,MATCH(X151,PARAMETRES!$J$536:$J$586,0)),"")</f>
        <v/>
      </c>
      <c r="AA151" s="107" t="str">
        <f aca="false">IFERROR(INDEX(PARAMETRES!$F$536:$F$586,MATCH(X151,PARAMETRES!$J$536:$J$586,0)),"")</f>
        <v/>
      </c>
      <c r="AB151" s="113"/>
      <c r="AC151" s="114"/>
      <c r="AD151" s="113"/>
      <c r="AE151" s="114"/>
      <c r="AF151" s="114"/>
      <c r="AG151" s="113"/>
      <c r="AH151" s="113"/>
      <c r="AI151" s="107" t="n">
        <f aca="false">IF(A151="",0,COUNTIF(tbl_Donateurs_Opportunites[ID Donateur],A151))</f>
        <v>0</v>
      </c>
      <c r="AJ151" s="107" t="n">
        <f aca="false">IF(A151="",0,COUNTIFS(tbl_Donateurs_Opportunites[ID Donateur],A151,tbl_Donateurs_Opportunites[Statut],"Ouverte"))</f>
        <v>0</v>
      </c>
      <c r="AK151" s="107" t="n">
        <f aca="false">IF(A151="",0,COUNTIF(tbl_Donateurs_Demandes[ID Donateur],A151))</f>
        <v>0</v>
      </c>
      <c r="AL151" s="107" t="n">
        <f aca="false">IF(A151="",0,COUNTIFS(tbl_Donateurs_Demandes[ID Donateur],A151,tbl_Donateurs_Demandes[Statut],"Approuvee")+COUNTIFS(tbl_Donateurs_Demandes[ID Donateur],A151,tbl_Donateurs_Demandes[Statut],"Financement recu"))</f>
        <v>0</v>
      </c>
      <c r="AM151" s="108" t="n">
        <f aca="false">IF(A151="",0,SUMIF(tbl_Donateurs_Demandes[ID Donateur],A151,tbl_Donateurs_Demandes[Montant demande]))</f>
        <v>0</v>
      </c>
      <c r="AN151" s="108" t="n">
        <f aca="false">IF(A151="",0,SUMIF(tbl_Donateurs_Demandes[ID Donateur],A151,tbl_Donateurs_Demandes[Montant accorde]))</f>
        <v>0</v>
      </c>
      <c r="AO151" s="108" t="n">
        <f aca="false">IF(A151="",0,SUMIF(tbl_Donateurs_Decaissements[ID Donateur],A151,tbl_Donateurs_Decaissements[Montant recu]))</f>
        <v>0</v>
      </c>
      <c r="AP151" s="109" t="str">
        <f aca="false">IFERROR(AL151/AK151,"")</f>
        <v/>
      </c>
      <c r="AQ151" s="107" t="n">
        <f aca="false">IF(A151="",0,COUNTIF(tbl_Donateurs_Contacts[ID Donateur],A151))</f>
        <v>0</v>
      </c>
      <c r="AR151" s="107" t="n">
        <f aca="false">IF(A151="",0,COUNTIF(tbl_Donateurs_Documents[ID Donateur],A151))</f>
        <v>0</v>
      </c>
      <c r="AS151" s="107" t="n">
        <f aca="false">IF(A151="",0,COUNTIF(tbl_Donateurs_Conventions[ID Donateur],A151))</f>
        <v>0</v>
      </c>
      <c r="AT151" s="115" t="n">
        <f aca="false">IFERROR(_xlfn.MAXIFS(tbl_Donateurs_Decaissements[Date recue],tbl_Donateurs_Decaissements[ID Donateur],A151),"")</f>
        <v>0</v>
      </c>
      <c r="AU151" s="108" t="str">
        <f aca="false">IFERROR(AN151/AL151,"")</f>
        <v/>
      </c>
      <c r="AV151" s="107" t="str">
        <f aca="true">IF(A151="","",IF(OR(AB151="A relancer",AND(AF151&lt;&gt;"",AF151&lt;=TODAY())),"OUI","NON"))</f>
        <v/>
      </c>
      <c r="AW151" s="107" t="str">
        <f aca="false">IF(B151="","",IF(OR(COUNTIF($B$56:$B$205,B151)&gt;1,AND(D151&lt;&gt;"",COUNTIF($D$56:$D$205,D151)&gt;1),AND(K151&lt;&gt;"",COUNTIF($K$56:$K$205,K151)&gt;1),AND(L151&lt;&gt;"",COUNTIF($L$56:$L$205,L151)&gt;1)),"OUI","NON"))</f>
        <v/>
      </c>
      <c r="AX151" s="113"/>
    </row>
    <row r="152" customFormat="false" ht="15" hidden="false" customHeight="true" outlineLevel="0" collapsed="false">
      <c r="A152" s="107" t="str">
        <f aca="false">IF(B152="","","DON"&amp;TEXT(ROW()-55,"00000"))</f>
        <v/>
      </c>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07" t="str">
        <f aca="false">IFERROR(INDEX(PARAMETRES!$B$536:$B$586,MATCH(X152,PARAMETRES!$J$536:$J$586,0)),"")</f>
        <v/>
      </c>
      <c r="Z152" s="107" t="str">
        <f aca="false">IFERROR(INDEX(PARAMETRES!$D$536:$D$586,MATCH(X152,PARAMETRES!$J$536:$J$586,0)),"")</f>
        <v/>
      </c>
      <c r="AA152" s="107" t="str">
        <f aca="false">IFERROR(INDEX(PARAMETRES!$F$536:$F$586,MATCH(X152,PARAMETRES!$J$536:$J$586,0)),"")</f>
        <v/>
      </c>
      <c r="AB152" s="113"/>
      <c r="AC152" s="114"/>
      <c r="AD152" s="113"/>
      <c r="AE152" s="114"/>
      <c r="AF152" s="114"/>
      <c r="AG152" s="113"/>
      <c r="AH152" s="113"/>
      <c r="AI152" s="107" t="n">
        <f aca="false">IF(A152="",0,COUNTIF(tbl_Donateurs_Opportunites[ID Donateur],A152))</f>
        <v>0</v>
      </c>
      <c r="AJ152" s="107" t="n">
        <f aca="false">IF(A152="",0,COUNTIFS(tbl_Donateurs_Opportunites[ID Donateur],A152,tbl_Donateurs_Opportunites[Statut],"Ouverte"))</f>
        <v>0</v>
      </c>
      <c r="AK152" s="107" t="n">
        <f aca="false">IF(A152="",0,COUNTIF(tbl_Donateurs_Demandes[ID Donateur],A152))</f>
        <v>0</v>
      </c>
      <c r="AL152" s="107" t="n">
        <f aca="false">IF(A152="",0,COUNTIFS(tbl_Donateurs_Demandes[ID Donateur],A152,tbl_Donateurs_Demandes[Statut],"Approuvee")+COUNTIFS(tbl_Donateurs_Demandes[ID Donateur],A152,tbl_Donateurs_Demandes[Statut],"Financement recu"))</f>
        <v>0</v>
      </c>
      <c r="AM152" s="108" t="n">
        <f aca="false">IF(A152="",0,SUMIF(tbl_Donateurs_Demandes[ID Donateur],A152,tbl_Donateurs_Demandes[Montant demande]))</f>
        <v>0</v>
      </c>
      <c r="AN152" s="108" t="n">
        <f aca="false">IF(A152="",0,SUMIF(tbl_Donateurs_Demandes[ID Donateur],A152,tbl_Donateurs_Demandes[Montant accorde]))</f>
        <v>0</v>
      </c>
      <c r="AO152" s="108" t="n">
        <f aca="false">IF(A152="",0,SUMIF(tbl_Donateurs_Decaissements[ID Donateur],A152,tbl_Donateurs_Decaissements[Montant recu]))</f>
        <v>0</v>
      </c>
      <c r="AP152" s="109" t="str">
        <f aca="false">IFERROR(AL152/AK152,"")</f>
        <v/>
      </c>
      <c r="AQ152" s="107" t="n">
        <f aca="false">IF(A152="",0,COUNTIF(tbl_Donateurs_Contacts[ID Donateur],A152))</f>
        <v>0</v>
      </c>
      <c r="AR152" s="107" t="n">
        <f aca="false">IF(A152="",0,COUNTIF(tbl_Donateurs_Documents[ID Donateur],A152))</f>
        <v>0</v>
      </c>
      <c r="AS152" s="107" t="n">
        <f aca="false">IF(A152="",0,COUNTIF(tbl_Donateurs_Conventions[ID Donateur],A152))</f>
        <v>0</v>
      </c>
      <c r="AT152" s="115" t="n">
        <f aca="false">IFERROR(_xlfn.MAXIFS(tbl_Donateurs_Decaissements[Date recue],tbl_Donateurs_Decaissements[ID Donateur],A152),"")</f>
        <v>0</v>
      </c>
      <c r="AU152" s="108" t="str">
        <f aca="false">IFERROR(AN152/AL152,"")</f>
        <v/>
      </c>
      <c r="AV152" s="107" t="str">
        <f aca="true">IF(A152="","",IF(OR(AB152="A relancer",AND(AF152&lt;&gt;"",AF152&lt;=TODAY())),"OUI","NON"))</f>
        <v/>
      </c>
      <c r="AW152" s="107" t="str">
        <f aca="false">IF(B152="","",IF(OR(COUNTIF($B$56:$B$205,B152)&gt;1,AND(D152&lt;&gt;"",COUNTIF($D$56:$D$205,D152)&gt;1),AND(K152&lt;&gt;"",COUNTIF($K$56:$K$205,K152)&gt;1),AND(L152&lt;&gt;"",COUNTIF($L$56:$L$205,L152)&gt;1)),"OUI","NON"))</f>
        <v/>
      </c>
      <c r="AX152" s="113"/>
    </row>
    <row r="153" customFormat="false" ht="15" hidden="false" customHeight="true" outlineLevel="0" collapsed="false">
      <c r="A153" s="107" t="str">
        <f aca="false">IF(B153="","","DON"&amp;TEXT(ROW()-55,"00000"))</f>
        <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07" t="str">
        <f aca="false">IFERROR(INDEX(PARAMETRES!$B$536:$B$586,MATCH(X153,PARAMETRES!$J$536:$J$586,0)),"")</f>
        <v/>
      </c>
      <c r="Z153" s="107" t="str">
        <f aca="false">IFERROR(INDEX(PARAMETRES!$D$536:$D$586,MATCH(X153,PARAMETRES!$J$536:$J$586,0)),"")</f>
        <v/>
      </c>
      <c r="AA153" s="107" t="str">
        <f aca="false">IFERROR(INDEX(PARAMETRES!$F$536:$F$586,MATCH(X153,PARAMETRES!$J$536:$J$586,0)),"")</f>
        <v/>
      </c>
      <c r="AB153" s="113"/>
      <c r="AC153" s="114"/>
      <c r="AD153" s="113"/>
      <c r="AE153" s="114"/>
      <c r="AF153" s="114"/>
      <c r="AG153" s="113"/>
      <c r="AH153" s="113"/>
      <c r="AI153" s="107" t="n">
        <f aca="false">IF(A153="",0,COUNTIF(tbl_Donateurs_Opportunites[ID Donateur],A153))</f>
        <v>0</v>
      </c>
      <c r="AJ153" s="107" t="n">
        <f aca="false">IF(A153="",0,COUNTIFS(tbl_Donateurs_Opportunites[ID Donateur],A153,tbl_Donateurs_Opportunites[Statut],"Ouverte"))</f>
        <v>0</v>
      </c>
      <c r="AK153" s="107" t="n">
        <f aca="false">IF(A153="",0,COUNTIF(tbl_Donateurs_Demandes[ID Donateur],A153))</f>
        <v>0</v>
      </c>
      <c r="AL153" s="107" t="n">
        <f aca="false">IF(A153="",0,COUNTIFS(tbl_Donateurs_Demandes[ID Donateur],A153,tbl_Donateurs_Demandes[Statut],"Approuvee")+COUNTIFS(tbl_Donateurs_Demandes[ID Donateur],A153,tbl_Donateurs_Demandes[Statut],"Financement recu"))</f>
        <v>0</v>
      </c>
      <c r="AM153" s="108" t="n">
        <f aca="false">IF(A153="",0,SUMIF(tbl_Donateurs_Demandes[ID Donateur],A153,tbl_Donateurs_Demandes[Montant demande]))</f>
        <v>0</v>
      </c>
      <c r="AN153" s="108" t="n">
        <f aca="false">IF(A153="",0,SUMIF(tbl_Donateurs_Demandes[ID Donateur],A153,tbl_Donateurs_Demandes[Montant accorde]))</f>
        <v>0</v>
      </c>
      <c r="AO153" s="108" t="n">
        <f aca="false">IF(A153="",0,SUMIF(tbl_Donateurs_Decaissements[ID Donateur],A153,tbl_Donateurs_Decaissements[Montant recu]))</f>
        <v>0</v>
      </c>
      <c r="AP153" s="109" t="str">
        <f aca="false">IFERROR(AL153/AK153,"")</f>
        <v/>
      </c>
      <c r="AQ153" s="107" t="n">
        <f aca="false">IF(A153="",0,COUNTIF(tbl_Donateurs_Contacts[ID Donateur],A153))</f>
        <v>0</v>
      </c>
      <c r="AR153" s="107" t="n">
        <f aca="false">IF(A153="",0,COUNTIF(tbl_Donateurs_Documents[ID Donateur],A153))</f>
        <v>0</v>
      </c>
      <c r="AS153" s="107" t="n">
        <f aca="false">IF(A153="",0,COUNTIF(tbl_Donateurs_Conventions[ID Donateur],A153))</f>
        <v>0</v>
      </c>
      <c r="AT153" s="115" t="n">
        <f aca="false">IFERROR(_xlfn.MAXIFS(tbl_Donateurs_Decaissements[Date recue],tbl_Donateurs_Decaissements[ID Donateur],A153),"")</f>
        <v>0</v>
      </c>
      <c r="AU153" s="108" t="str">
        <f aca="false">IFERROR(AN153/AL153,"")</f>
        <v/>
      </c>
      <c r="AV153" s="107" t="str">
        <f aca="true">IF(A153="","",IF(OR(AB153="A relancer",AND(AF153&lt;&gt;"",AF153&lt;=TODAY())),"OUI","NON"))</f>
        <v/>
      </c>
      <c r="AW153" s="107" t="str">
        <f aca="false">IF(B153="","",IF(OR(COUNTIF($B$56:$B$205,B153)&gt;1,AND(D153&lt;&gt;"",COUNTIF($D$56:$D$205,D153)&gt;1),AND(K153&lt;&gt;"",COUNTIF($K$56:$K$205,K153)&gt;1),AND(L153&lt;&gt;"",COUNTIF($L$56:$L$205,L153)&gt;1)),"OUI","NON"))</f>
        <v/>
      </c>
      <c r="AX153" s="113"/>
    </row>
    <row r="154" customFormat="false" ht="15" hidden="false" customHeight="true" outlineLevel="0" collapsed="false">
      <c r="A154" s="107" t="str">
        <f aca="false">IF(B154="","","DON"&amp;TEXT(ROW()-55,"00000"))</f>
        <v/>
      </c>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07" t="str">
        <f aca="false">IFERROR(INDEX(PARAMETRES!$B$536:$B$586,MATCH(X154,PARAMETRES!$J$536:$J$586,0)),"")</f>
        <v/>
      </c>
      <c r="Z154" s="107" t="str">
        <f aca="false">IFERROR(INDEX(PARAMETRES!$D$536:$D$586,MATCH(X154,PARAMETRES!$J$536:$J$586,0)),"")</f>
        <v/>
      </c>
      <c r="AA154" s="107" t="str">
        <f aca="false">IFERROR(INDEX(PARAMETRES!$F$536:$F$586,MATCH(X154,PARAMETRES!$J$536:$J$586,0)),"")</f>
        <v/>
      </c>
      <c r="AB154" s="113"/>
      <c r="AC154" s="114"/>
      <c r="AD154" s="113"/>
      <c r="AE154" s="114"/>
      <c r="AF154" s="114"/>
      <c r="AG154" s="113"/>
      <c r="AH154" s="113"/>
      <c r="AI154" s="107" t="n">
        <f aca="false">IF(A154="",0,COUNTIF(tbl_Donateurs_Opportunites[ID Donateur],A154))</f>
        <v>0</v>
      </c>
      <c r="AJ154" s="107" t="n">
        <f aca="false">IF(A154="",0,COUNTIFS(tbl_Donateurs_Opportunites[ID Donateur],A154,tbl_Donateurs_Opportunites[Statut],"Ouverte"))</f>
        <v>0</v>
      </c>
      <c r="AK154" s="107" t="n">
        <f aca="false">IF(A154="",0,COUNTIF(tbl_Donateurs_Demandes[ID Donateur],A154))</f>
        <v>0</v>
      </c>
      <c r="AL154" s="107" t="n">
        <f aca="false">IF(A154="",0,COUNTIFS(tbl_Donateurs_Demandes[ID Donateur],A154,tbl_Donateurs_Demandes[Statut],"Approuvee")+COUNTIFS(tbl_Donateurs_Demandes[ID Donateur],A154,tbl_Donateurs_Demandes[Statut],"Financement recu"))</f>
        <v>0</v>
      </c>
      <c r="AM154" s="108" t="n">
        <f aca="false">IF(A154="",0,SUMIF(tbl_Donateurs_Demandes[ID Donateur],A154,tbl_Donateurs_Demandes[Montant demande]))</f>
        <v>0</v>
      </c>
      <c r="AN154" s="108" t="n">
        <f aca="false">IF(A154="",0,SUMIF(tbl_Donateurs_Demandes[ID Donateur],A154,tbl_Donateurs_Demandes[Montant accorde]))</f>
        <v>0</v>
      </c>
      <c r="AO154" s="108" t="n">
        <f aca="false">IF(A154="",0,SUMIF(tbl_Donateurs_Decaissements[ID Donateur],A154,tbl_Donateurs_Decaissements[Montant recu]))</f>
        <v>0</v>
      </c>
      <c r="AP154" s="109" t="str">
        <f aca="false">IFERROR(AL154/AK154,"")</f>
        <v/>
      </c>
      <c r="AQ154" s="107" t="n">
        <f aca="false">IF(A154="",0,COUNTIF(tbl_Donateurs_Contacts[ID Donateur],A154))</f>
        <v>0</v>
      </c>
      <c r="AR154" s="107" t="n">
        <f aca="false">IF(A154="",0,COUNTIF(tbl_Donateurs_Documents[ID Donateur],A154))</f>
        <v>0</v>
      </c>
      <c r="AS154" s="107" t="n">
        <f aca="false">IF(A154="",0,COUNTIF(tbl_Donateurs_Conventions[ID Donateur],A154))</f>
        <v>0</v>
      </c>
      <c r="AT154" s="115" t="n">
        <f aca="false">IFERROR(_xlfn.MAXIFS(tbl_Donateurs_Decaissements[Date recue],tbl_Donateurs_Decaissements[ID Donateur],A154),"")</f>
        <v>0</v>
      </c>
      <c r="AU154" s="108" t="str">
        <f aca="false">IFERROR(AN154/AL154,"")</f>
        <v/>
      </c>
      <c r="AV154" s="107" t="str">
        <f aca="true">IF(A154="","",IF(OR(AB154="A relancer",AND(AF154&lt;&gt;"",AF154&lt;=TODAY())),"OUI","NON"))</f>
        <v/>
      </c>
      <c r="AW154" s="107" t="str">
        <f aca="false">IF(B154="","",IF(OR(COUNTIF($B$56:$B$205,B154)&gt;1,AND(D154&lt;&gt;"",COUNTIF($D$56:$D$205,D154)&gt;1),AND(K154&lt;&gt;"",COUNTIF($K$56:$K$205,K154)&gt;1),AND(L154&lt;&gt;"",COUNTIF($L$56:$L$205,L154)&gt;1)),"OUI","NON"))</f>
        <v/>
      </c>
      <c r="AX154" s="113"/>
    </row>
    <row r="155" customFormat="false" ht="15" hidden="false" customHeight="true" outlineLevel="0" collapsed="false">
      <c r="A155" s="107" t="str">
        <f aca="false">IF(B155="","","DON"&amp;TEXT(ROW()-55,"00000"))</f>
        <v/>
      </c>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07" t="str">
        <f aca="false">IFERROR(INDEX(PARAMETRES!$B$536:$B$586,MATCH(X155,PARAMETRES!$J$536:$J$586,0)),"")</f>
        <v/>
      </c>
      <c r="Z155" s="107" t="str">
        <f aca="false">IFERROR(INDEX(PARAMETRES!$D$536:$D$586,MATCH(X155,PARAMETRES!$J$536:$J$586,0)),"")</f>
        <v/>
      </c>
      <c r="AA155" s="107" t="str">
        <f aca="false">IFERROR(INDEX(PARAMETRES!$F$536:$F$586,MATCH(X155,PARAMETRES!$J$536:$J$586,0)),"")</f>
        <v/>
      </c>
      <c r="AB155" s="113"/>
      <c r="AC155" s="114"/>
      <c r="AD155" s="113"/>
      <c r="AE155" s="114"/>
      <c r="AF155" s="114"/>
      <c r="AG155" s="113"/>
      <c r="AH155" s="113"/>
      <c r="AI155" s="107" t="n">
        <f aca="false">IF(A155="",0,COUNTIF(tbl_Donateurs_Opportunites[ID Donateur],A155))</f>
        <v>0</v>
      </c>
      <c r="AJ155" s="107" t="n">
        <f aca="false">IF(A155="",0,COUNTIFS(tbl_Donateurs_Opportunites[ID Donateur],A155,tbl_Donateurs_Opportunites[Statut],"Ouverte"))</f>
        <v>0</v>
      </c>
      <c r="AK155" s="107" t="n">
        <f aca="false">IF(A155="",0,COUNTIF(tbl_Donateurs_Demandes[ID Donateur],A155))</f>
        <v>0</v>
      </c>
      <c r="AL155" s="107" t="n">
        <f aca="false">IF(A155="",0,COUNTIFS(tbl_Donateurs_Demandes[ID Donateur],A155,tbl_Donateurs_Demandes[Statut],"Approuvee")+COUNTIFS(tbl_Donateurs_Demandes[ID Donateur],A155,tbl_Donateurs_Demandes[Statut],"Financement recu"))</f>
        <v>0</v>
      </c>
      <c r="AM155" s="108" t="n">
        <f aca="false">IF(A155="",0,SUMIF(tbl_Donateurs_Demandes[ID Donateur],A155,tbl_Donateurs_Demandes[Montant demande]))</f>
        <v>0</v>
      </c>
      <c r="AN155" s="108" t="n">
        <f aca="false">IF(A155="",0,SUMIF(tbl_Donateurs_Demandes[ID Donateur],A155,tbl_Donateurs_Demandes[Montant accorde]))</f>
        <v>0</v>
      </c>
      <c r="AO155" s="108" t="n">
        <f aca="false">IF(A155="",0,SUMIF(tbl_Donateurs_Decaissements[ID Donateur],A155,tbl_Donateurs_Decaissements[Montant recu]))</f>
        <v>0</v>
      </c>
      <c r="AP155" s="109" t="str">
        <f aca="false">IFERROR(AL155/AK155,"")</f>
        <v/>
      </c>
      <c r="AQ155" s="107" t="n">
        <f aca="false">IF(A155="",0,COUNTIF(tbl_Donateurs_Contacts[ID Donateur],A155))</f>
        <v>0</v>
      </c>
      <c r="AR155" s="107" t="n">
        <f aca="false">IF(A155="",0,COUNTIF(tbl_Donateurs_Documents[ID Donateur],A155))</f>
        <v>0</v>
      </c>
      <c r="AS155" s="107" t="n">
        <f aca="false">IF(A155="",0,COUNTIF(tbl_Donateurs_Conventions[ID Donateur],A155))</f>
        <v>0</v>
      </c>
      <c r="AT155" s="115" t="n">
        <f aca="false">IFERROR(_xlfn.MAXIFS(tbl_Donateurs_Decaissements[Date recue],tbl_Donateurs_Decaissements[ID Donateur],A155),"")</f>
        <v>0</v>
      </c>
      <c r="AU155" s="108" t="str">
        <f aca="false">IFERROR(AN155/AL155,"")</f>
        <v/>
      </c>
      <c r="AV155" s="107" t="str">
        <f aca="true">IF(A155="","",IF(OR(AB155="A relancer",AND(AF155&lt;&gt;"",AF155&lt;=TODAY())),"OUI","NON"))</f>
        <v/>
      </c>
      <c r="AW155" s="107" t="str">
        <f aca="false">IF(B155="","",IF(OR(COUNTIF($B$56:$B$205,B155)&gt;1,AND(D155&lt;&gt;"",COUNTIF($D$56:$D$205,D155)&gt;1),AND(K155&lt;&gt;"",COUNTIF($K$56:$K$205,K155)&gt;1),AND(L155&lt;&gt;"",COUNTIF($L$56:$L$205,L155)&gt;1)),"OUI","NON"))</f>
        <v/>
      </c>
      <c r="AX155" s="113"/>
    </row>
    <row r="156" customFormat="false" ht="15" hidden="false" customHeight="true" outlineLevel="0" collapsed="false">
      <c r="A156" s="107" t="str">
        <f aca="false">IF(B156="","","DON"&amp;TEXT(ROW()-55,"00000"))</f>
        <v/>
      </c>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07" t="str">
        <f aca="false">IFERROR(INDEX(PARAMETRES!$B$536:$B$586,MATCH(X156,PARAMETRES!$J$536:$J$586,0)),"")</f>
        <v/>
      </c>
      <c r="Z156" s="107" t="str">
        <f aca="false">IFERROR(INDEX(PARAMETRES!$D$536:$D$586,MATCH(X156,PARAMETRES!$J$536:$J$586,0)),"")</f>
        <v/>
      </c>
      <c r="AA156" s="107" t="str">
        <f aca="false">IFERROR(INDEX(PARAMETRES!$F$536:$F$586,MATCH(X156,PARAMETRES!$J$536:$J$586,0)),"")</f>
        <v/>
      </c>
      <c r="AB156" s="113"/>
      <c r="AC156" s="114"/>
      <c r="AD156" s="113"/>
      <c r="AE156" s="114"/>
      <c r="AF156" s="114"/>
      <c r="AG156" s="113"/>
      <c r="AH156" s="113"/>
      <c r="AI156" s="107" t="n">
        <f aca="false">IF(A156="",0,COUNTIF(tbl_Donateurs_Opportunites[ID Donateur],A156))</f>
        <v>0</v>
      </c>
      <c r="AJ156" s="107" t="n">
        <f aca="false">IF(A156="",0,COUNTIFS(tbl_Donateurs_Opportunites[ID Donateur],A156,tbl_Donateurs_Opportunites[Statut],"Ouverte"))</f>
        <v>0</v>
      </c>
      <c r="AK156" s="107" t="n">
        <f aca="false">IF(A156="",0,COUNTIF(tbl_Donateurs_Demandes[ID Donateur],A156))</f>
        <v>0</v>
      </c>
      <c r="AL156" s="107" t="n">
        <f aca="false">IF(A156="",0,COUNTIFS(tbl_Donateurs_Demandes[ID Donateur],A156,tbl_Donateurs_Demandes[Statut],"Approuvee")+COUNTIFS(tbl_Donateurs_Demandes[ID Donateur],A156,tbl_Donateurs_Demandes[Statut],"Financement recu"))</f>
        <v>0</v>
      </c>
      <c r="AM156" s="108" t="n">
        <f aca="false">IF(A156="",0,SUMIF(tbl_Donateurs_Demandes[ID Donateur],A156,tbl_Donateurs_Demandes[Montant demande]))</f>
        <v>0</v>
      </c>
      <c r="AN156" s="108" t="n">
        <f aca="false">IF(A156="",0,SUMIF(tbl_Donateurs_Demandes[ID Donateur],A156,tbl_Donateurs_Demandes[Montant accorde]))</f>
        <v>0</v>
      </c>
      <c r="AO156" s="108" t="n">
        <f aca="false">IF(A156="",0,SUMIF(tbl_Donateurs_Decaissements[ID Donateur],A156,tbl_Donateurs_Decaissements[Montant recu]))</f>
        <v>0</v>
      </c>
      <c r="AP156" s="109" t="str">
        <f aca="false">IFERROR(AL156/AK156,"")</f>
        <v/>
      </c>
      <c r="AQ156" s="107" t="n">
        <f aca="false">IF(A156="",0,COUNTIF(tbl_Donateurs_Contacts[ID Donateur],A156))</f>
        <v>0</v>
      </c>
      <c r="AR156" s="107" t="n">
        <f aca="false">IF(A156="",0,COUNTIF(tbl_Donateurs_Documents[ID Donateur],A156))</f>
        <v>0</v>
      </c>
      <c r="AS156" s="107" t="n">
        <f aca="false">IF(A156="",0,COUNTIF(tbl_Donateurs_Conventions[ID Donateur],A156))</f>
        <v>0</v>
      </c>
      <c r="AT156" s="115" t="n">
        <f aca="false">IFERROR(_xlfn.MAXIFS(tbl_Donateurs_Decaissements[Date recue],tbl_Donateurs_Decaissements[ID Donateur],A156),"")</f>
        <v>0</v>
      </c>
      <c r="AU156" s="108" t="str">
        <f aca="false">IFERROR(AN156/AL156,"")</f>
        <v/>
      </c>
      <c r="AV156" s="107" t="str">
        <f aca="true">IF(A156="","",IF(OR(AB156="A relancer",AND(AF156&lt;&gt;"",AF156&lt;=TODAY())),"OUI","NON"))</f>
        <v/>
      </c>
      <c r="AW156" s="107" t="str">
        <f aca="false">IF(B156="","",IF(OR(COUNTIF($B$56:$B$205,B156)&gt;1,AND(D156&lt;&gt;"",COUNTIF($D$56:$D$205,D156)&gt;1),AND(K156&lt;&gt;"",COUNTIF($K$56:$K$205,K156)&gt;1),AND(L156&lt;&gt;"",COUNTIF($L$56:$L$205,L156)&gt;1)),"OUI","NON"))</f>
        <v/>
      </c>
      <c r="AX156" s="113"/>
    </row>
    <row r="157" customFormat="false" ht="15" hidden="false" customHeight="true" outlineLevel="0" collapsed="false">
      <c r="A157" s="107" t="str">
        <f aca="false">IF(B157="","","DON"&amp;TEXT(ROW()-55,"00000"))</f>
        <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07" t="str">
        <f aca="false">IFERROR(INDEX(PARAMETRES!$B$536:$B$586,MATCH(X157,PARAMETRES!$J$536:$J$586,0)),"")</f>
        <v/>
      </c>
      <c r="Z157" s="107" t="str">
        <f aca="false">IFERROR(INDEX(PARAMETRES!$D$536:$D$586,MATCH(X157,PARAMETRES!$J$536:$J$586,0)),"")</f>
        <v/>
      </c>
      <c r="AA157" s="107" t="str">
        <f aca="false">IFERROR(INDEX(PARAMETRES!$F$536:$F$586,MATCH(X157,PARAMETRES!$J$536:$J$586,0)),"")</f>
        <v/>
      </c>
      <c r="AB157" s="113"/>
      <c r="AC157" s="114"/>
      <c r="AD157" s="113"/>
      <c r="AE157" s="114"/>
      <c r="AF157" s="114"/>
      <c r="AG157" s="113"/>
      <c r="AH157" s="113"/>
      <c r="AI157" s="107" t="n">
        <f aca="false">IF(A157="",0,COUNTIF(tbl_Donateurs_Opportunites[ID Donateur],A157))</f>
        <v>0</v>
      </c>
      <c r="AJ157" s="107" t="n">
        <f aca="false">IF(A157="",0,COUNTIFS(tbl_Donateurs_Opportunites[ID Donateur],A157,tbl_Donateurs_Opportunites[Statut],"Ouverte"))</f>
        <v>0</v>
      </c>
      <c r="AK157" s="107" t="n">
        <f aca="false">IF(A157="",0,COUNTIF(tbl_Donateurs_Demandes[ID Donateur],A157))</f>
        <v>0</v>
      </c>
      <c r="AL157" s="107" t="n">
        <f aca="false">IF(A157="",0,COUNTIFS(tbl_Donateurs_Demandes[ID Donateur],A157,tbl_Donateurs_Demandes[Statut],"Approuvee")+COUNTIFS(tbl_Donateurs_Demandes[ID Donateur],A157,tbl_Donateurs_Demandes[Statut],"Financement recu"))</f>
        <v>0</v>
      </c>
      <c r="AM157" s="108" t="n">
        <f aca="false">IF(A157="",0,SUMIF(tbl_Donateurs_Demandes[ID Donateur],A157,tbl_Donateurs_Demandes[Montant demande]))</f>
        <v>0</v>
      </c>
      <c r="AN157" s="108" t="n">
        <f aca="false">IF(A157="",0,SUMIF(tbl_Donateurs_Demandes[ID Donateur],A157,tbl_Donateurs_Demandes[Montant accorde]))</f>
        <v>0</v>
      </c>
      <c r="AO157" s="108" t="n">
        <f aca="false">IF(A157="",0,SUMIF(tbl_Donateurs_Decaissements[ID Donateur],A157,tbl_Donateurs_Decaissements[Montant recu]))</f>
        <v>0</v>
      </c>
      <c r="AP157" s="109" t="str">
        <f aca="false">IFERROR(AL157/AK157,"")</f>
        <v/>
      </c>
      <c r="AQ157" s="107" t="n">
        <f aca="false">IF(A157="",0,COUNTIF(tbl_Donateurs_Contacts[ID Donateur],A157))</f>
        <v>0</v>
      </c>
      <c r="AR157" s="107" t="n">
        <f aca="false">IF(A157="",0,COUNTIF(tbl_Donateurs_Documents[ID Donateur],A157))</f>
        <v>0</v>
      </c>
      <c r="AS157" s="107" t="n">
        <f aca="false">IF(A157="",0,COUNTIF(tbl_Donateurs_Conventions[ID Donateur],A157))</f>
        <v>0</v>
      </c>
      <c r="AT157" s="115" t="n">
        <f aca="false">IFERROR(_xlfn.MAXIFS(tbl_Donateurs_Decaissements[Date recue],tbl_Donateurs_Decaissements[ID Donateur],A157),"")</f>
        <v>0</v>
      </c>
      <c r="AU157" s="108" t="str">
        <f aca="false">IFERROR(AN157/AL157,"")</f>
        <v/>
      </c>
      <c r="AV157" s="107" t="str">
        <f aca="true">IF(A157="","",IF(OR(AB157="A relancer",AND(AF157&lt;&gt;"",AF157&lt;=TODAY())),"OUI","NON"))</f>
        <v/>
      </c>
      <c r="AW157" s="107" t="str">
        <f aca="false">IF(B157="","",IF(OR(COUNTIF($B$56:$B$205,B157)&gt;1,AND(D157&lt;&gt;"",COUNTIF($D$56:$D$205,D157)&gt;1),AND(K157&lt;&gt;"",COUNTIF($K$56:$K$205,K157)&gt;1),AND(L157&lt;&gt;"",COUNTIF($L$56:$L$205,L157)&gt;1)),"OUI","NON"))</f>
        <v/>
      </c>
      <c r="AX157" s="113"/>
    </row>
    <row r="158" customFormat="false" ht="15" hidden="false" customHeight="true" outlineLevel="0" collapsed="false">
      <c r="A158" s="107" t="str">
        <f aca="false">IF(B158="","","DON"&amp;TEXT(ROW()-55,"00000"))</f>
        <v/>
      </c>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07" t="str">
        <f aca="false">IFERROR(INDEX(PARAMETRES!$B$536:$B$586,MATCH(X158,PARAMETRES!$J$536:$J$586,0)),"")</f>
        <v/>
      </c>
      <c r="Z158" s="107" t="str">
        <f aca="false">IFERROR(INDEX(PARAMETRES!$D$536:$D$586,MATCH(X158,PARAMETRES!$J$536:$J$586,0)),"")</f>
        <v/>
      </c>
      <c r="AA158" s="107" t="str">
        <f aca="false">IFERROR(INDEX(PARAMETRES!$F$536:$F$586,MATCH(X158,PARAMETRES!$J$536:$J$586,0)),"")</f>
        <v/>
      </c>
      <c r="AB158" s="113"/>
      <c r="AC158" s="114"/>
      <c r="AD158" s="113"/>
      <c r="AE158" s="114"/>
      <c r="AF158" s="114"/>
      <c r="AG158" s="113"/>
      <c r="AH158" s="113"/>
      <c r="AI158" s="107" t="n">
        <f aca="false">IF(A158="",0,COUNTIF(tbl_Donateurs_Opportunites[ID Donateur],A158))</f>
        <v>0</v>
      </c>
      <c r="AJ158" s="107" t="n">
        <f aca="false">IF(A158="",0,COUNTIFS(tbl_Donateurs_Opportunites[ID Donateur],A158,tbl_Donateurs_Opportunites[Statut],"Ouverte"))</f>
        <v>0</v>
      </c>
      <c r="AK158" s="107" t="n">
        <f aca="false">IF(A158="",0,COUNTIF(tbl_Donateurs_Demandes[ID Donateur],A158))</f>
        <v>0</v>
      </c>
      <c r="AL158" s="107" t="n">
        <f aca="false">IF(A158="",0,COUNTIFS(tbl_Donateurs_Demandes[ID Donateur],A158,tbl_Donateurs_Demandes[Statut],"Approuvee")+COUNTIFS(tbl_Donateurs_Demandes[ID Donateur],A158,tbl_Donateurs_Demandes[Statut],"Financement recu"))</f>
        <v>0</v>
      </c>
      <c r="AM158" s="108" t="n">
        <f aca="false">IF(A158="",0,SUMIF(tbl_Donateurs_Demandes[ID Donateur],A158,tbl_Donateurs_Demandes[Montant demande]))</f>
        <v>0</v>
      </c>
      <c r="AN158" s="108" t="n">
        <f aca="false">IF(A158="",0,SUMIF(tbl_Donateurs_Demandes[ID Donateur],A158,tbl_Donateurs_Demandes[Montant accorde]))</f>
        <v>0</v>
      </c>
      <c r="AO158" s="108" t="n">
        <f aca="false">IF(A158="",0,SUMIF(tbl_Donateurs_Decaissements[ID Donateur],A158,tbl_Donateurs_Decaissements[Montant recu]))</f>
        <v>0</v>
      </c>
      <c r="AP158" s="109" t="str">
        <f aca="false">IFERROR(AL158/AK158,"")</f>
        <v/>
      </c>
      <c r="AQ158" s="107" t="n">
        <f aca="false">IF(A158="",0,COUNTIF(tbl_Donateurs_Contacts[ID Donateur],A158))</f>
        <v>0</v>
      </c>
      <c r="AR158" s="107" t="n">
        <f aca="false">IF(A158="",0,COUNTIF(tbl_Donateurs_Documents[ID Donateur],A158))</f>
        <v>0</v>
      </c>
      <c r="AS158" s="107" t="n">
        <f aca="false">IF(A158="",0,COUNTIF(tbl_Donateurs_Conventions[ID Donateur],A158))</f>
        <v>0</v>
      </c>
      <c r="AT158" s="115" t="n">
        <f aca="false">IFERROR(_xlfn.MAXIFS(tbl_Donateurs_Decaissements[Date recue],tbl_Donateurs_Decaissements[ID Donateur],A158),"")</f>
        <v>0</v>
      </c>
      <c r="AU158" s="108" t="str">
        <f aca="false">IFERROR(AN158/AL158,"")</f>
        <v/>
      </c>
      <c r="AV158" s="107" t="str">
        <f aca="true">IF(A158="","",IF(OR(AB158="A relancer",AND(AF158&lt;&gt;"",AF158&lt;=TODAY())),"OUI","NON"))</f>
        <v/>
      </c>
      <c r="AW158" s="107" t="str">
        <f aca="false">IF(B158="","",IF(OR(COUNTIF($B$56:$B$205,B158)&gt;1,AND(D158&lt;&gt;"",COUNTIF($D$56:$D$205,D158)&gt;1),AND(K158&lt;&gt;"",COUNTIF($K$56:$K$205,K158)&gt;1),AND(L158&lt;&gt;"",COUNTIF($L$56:$L$205,L158)&gt;1)),"OUI","NON"))</f>
        <v/>
      </c>
      <c r="AX158" s="113"/>
    </row>
    <row r="159" customFormat="false" ht="15" hidden="false" customHeight="true" outlineLevel="0" collapsed="false">
      <c r="A159" s="107" t="str">
        <f aca="false">IF(B159="","","DON"&amp;TEXT(ROW()-55,"00000"))</f>
        <v/>
      </c>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07" t="str">
        <f aca="false">IFERROR(INDEX(PARAMETRES!$B$536:$B$586,MATCH(X159,PARAMETRES!$J$536:$J$586,0)),"")</f>
        <v/>
      </c>
      <c r="Z159" s="107" t="str">
        <f aca="false">IFERROR(INDEX(PARAMETRES!$D$536:$D$586,MATCH(X159,PARAMETRES!$J$536:$J$586,0)),"")</f>
        <v/>
      </c>
      <c r="AA159" s="107" t="str">
        <f aca="false">IFERROR(INDEX(PARAMETRES!$F$536:$F$586,MATCH(X159,PARAMETRES!$J$536:$J$586,0)),"")</f>
        <v/>
      </c>
      <c r="AB159" s="113"/>
      <c r="AC159" s="114"/>
      <c r="AD159" s="113"/>
      <c r="AE159" s="114"/>
      <c r="AF159" s="114"/>
      <c r="AG159" s="113"/>
      <c r="AH159" s="113"/>
      <c r="AI159" s="107" t="n">
        <f aca="false">IF(A159="",0,COUNTIF(tbl_Donateurs_Opportunites[ID Donateur],A159))</f>
        <v>0</v>
      </c>
      <c r="AJ159" s="107" t="n">
        <f aca="false">IF(A159="",0,COUNTIFS(tbl_Donateurs_Opportunites[ID Donateur],A159,tbl_Donateurs_Opportunites[Statut],"Ouverte"))</f>
        <v>0</v>
      </c>
      <c r="AK159" s="107" t="n">
        <f aca="false">IF(A159="",0,COUNTIF(tbl_Donateurs_Demandes[ID Donateur],A159))</f>
        <v>0</v>
      </c>
      <c r="AL159" s="107" t="n">
        <f aca="false">IF(A159="",0,COUNTIFS(tbl_Donateurs_Demandes[ID Donateur],A159,tbl_Donateurs_Demandes[Statut],"Approuvee")+COUNTIFS(tbl_Donateurs_Demandes[ID Donateur],A159,tbl_Donateurs_Demandes[Statut],"Financement recu"))</f>
        <v>0</v>
      </c>
      <c r="AM159" s="108" t="n">
        <f aca="false">IF(A159="",0,SUMIF(tbl_Donateurs_Demandes[ID Donateur],A159,tbl_Donateurs_Demandes[Montant demande]))</f>
        <v>0</v>
      </c>
      <c r="AN159" s="108" t="n">
        <f aca="false">IF(A159="",0,SUMIF(tbl_Donateurs_Demandes[ID Donateur],A159,tbl_Donateurs_Demandes[Montant accorde]))</f>
        <v>0</v>
      </c>
      <c r="AO159" s="108" t="n">
        <f aca="false">IF(A159="",0,SUMIF(tbl_Donateurs_Decaissements[ID Donateur],A159,tbl_Donateurs_Decaissements[Montant recu]))</f>
        <v>0</v>
      </c>
      <c r="AP159" s="109" t="str">
        <f aca="false">IFERROR(AL159/AK159,"")</f>
        <v/>
      </c>
      <c r="AQ159" s="107" t="n">
        <f aca="false">IF(A159="",0,COUNTIF(tbl_Donateurs_Contacts[ID Donateur],A159))</f>
        <v>0</v>
      </c>
      <c r="AR159" s="107" t="n">
        <f aca="false">IF(A159="",0,COUNTIF(tbl_Donateurs_Documents[ID Donateur],A159))</f>
        <v>0</v>
      </c>
      <c r="AS159" s="107" t="n">
        <f aca="false">IF(A159="",0,COUNTIF(tbl_Donateurs_Conventions[ID Donateur],A159))</f>
        <v>0</v>
      </c>
      <c r="AT159" s="115" t="n">
        <f aca="false">IFERROR(_xlfn.MAXIFS(tbl_Donateurs_Decaissements[Date recue],tbl_Donateurs_Decaissements[ID Donateur],A159),"")</f>
        <v>0</v>
      </c>
      <c r="AU159" s="108" t="str">
        <f aca="false">IFERROR(AN159/AL159,"")</f>
        <v/>
      </c>
      <c r="AV159" s="107" t="str">
        <f aca="true">IF(A159="","",IF(OR(AB159="A relancer",AND(AF159&lt;&gt;"",AF159&lt;=TODAY())),"OUI","NON"))</f>
        <v/>
      </c>
      <c r="AW159" s="107" t="str">
        <f aca="false">IF(B159="","",IF(OR(COUNTIF($B$56:$B$205,B159)&gt;1,AND(D159&lt;&gt;"",COUNTIF($D$56:$D$205,D159)&gt;1),AND(K159&lt;&gt;"",COUNTIF($K$56:$K$205,K159)&gt;1),AND(L159&lt;&gt;"",COUNTIF($L$56:$L$205,L159)&gt;1)),"OUI","NON"))</f>
        <v/>
      </c>
      <c r="AX159" s="113"/>
    </row>
    <row r="160" customFormat="false" ht="15" hidden="false" customHeight="true" outlineLevel="0" collapsed="false">
      <c r="A160" s="107" t="str">
        <f aca="false">IF(B160="","","DON"&amp;TEXT(ROW()-55,"00000"))</f>
        <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07" t="str">
        <f aca="false">IFERROR(INDEX(PARAMETRES!$B$536:$B$586,MATCH(X160,PARAMETRES!$J$536:$J$586,0)),"")</f>
        <v/>
      </c>
      <c r="Z160" s="107" t="str">
        <f aca="false">IFERROR(INDEX(PARAMETRES!$D$536:$D$586,MATCH(X160,PARAMETRES!$J$536:$J$586,0)),"")</f>
        <v/>
      </c>
      <c r="AA160" s="107" t="str">
        <f aca="false">IFERROR(INDEX(PARAMETRES!$F$536:$F$586,MATCH(X160,PARAMETRES!$J$536:$J$586,0)),"")</f>
        <v/>
      </c>
      <c r="AB160" s="113"/>
      <c r="AC160" s="114"/>
      <c r="AD160" s="113"/>
      <c r="AE160" s="114"/>
      <c r="AF160" s="114"/>
      <c r="AG160" s="113"/>
      <c r="AH160" s="113"/>
      <c r="AI160" s="107" t="n">
        <f aca="false">IF(A160="",0,COUNTIF(tbl_Donateurs_Opportunites[ID Donateur],A160))</f>
        <v>0</v>
      </c>
      <c r="AJ160" s="107" t="n">
        <f aca="false">IF(A160="",0,COUNTIFS(tbl_Donateurs_Opportunites[ID Donateur],A160,tbl_Donateurs_Opportunites[Statut],"Ouverte"))</f>
        <v>0</v>
      </c>
      <c r="AK160" s="107" t="n">
        <f aca="false">IF(A160="",0,COUNTIF(tbl_Donateurs_Demandes[ID Donateur],A160))</f>
        <v>0</v>
      </c>
      <c r="AL160" s="107" t="n">
        <f aca="false">IF(A160="",0,COUNTIFS(tbl_Donateurs_Demandes[ID Donateur],A160,tbl_Donateurs_Demandes[Statut],"Approuvee")+COUNTIFS(tbl_Donateurs_Demandes[ID Donateur],A160,tbl_Donateurs_Demandes[Statut],"Financement recu"))</f>
        <v>0</v>
      </c>
      <c r="AM160" s="108" t="n">
        <f aca="false">IF(A160="",0,SUMIF(tbl_Donateurs_Demandes[ID Donateur],A160,tbl_Donateurs_Demandes[Montant demande]))</f>
        <v>0</v>
      </c>
      <c r="AN160" s="108" t="n">
        <f aca="false">IF(A160="",0,SUMIF(tbl_Donateurs_Demandes[ID Donateur],A160,tbl_Donateurs_Demandes[Montant accorde]))</f>
        <v>0</v>
      </c>
      <c r="AO160" s="108" t="n">
        <f aca="false">IF(A160="",0,SUMIF(tbl_Donateurs_Decaissements[ID Donateur],A160,tbl_Donateurs_Decaissements[Montant recu]))</f>
        <v>0</v>
      </c>
      <c r="AP160" s="109" t="str">
        <f aca="false">IFERROR(AL160/AK160,"")</f>
        <v/>
      </c>
      <c r="AQ160" s="107" t="n">
        <f aca="false">IF(A160="",0,COUNTIF(tbl_Donateurs_Contacts[ID Donateur],A160))</f>
        <v>0</v>
      </c>
      <c r="AR160" s="107" t="n">
        <f aca="false">IF(A160="",0,COUNTIF(tbl_Donateurs_Documents[ID Donateur],A160))</f>
        <v>0</v>
      </c>
      <c r="AS160" s="107" t="n">
        <f aca="false">IF(A160="",0,COUNTIF(tbl_Donateurs_Conventions[ID Donateur],A160))</f>
        <v>0</v>
      </c>
      <c r="AT160" s="115" t="n">
        <f aca="false">IFERROR(_xlfn.MAXIFS(tbl_Donateurs_Decaissements[Date recue],tbl_Donateurs_Decaissements[ID Donateur],A160),"")</f>
        <v>0</v>
      </c>
      <c r="AU160" s="108" t="str">
        <f aca="false">IFERROR(AN160/AL160,"")</f>
        <v/>
      </c>
      <c r="AV160" s="107" t="str">
        <f aca="true">IF(A160="","",IF(OR(AB160="A relancer",AND(AF160&lt;&gt;"",AF160&lt;=TODAY())),"OUI","NON"))</f>
        <v/>
      </c>
      <c r="AW160" s="107" t="str">
        <f aca="false">IF(B160="","",IF(OR(COUNTIF($B$56:$B$205,B160)&gt;1,AND(D160&lt;&gt;"",COUNTIF($D$56:$D$205,D160)&gt;1),AND(K160&lt;&gt;"",COUNTIF($K$56:$K$205,K160)&gt;1),AND(L160&lt;&gt;"",COUNTIF($L$56:$L$205,L160)&gt;1)),"OUI","NON"))</f>
        <v/>
      </c>
      <c r="AX160" s="113"/>
    </row>
    <row r="161" customFormat="false" ht="15" hidden="false" customHeight="true" outlineLevel="0" collapsed="false">
      <c r="A161" s="107" t="str">
        <f aca="false">IF(B161="","","DON"&amp;TEXT(ROW()-55,"00000"))</f>
        <v/>
      </c>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07" t="str">
        <f aca="false">IFERROR(INDEX(PARAMETRES!$B$536:$B$586,MATCH(X161,PARAMETRES!$J$536:$J$586,0)),"")</f>
        <v/>
      </c>
      <c r="Z161" s="107" t="str">
        <f aca="false">IFERROR(INDEX(PARAMETRES!$D$536:$D$586,MATCH(X161,PARAMETRES!$J$536:$J$586,0)),"")</f>
        <v/>
      </c>
      <c r="AA161" s="107" t="str">
        <f aca="false">IFERROR(INDEX(PARAMETRES!$F$536:$F$586,MATCH(X161,PARAMETRES!$J$536:$J$586,0)),"")</f>
        <v/>
      </c>
      <c r="AB161" s="113"/>
      <c r="AC161" s="114"/>
      <c r="AD161" s="113"/>
      <c r="AE161" s="114"/>
      <c r="AF161" s="114"/>
      <c r="AG161" s="113"/>
      <c r="AH161" s="113"/>
      <c r="AI161" s="107" t="n">
        <f aca="false">IF(A161="",0,COUNTIF(tbl_Donateurs_Opportunites[ID Donateur],A161))</f>
        <v>0</v>
      </c>
      <c r="AJ161" s="107" t="n">
        <f aca="false">IF(A161="",0,COUNTIFS(tbl_Donateurs_Opportunites[ID Donateur],A161,tbl_Donateurs_Opportunites[Statut],"Ouverte"))</f>
        <v>0</v>
      </c>
      <c r="AK161" s="107" t="n">
        <f aca="false">IF(A161="",0,COUNTIF(tbl_Donateurs_Demandes[ID Donateur],A161))</f>
        <v>0</v>
      </c>
      <c r="AL161" s="107" t="n">
        <f aca="false">IF(A161="",0,COUNTIFS(tbl_Donateurs_Demandes[ID Donateur],A161,tbl_Donateurs_Demandes[Statut],"Approuvee")+COUNTIFS(tbl_Donateurs_Demandes[ID Donateur],A161,tbl_Donateurs_Demandes[Statut],"Financement recu"))</f>
        <v>0</v>
      </c>
      <c r="AM161" s="108" t="n">
        <f aca="false">IF(A161="",0,SUMIF(tbl_Donateurs_Demandes[ID Donateur],A161,tbl_Donateurs_Demandes[Montant demande]))</f>
        <v>0</v>
      </c>
      <c r="AN161" s="108" t="n">
        <f aca="false">IF(A161="",0,SUMIF(tbl_Donateurs_Demandes[ID Donateur],A161,tbl_Donateurs_Demandes[Montant accorde]))</f>
        <v>0</v>
      </c>
      <c r="AO161" s="108" t="n">
        <f aca="false">IF(A161="",0,SUMIF(tbl_Donateurs_Decaissements[ID Donateur],A161,tbl_Donateurs_Decaissements[Montant recu]))</f>
        <v>0</v>
      </c>
      <c r="AP161" s="109" t="str">
        <f aca="false">IFERROR(AL161/AK161,"")</f>
        <v/>
      </c>
      <c r="AQ161" s="107" t="n">
        <f aca="false">IF(A161="",0,COUNTIF(tbl_Donateurs_Contacts[ID Donateur],A161))</f>
        <v>0</v>
      </c>
      <c r="AR161" s="107" t="n">
        <f aca="false">IF(A161="",0,COUNTIF(tbl_Donateurs_Documents[ID Donateur],A161))</f>
        <v>0</v>
      </c>
      <c r="AS161" s="107" t="n">
        <f aca="false">IF(A161="",0,COUNTIF(tbl_Donateurs_Conventions[ID Donateur],A161))</f>
        <v>0</v>
      </c>
      <c r="AT161" s="115" t="n">
        <f aca="false">IFERROR(_xlfn.MAXIFS(tbl_Donateurs_Decaissements[Date recue],tbl_Donateurs_Decaissements[ID Donateur],A161),"")</f>
        <v>0</v>
      </c>
      <c r="AU161" s="108" t="str">
        <f aca="false">IFERROR(AN161/AL161,"")</f>
        <v/>
      </c>
      <c r="AV161" s="107" t="str">
        <f aca="true">IF(A161="","",IF(OR(AB161="A relancer",AND(AF161&lt;&gt;"",AF161&lt;=TODAY())),"OUI","NON"))</f>
        <v/>
      </c>
      <c r="AW161" s="107" t="str">
        <f aca="false">IF(B161="","",IF(OR(COUNTIF($B$56:$B$205,B161)&gt;1,AND(D161&lt;&gt;"",COUNTIF($D$56:$D$205,D161)&gt;1),AND(K161&lt;&gt;"",COUNTIF($K$56:$K$205,K161)&gt;1),AND(L161&lt;&gt;"",COUNTIF($L$56:$L$205,L161)&gt;1)),"OUI","NON"))</f>
        <v/>
      </c>
      <c r="AX161" s="113"/>
    </row>
    <row r="162" customFormat="false" ht="15" hidden="false" customHeight="true" outlineLevel="0" collapsed="false">
      <c r="A162" s="107" t="str">
        <f aca="false">IF(B162="","","DON"&amp;TEXT(ROW()-55,"00000"))</f>
        <v/>
      </c>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07" t="str">
        <f aca="false">IFERROR(INDEX(PARAMETRES!$B$536:$B$586,MATCH(X162,PARAMETRES!$J$536:$J$586,0)),"")</f>
        <v/>
      </c>
      <c r="Z162" s="107" t="str">
        <f aca="false">IFERROR(INDEX(PARAMETRES!$D$536:$D$586,MATCH(X162,PARAMETRES!$J$536:$J$586,0)),"")</f>
        <v/>
      </c>
      <c r="AA162" s="107" t="str">
        <f aca="false">IFERROR(INDEX(PARAMETRES!$F$536:$F$586,MATCH(X162,PARAMETRES!$J$536:$J$586,0)),"")</f>
        <v/>
      </c>
      <c r="AB162" s="113"/>
      <c r="AC162" s="114"/>
      <c r="AD162" s="113"/>
      <c r="AE162" s="114"/>
      <c r="AF162" s="114"/>
      <c r="AG162" s="113"/>
      <c r="AH162" s="113"/>
      <c r="AI162" s="107" t="n">
        <f aca="false">IF(A162="",0,COUNTIF(tbl_Donateurs_Opportunites[ID Donateur],A162))</f>
        <v>0</v>
      </c>
      <c r="AJ162" s="107" t="n">
        <f aca="false">IF(A162="",0,COUNTIFS(tbl_Donateurs_Opportunites[ID Donateur],A162,tbl_Donateurs_Opportunites[Statut],"Ouverte"))</f>
        <v>0</v>
      </c>
      <c r="AK162" s="107" t="n">
        <f aca="false">IF(A162="",0,COUNTIF(tbl_Donateurs_Demandes[ID Donateur],A162))</f>
        <v>0</v>
      </c>
      <c r="AL162" s="107" t="n">
        <f aca="false">IF(A162="",0,COUNTIFS(tbl_Donateurs_Demandes[ID Donateur],A162,tbl_Donateurs_Demandes[Statut],"Approuvee")+COUNTIFS(tbl_Donateurs_Demandes[ID Donateur],A162,tbl_Donateurs_Demandes[Statut],"Financement recu"))</f>
        <v>0</v>
      </c>
      <c r="AM162" s="108" t="n">
        <f aca="false">IF(A162="",0,SUMIF(tbl_Donateurs_Demandes[ID Donateur],A162,tbl_Donateurs_Demandes[Montant demande]))</f>
        <v>0</v>
      </c>
      <c r="AN162" s="108" t="n">
        <f aca="false">IF(A162="",0,SUMIF(tbl_Donateurs_Demandes[ID Donateur],A162,tbl_Donateurs_Demandes[Montant accorde]))</f>
        <v>0</v>
      </c>
      <c r="AO162" s="108" t="n">
        <f aca="false">IF(A162="",0,SUMIF(tbl_Donateurs_Decaissements[ID Donateur],A162,tbl_Donateurs_Decaissements[Montant recu]))</f>
        <v>0</v>
      </c>
      <c r="AP162" s="109" t="str">
        <f aca="false">IFERROR(AL162/AK162,"")</f>
        <v/>
      </c>
      <c r="AQ162" s="107" t="n">
        <f aca="false">IF(A162="",0,COUNTIF(tbl_Donateurs_Contacts[ID Donateur],A162))</f>
        <v>0</v>
      </c>
      <c r="AR162" s="107" t="n">
        <f aca="false">IF(A162="",0,COUNTIF(tbl_Donateurs_Documents[ID Donateur],A162))</f>
        <v>0</v>
      </c>
      <c r="AS162" s="107" t="n">
        <f aca="false">IF(A162="",0,COUNTIF(tbl_Donateurs_Conventions[ID Donateur],A162))</f>
        <v>0</v>
      </c>
      <c r="AT162" s="115" t="n">
        <f aca="false">IFERROR(_xlfn.MAXIFS(tbl_Donateurs_Decaissements[Date recue],tbl_Donateurs_Decaissements[ID Donateur],A162),"")</f>
        <v>0</v>
      </c>
      <c r="AU162" s="108" t="str">
        <f aca="false">IFERROR(AN162/AL162,"")</f>
        <v/>
      </c>
      <c r="AV162" s="107" t="str">
        <f aca="true">IF(A162="","",IF(OR(AB162="A relancer",AND(AF162&lt;&gt;"",AF162&lt;=TODAY())),"OUI","NON"))</f>
        <v/>
      </c>
      <c r="AW162" s="107" t="str">
        <f aca="false">IF(B162="","",IF(OR(COUNTIF($B$56:$B$205,B162)&gt;1,AND(D162&lt;&gt;"",COUNTIF($D$56:$D$205,D162)&gt;1),AND(K162&lt;&gt;"",COUNTIF($K$56:$K$205,K162)&gt;1),AND(L162&lt;&gt;"",COUNTIF($L$56:$L$205,L162)&gt;1)),"OUI","NON"))</f>
        <v/>
      </c>
      <c r="AX162" s="113"/>
    </row>
    <row r="163" customFormat="false" ht="15" hidden="false" customHeight="true" outlineLevel="0" collapsed="false">
      <c r="A163" s="107" t="str">
        <f aca="false">IF(B163="","","DON"&amp;TEXT(ROW()-55,"00000"))</f>
        <v/>
      </c>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07" t="str">
        <f aca="false">IFERROR(INDEX(PARAMETRES!$B$536:$B$586,MATCH(X163,PARAMETRES!$J$536:$J$586,0)),"")</f>
        <v/>
      </c>
      <c r="Z163" s="107" t="str">
        <f aca="false">IFERROR(INDEX(PARAMETRES!$D$536:$D$586,MATCH(X163,PARAMETRES!$J$536:$J$586,0)),"")</f>
        <v/>
      </c>
      <c r="AA163" s="107" t="str">
        <f aca="false">IFERROR(INDEX(PARAMETRES!$F$536:$F$586,MATCH(X163,PARAMETRES!$J$536:$J$586,0)),"")</f>
        <v/>
      </c>
      <c r="AB163" s="113"/>
      <c r="AC163" s="114"/>
      <c r="AD163" s="113"/>
      <c r="AE163" s="114"/>
      <c r="AF163" s="114"/>
      <c r="AG163" s="113"/>
      <c r="AH163" s="113"/>
      <c r="AI163" s="107" t="n">
        <f aca="false">IF(A163="",0,COUNTIF(tbl_Donateurs_Opportunites[ID Donateur],A163))</f>
        <v>0</v>
      </c>
      <c r="AJ163" s="107" t="n">
        <f aca="false">IF(A163="",0,COUNTIFS(tbl_Donateurs_Opportunites[ID Donateur],A163,tbl_Donateurs_Opportunites[Statut],"Ouverte"))</f>
        <v>0</v>
      </c>
      <c r="AK163" s="107" t="n">
        <f aca="false">IF(A163="",0,COUNTIF(tbl_Donateurs_Demandes[ID Donateur],A163))</f>
        <v>0</v>
      </c>
      <c r="AL163" s="107" t="n">
        <f aca="false">IF(A163="",0,COUNTIFS(tbl_Donateurs_Demandes[ID Donateur],A163,tbl_Donateurs_Demandes[Statut],"Approuvee")+COUNTIFS(tbl_Donateurs_Demandes[ID Donateur],A163,tbl_Donateurs_Demandes[Statut],"Financement recu"))</f>
        <v>0</v>
      </c>
      <c r="AM163" s="108" t="n">
        <f aca="false">IF(A163="",0,SUMIF(tbl_Donateurs_Demandes[ID Donateur],A163,tbl_Donateurs_Demandes[Montant demande]))</f>
        <v>0</v>
      </c>
      <c r="AN163" s="108" t="n">
        <f aca="false">IF(A163="",0,SUMIF(tbl_Donateurs_Demandes[ID Donateur],A163,tbl_Donateurs_Demandes[Montant accorde]))</f>
        <v>0</v>
      </c>
      <c r="AO163" s="108" t="n">
        <f aca="false">IF(A163="",0,SUMIF(tbl_Donateurs_Decaissements[ID Donateur],A163,tbl_Donateurs_Decaissements[Montant recu]))</f>
        <v>0</v>
      </c>
      <c r="AP163" s="109" t="str">
        <f aca="false">IFERROR(AL163/AK163,"")</f>
        <v/>
      </c>
      <c r="AQ163" s="107" t="n">
        <f aca="false">IF(A163="",0,COUNTIF(tbl_Donateurs_Contacts[ID Donateur],A163))</f>
        <v>0</v>
      </c>
      <c r="AR163" s="107" t="n">
        <f aca="false">IF(A163="",0,COUNTIF(tbl_Donateurs_Documents[ID Donateur],A163))</f>
        <v>0</v>
      </c>
      <c r="AS163" s="107" t="n">
        <f aca="false">IF(A163="",0,COUNTIF(tbl_Donateurs_Conventions[ID Donateur],A163))</f>
        <v>0</v>
      </c>
      <c r="AT163" s="115" t="n">
        <f aca="false">IFERROR(_xlfn.MAXIFS(tbl_Donateurs_Decaissements[Date recue],tbl_Donateurs_Decaissements[ID Donateur],A163),"")</f>
        <v>0</v>
      </c>
      <c r="AU163" s="108" t="str">
        <f aca="false">IFERROR(AN163/AL163,"")</f>
        <v/>
      </c>
      <c r="AV163" s="107" t="str">
        <f aca="true">IF(A163="","",IF(OR(AB163="A relancer",AND(AF163&lt;&gt;"",AF163&lt;=TODAY())),"OUI","NON"))</f>
        <v/>
      </c>
      <c r="AW163" s="107" t="str">
        <f aca="false">IF(B163="","",IF(OR(COUNTIF($B$56:$B$205,B163)&gt;1,AND(D163&lt;&gt;"",COUNTIF($D$56:$D$205,D163)&gt;1),AND(K163&lt;&gt;"",COUNTIF($K$56:$K$205,K163)&gt;1),AND(L163&lt;&gt;"",COUNTIF($L$56:$L$205,L163)&gt;1)),"OUI","NON"))</f>
        <v/>
      </c>
      <c r="AX163" s="113"/>
    </row>
    <row r="164" customFormat="false" ht="15" hidden="false" customHeight="true" outlineLevel="0" collapsed="false">
      <c r="A164" s="107" t="str">
        <f aca="false">IF(B164="","","DON"&amp;TEXT(ROW()-55,"00000"))</f>
        <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07" t="str">
        <f aca="false">IFERROR(INDEX(PARAMETRES!$B$536:$B$586,MATCH(X164,PARAMETRES!$J$536:$J$586,0)),"")</f>
        <v/>
      </c>
      <c r="Z164" s="107" t="str">
        <f aca="false">IFERROR(INDEX(PARAMETRES!$D$536:$D$586,MATCH(X164,PARAMETRES!$J$536:$J$586,0)),"")</f>
        <v/>
      </c>
      <c r="AA164" s="107" t="str">
        <f aca="false">IFERROR(INDEX(PARAMETRES!$F$536:$F$586,MATCH(X164,PARAMETRES!$J$536:$J$586,0)),"")</f>
        <v/>
      </c>
      <c r="AB164" s="113"/>
      <c r="AC164" s="114"/>
      <c r="AD164" s="113"/>
      <c r="AE164" s="114"/>
      <c r="AF164" s="114"/>
      <c r="AG164" s="113"/>
      <c r="AH164" s="113"/>
      <c r="AI164" s="107" t="n">
        <f aca="false">IF(A164="",0,COUNTIF(tbl_Donateurs_Opportunites[ID Donateur],A164))</f>
        <v>0</v>
      </c>
      <c r="AJ164" s="107" t="n">
        <f aca="false">IF(A164="",0,COUNTIFS(tbl_Donateurs_Opportunites[ID Donateur],A164,tbl_Donateurs_Opportunites[Statut],"Ouverte"))</f>
        <v>0</v>
      </c>
      <c r="AK164" s="107" t="n">
        <f aca="false">IF(A164="",0,COUNTIF(tbl_Donateurs_Demandes[ID Donateur],A164))</f>
        <v>0</v>
      </c>
      <c r="AL164" s="107" t="n">
        <f aca="false">IF(A164="",0,COUNTIFS(tbl_Donateurs_Demandes[ID Donateur],A164,tbl_Donateurs_Demandes[Statut],"Approuvee")+COUNTIFS(tbl_Donateurs_Demandes[ID Donateur],A164,tbl_Donateurs_Demandes[Statut],"Financement recu"))</f>
        <v>0</v>
      </c>
      <c r="AM164" s="108" t="n">
        <f aca="false">IF(A164="",0,SUMIF(tbl_Donateurs_Demandes[ID Donateur],A164,tbl_Donateurs_Demandes[Montant demande]))</f>
        <v>0</v>
      </c>
      <c r="AN164" s="108" t="n">
        <f aca="false">IF(A164="",0,SUMIF(tbl_Donateurs_Demandes[ID Donateur],A164,tbl_Donateurs_Demandes[Montant accorde]))</f>
        <v>0</v>
      </c>
      <c r="AO164" s="108" t="n">
        <f aca="false">IF(A164="",0,SUMIF(tbl_Donateurs_Decaissements[ID Donateur],A164,tbl_Donateurs_Decaissements[Montant recu]))</f>
        <v>0</v>
      </c>
      <c r="AP164" s="109" t="str">
        <f aca="false">IFERROR(AL164/AK164,"")</f>
        <v/>
      </c>
      <c r="AQ164" s="107" t="n">
        <f aca="false">IF(A164="",0,COUNTIF(tbl_Donateurs_Contacts[ID Donateur],A164))</f>
        <v>0</v>
      </c>
      <c r="AR164" s="107" t="n">
        <f aca="false">IF(A164="",0,COUNTIF(tbl_Donateurs_Documents[ID Donateur],A164))</f>
        <v>0</v>
      </c>
      <c r="AS164" s="107" t="n">
        <f aca="false">IF(A164="",0,COUNTIF(tbl_Donateurs_Conventions[ID Donateur],A164))</f>
        <v>0</v>
      </c>
      <c r="AT164" s="115" t="n">
        <f aca="false">IFERROR(_xlfn.MAXIFS(tbl_Donateurs_Decaissements[Date recue],tbl_Donateurs_Decaissements[ID Donateur],A164),"")</f>
        <v>0</v>
      </c>
      <c r="AU164" s="108" t="str">
        <f aca="false">IFERROR(AN164/AL164,"")</f>
        <v/>
      </c>
      <c r="AV164" s="107" t="str">
        <f aca="true">IF(A164="","",IF(OR(AB164="A relancer",AND(AF164&lt;&gt;"",AF164&lt;=TODAY())),"OUI","NON"))</f>
        <v/>
      </c>
      <c r="AW164" s="107" t="str">
        <f aca="false">IF(B164="","",IF(OR(COUNTIF($B$56:$B$205,B164)&gt;1,AND(D164&lt;&gt;"",COUNTIF($D$56:$D$205,D164)&gt;1),AND(K164&lt;&gt;"",COUNTIF($K$56:$K$205,K164)&gt;1),AND(L164&lt;&gt;"",COUNTIF($L$56:$L$205,L164)&gt;1)),"OUI","NON"))</f>
        <v/>
      </c>
      <c r="AX164" s="113"/>
    </row>
    <row r="165" customFormat="false" ht="15" hidden="false" customHeight="true" outlineLevel="0" collapsed="false">
      <c r="A165" s="107" t="str">
        <f aca="false">IF(B165="","","DON"&amp;TEXT(ROW()-55,"00000"))</f>
        <v/>
      </c>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07" t="str">
        <f aca="false">IFERROR(INDEX(PARAMETRES!$B$536:$B$586,MATCH(X165,PARAMETRES!$J$536:$J$586,0)),"")</f>
        <v/>
      </c>
      <c r="Z165" s="107" t="str">
        <f aca="false">IFERROR(INDEX(PARAMETRES!$D$536:$D$586,MATCH(X165,PARAMETRES!$J$536:$J$586,0)),"")</f>
        <v/>
      </c>
      <c r="AA165" s="107" t="str">
        <f aca="false">IFERROR(INDEX(PARAMETRES!$F$536:$F$586,MATCH(X165,PARAMETRES!$J$536:$J$586,0)),"")</f>
        <v/>
      </c>
      <c r="AB165" s="113"/>
      <c r="AC165" s="114"/>
      <c r="AD165" s="113"/>
      <c r="AE165" s="114"/>
      <c r="AF165" s="114"/>
      <c r="AG165" s="113"/>
      <c r="AH165" s="113"/>
      <c r="AI165" s="107" t="n">
        <f aca="false">IF(A165="",0,COUNTIF(tbl_Donateurs_Opportunites[ID Donateur],A165))</f>
        <v>0</v>
      </c>
      <c r="AJ165" s="107" t="n">
        <f aca="false">IF(A165="",0,COUNTIFS(tbl_Donateurs_Opportunites[ID Donateur],A165,tbl_Donateurs_Opportunites[Statut],"Ouverte"))</f>
        <v>0</v>
      </c>
      <c r="AK165" s="107" t="n">
        <f aca="false">IF(A165="",0,COUNTIF(tbl_Donateurs_Demandes[ID Donateur],A165))</f>
        <v>0</v>
      </c>
      <c r="AL165" s="107" t="n">
        <f aca="false">IF(A165="",0,COUNTIFS(tbl_Donateurs_Demandes[ID Donateur],A165,tbl_Donateurs_Demandes[Statut],"Approuvee")+COUNTIFS(tbl_Donateurs_Demandes[ID Donateur],A165,tbl_Donateurs_Demandes[Statut],"Financement recu"))</f>
        <v>0</v>
      </c>
      <c r="AM165" s="108" t="n">
        <f aca="false">IF(A165="",0,SUMIF(tbl_Donateurs_Demandes[ID Donateur],A165,tbl_Donateurs_Demandes[Montant demande]))</f>
        <v>0</v>
      </c>
      <c r="AN165" s="108" t="n">
        <f aca="false">IF(A165="",0,SUMIF(tbl_Donateurs_Demandes[ID Donateur],A165,tbl_Donateurs_Demandes[Montant accorde]))</f>
        <v>0</v>
      </c>
      <c r="AO165" s="108" t="n">
        <f aca="false">IF(A165="",0,SUMIF(tbl_Donateurs_Decaissements[ID Donateur],A165,tbl_Donateurs_Decaissements[Montant recu]))</f>
        <v>0</v>
      </c>
      <c r="AP165" s="109" t="str">
        <f aca="false">IFERROR(AL165/AK165,"")</f>
        <v/>
      </c>
      <c r="AQ165" s="107" t="n">
        <f aca="false">IF(A165="",0,COUNTIF(tbl_Donateurs_Contacts[ID Donateur],A165))</f>
        <v>0</v>
      </c>
      <c r="AR165" s="107" t="n">
        <f aca="false">IF(A165="",0,COUNTIF(tbl_Donateurs_Documents[ID Donateur],A165))</f>
        <v>0</v>
      </c>
      <c r="AS165" s="107" t="n">
        <f aca="false">IF(A165="",0,COUNTIF(tbl_Donateurs_Conventions[ID Donateur],A165))</f>
        <v>0</v>
      </c>
      <c r="AT165" s="115" t="n">
        <f aca="false">IFERROR(_xlfn.MAXIFS(tbl_Donateurs_Decaissements[Date recue],tbl_Donateurs_Decaissements[ID Donateur],A165),"")</f>
        <v>0</v>
      </c>
      <c r="AU165" s="108" t="str">
        <f aca="false">IFERROR(AN165/AL165,"")</f>
        <v/>
      </c>
      <c r="AV165" s="107" t="str">
        <f aca="true">IF(A165="","",IF(OR(AB165="A relancer",AND(AF165&lt;&gt;"",AF165&lt;=TODAY())),"OUI","NON"))</f>
        <v/>
      </c>
      <c r="AW165" s="107" t="str">
        <f aca="false">IF(B165="","",IF(OR(COUNTIF($B$56:$B$205,B165)&gt;1,AND(D165&lt;&gt;"",COUNTIF($D$56:$D$205,D165)&gt;1),AND(K165&lt;&gt;"",COUNTIF($K$56:$K$205,K165)&gt;1),AND(L165&lt;&gt;"",COUNTIF($L$56:$L$205,L165)&gt;1)),"OUI","NON"))</f>
        <v/>
      </c>
      <c r="AX165" s="113"/>
    </row>
    <row r="166" customFormat="false" ht="15" hidden="false" customHeight="true" outlineLevel="0" collapsed="false">
      <c r="A166" s="107" t="str">
        <f aca="false">IF(B166="","","DON"&amp;TEXT(ROW()-55,"00000"))</f>
        <v/>
      </c>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07" t="str">
        <f aca="false">IFERROR(INDEX(PARAMETRES!$B$536:$B$586,MATCH(X166,PARAMETRES!$J$536:$J$586,0)),"")</f>
        <v/>
      </c>
      <c r="Z166" s="107" t="str">
        <f aca="false">IFERROR(INDEX(PARAMETRES!$D$536:$D$586,MATCH(X166,PARAMETRES!$J$536:$J$586,0)),"")</f>
        <v/>
      </c>
      <c r="AA166" s="107" t="str">
        <f aca="false">IFERROR(INDEX(PARAMETRES!$F$536:$F$586,MATCH(X166,PARAMETRES!$J$536:$J$586,0)),"")</f>
        <v/>
      </c>
      <c r="AB166" s="113"/>
      <c r="AC166" s="114"/>
      <c r="AD166" s="113"/>
      <c r="AE166" s="114"/>
      <c r="AF166" s="114"/>
      <c r="AG166" s="113"/>
      <c r="AH166" s="113"/>
      <c r="AI166" s="107" t="n">
        <f aca="false">IF(A166="",0,COUNTIF(tbl_Donateurs_Opportunites[ID Donateur],A166))</f>
        <v>0</v>
      </c>
      <c r="AJ166" s="107" t="n">
        <f aca="false">IF(A166="",0,COUNTIFS(tbl_Donateurs_Opportunites[ID Donateur],A166,tbl_Donateurs_Opportunites[Statut],"Ouverte"))</f>
        <v>0</v>
      </c>
      <c r="AK166" s="107" t="n">
        <f aca="false">IF(A166="",0,COUNTIF(tbl_Donateurs_Demandes[ID Donateur],A166))</f>
        <v>0</v>
      </c>
      <c r="AL166" s="107" t="n">
        <f aca="false">IF(A166="",0,COUNTIFS(tbl_Donateurs_Demandes[ID Donateur],A166,tbl_Donateurs_Demandes[Statut],"Approuvee")+COUNTIFS(tbl_Donateurs_Demandes[ID Donateur],A166,tbl_Donateurs_Demandes[Statut],"Financement recu"))</f>
        <v>0</v>
      </c>
      <c r="AM166" s="108" t="n">
        <f aca="false">IF(A166="",0,SUMIF(tbl_Donateurs_Demandes[ID Donateur],A166,tbl_Donateurs_Demandes[Montant demande]))</f>
        <v>0</v>
      </c>
      <c r="AN166" s="108" t="n">
        <f aca="false">IF(A166="",0,SUMIF(tbl_Donateurs_Demandes[ID Donateur],A166,tbl_Donateurs_Demandes[Montant accorde]))</f>
        <v>0</v>
      </c>
      <c r="AO166" s="108" t="n">
        <f aca="false">IF(A166="",0,SUMIF(tbl_Donateurs_Decaissements[ID Donateur],A166,tbl_Donateurs_Decaissements[Montant recu]))</f>
        <v>0</v>
      </c>
      <c r="AP166" s="109" t="str">
        <f aca="false">IFERROR(AL166/AK166,"")</f>
        <v/>
      </c>
      <c r="AQ166" s="107" t="n">
        <f aca="false">IF(A166="",0,COUNTIF(tbl_Donateurs_Contacts[ID Donateur],A166))</f>
        <v>0</v>
      </c>
      <c r="AR166" s="107" t="n">
        <f aca="false">IF(A166="",0,COUNTIF(tbl_Donateurs_Documents[ID Donateur],A166))</f>
        <v>0</v>
      </c>
      <c r="AS166" s="107" t="n">
        <f aca="false">IF(A166="",0,COUNTIF(tbl_Donateurs_Conventions[ID Donateur],A166))</f>
        <v>0</v>
      </c>
      <c r="AT166" s="115" t="n">
        <f aca="false">IFERROR(_xlfn.MAXIFS(tbl_Donateurs_Decaissements[Date recue],tbl_Donateurs_Decaissements[ID Donateur],A166),"")</f>
        <v>0</v>
      </c>
      <c r="AU166" s="108" t="str">
        <f aca="false">IFERROR(AN166/AL166,"")</f>
        <v/>
      </c>
      <c r="AV166" s="107" t="str">
        <f aca="true">IF(A166="","",IF(OR(AB166="A relancer",AND(AF166&lt;&gt;"",AF166&lt;=TODAY())),"OUI","NON"))</f>
        <v/>
      </c>
      <c r="AW166" s="107" t="str">
        <f aca="false">IF(B166="","",IF(OR(COUNTIF($B$56:$B$205,B166)&gt;1,AND(D166&lt;&gt;"",COUNTIF($D$56:$D$205,D166)&gt;1),AND(K166&lt;&gt;"",COUNTIF($K$56:$K$205,K166)&gt;1),AND(L166&lt;&gt;"",COUNTIF($L$56:$L$205,L166)&gt;1)),"OUI","NON"))</f>
        <v/>
      </c>
      <c r="AX166" s="113"/>
    </row>
    <row r="167" customFormat="false" ht="15" hidden="false" customHeight="true" outlineLevel="0" collapsed="false">
      <c r="A167" s="107" t="str">
        <f aca="false">IF(B167="","","DON"&amp;TEXT(ROW()-55,"00000"))</f>
        <v/>
      </c>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07" t="str">
        <f aca="false">IFERROR(INDEX(PARAMETRES!$B$536:$B$586,MATCH(X167,PARAMETRES!$J$536:$J$586,0)),"")</f>
        <v/>
      </c>
      <c r="Z167" s="107" t="str">
        <f aca="false">IFERROR(INDEX(PARAMETRES!$D$536:$D$586,MATCH(X167,PARAMETRES!$J$536:$J$586,0)),"")</f>
        <v/>
      </c>
      <c r="AA167" s="107" t="str">
        <f aca="false">IFERROR(INDEX(PARAMETRES!$F$536:$F$586,MATCH(X167,PARAMETRES!$J$536:$J$586,0)),"")</f>
        <v/>
      </c>
      <c r="AB167" s="113"/>
      <c r="AC167" s="114"/>
      <c r="AD167" s="113"/>
      <c r="AE167" s="114"/>
      <c r="AF167" s="114"/>
      <c r="AG167" s="113"/>
      <c r="AH167" s="113"/>
      <c r="AI167" s="107" t="n">
        <f aca="false">IF(A167="",0,COUNTIF(tbl_Donateurs_Opportunites[ID Donateur],A167))</f>
        <v>0</v>
      </c>
      <c r="AJ167" s="107" t="n">
        <f aca="false">IF(A167="",0,COUNTIFS(tbl_Donateurs_Opportunites[ID Donateur],A167,tbl_Donateurs_Opportunites[Statut],"Ouverte"))</f>
        <v>0</v>
      </c>
      <c r="AK167" s="107" t="n">
        <f aca="false">IF(A167="",0,COUNTIF(tbl_Donateurs_Demandes[ID Donateur],A167))</f>
        <v>0</v>
      </c>
      <c r="AL167" s="107" t="n">
        <f aca="false">IF(A167="",0,COUNTIFS(tbl_Donateurs_Demandes[ID Donateur],A167,tbl_Donateurs_Demandes[Statut],"Approuvee")+COUNTIFS(tbl_Donateurs_Demandes[ID Donateur],A167,tbl_Donateurs_Demandes[Statut],"Financement recu"))</f>
        <v>0</v>
      </c>
      <c r="AM167" s="108" t="n">
        <f aca="false">IF(A167="",0,SUMIF(tbl_Donateurs_Demandes[ID Donateur],A167,tbl_Donateurs_Demandes[Montant demande]))</f>
        <v>0</v>
      </c>
      <c r="AN167" s="108" t="n">
        <f aca="false">IF(A167="",0,SUMIF(tbl_Donateurs_Demandes[ID Donateur],A167,tbl_Donateurs_Demandes[Montant accorde]))</f>
        <v>0</v>
      </c>
      <c r="AO167" s="108" t="n">
        <f aca="false">IF(A167="",0,SUMIF(tbl_Donateurs_Decaissements[ID Donateur],A167,tbl_Donateurs_Decaissements[Montant recu]))</f>
        <v>0</v>
      </c>
      <c r="AP167" s="109" t="str">
        <f aca="false">IFERROR(AL167/AK167,"")</f>
        <v/>
      </c>
      <c r="AQ167" s="107" t="n">
        <f aca="false">IF(A167="",0,COUNTIF(tbl_Donateurs_Contacts[ID Donateur],A167))</f>
        <v>0</v>
      </c>
      <c r="AR167" s="107" t="n">
        <f aca="false">IF(A167="",0,COUNTIF(tbl_Donateurs_Documents[ID Donateur],A167))</f>
        <v>0</v>
      </c>
      <c r="AS167" s="107" t="n">
        <f aca="false">IF(A167="",0,COUNTIF(tbl_Donateurs_Conventions[ID Donateur],A167))</f>
        <v>0</v>
      </c>
      <c r="AT167" s="115" t="n">
        <f aca="false">IFERROR(_xlfn.MAXIFS(tbl_Donateurs_Decaissements[Date recue],tbl_Donateurs_Decaissements[ID Donateur],A167),"")</f>
        <v>0</v>
      </c>
      <c r="AU167" s="108" t="str">
        <f aca="false">IFERROR(AN167/AL167,"")</f>
        <v/>
      </c>
      <c r="AV167" s="107" t="str">
        <f aca="true">IF(A167="","",IF(OR(AB167="A relancer",AND(AF167&lt;&gt;"",AF167&lt;=TODAY())),"OUI","NON"))</f>
        <v/>
      </c>
      <c r="AW167" s="107" t="str">
        <f aca="false">IF(B167="","",IF(OR(COUNTIF($B$56:$B$205,B167)&gt;1,AND(D167&lt;&gt;"",COUNTIF($D$56:$D$205,D167)&gt;1),AND(K167&lt;&gt;"",COUNTIF($K$56:$K$205,K167)&gt;1),AND(L167&lt;&gt;"",COUNTIF($L$56:$L$205,L167)&gt;1)),"OUI","NON"))</f>
        <v/>
      </c>
      <c r="AX167" s="113"/>
    </row>
    <row r="168" customFormat="false" ht="15" hidden="false" customHeight="true" outlineLevel="0" collapsed="false">
      <c r="A168" s="107" t="str">
        <f aca="false">IF(B168="","","DON"&amp;TEXT(ROW()-55,"00000"))</f>
        <v/>
      </c>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07" t="str">
        <f aca="false">IFERROR(INDEX(PARAMETRES!$B$536:$B$586,MATCH(X168,PARAMETRES!$J$536:$J$586,0)),"")</f>
        <v/>
      </c>
      <c r="Z168" s="107" t="str">
        <f aca="false">IFERROR(INDEX(PARAMETRES!$D$536:$D$586,MATCH(X168,PARAMETRES!$J$536:$J$586,0)),"")</f>
        <v/>
      </c>
      <c r="AA168" s="107" t="str">
        <f aca="false">IFERROR(INDEX(PARAMETRES!$F$536:$F$586,MATCH(X168,PARAMETRES!$J$536:$J$586,0)),"")</f>
        <v/>
      </c>
      <c r="AB168" s="113"/>
      <c r="AC168" s="114"/>
      <c r="AD168" s="113"/>
      <c r="AE168" s="114"/>
      <c r="AF168" s="114"/>
      <c r="AG168" s="113"/>
      <c r="AH168" s="113"/>
      <c r="AI168" s="107" t="n">
        <f aca="false">IF(A168="",0,COUNTIF(tbl_Donateurs_Opportunites[ID Donateur],A168))</f>
        <v>0</v>
      </c>
      <c r="AJ168" s="107" t="n">
        <f aca="false">IF(A168="",0,COUNTIFS(tbl_Donateurs_Opportunites[ID Donateur],A168,tbl_Donateurs_Opportunites[Statut],"Ouverte"))</f>
        <v>0</v>
      </c>
      <c r="AK168" s="107" t="n">
        <f aca="false">IF(A168="",0,COUNTIF(tbl_Donateurs_Demandes[ID Donateur],A168))</f>
        <v>0</v>
      </c>
      <c r="AL168" s="107" t="n">
        <f aca="false">IF(A168="",0,COUNTIFS(tbl_Donateurs_Demandes[ID Donateur],A168,tbl_Donateurs_Demandes[Statut],"Approuvee")+COUNTIFS(tbl_Donateurs_Demandes[ID Donateur],A168,tbl_Donateurs_Demandes[Statut],"Financement recu"))</f>
        <v>0</v>
      </c>
      <c r="AM168" s="108" t="n">
        <f aca="false">IF(A168="",0,SUMIF(tbl_Donateurs_Demandes[ID Donateur],A168,tbl_Donateurs_Demandes[Montant demande]))</f>
        <v>0</v>
      </c>
      <c r="AN168" s="108" t="n">
        <f aca="false">IF(A168="",0,SUMIF(tbl_Donateurs_Demandes[ID Donateur],A168,tbl_Donateurs_Demandes[Montant accorde]))</f>
        <v>0</v>
      </c>
      <c r="AO168" s="108" t="n">
        <f aca="false">IF(A168="",0,SUMIF(tbl_Donateurs_Decaissements[ID Donateur],A168,tbl_Donateurs_Decaissements[Montant recu]))</f>
        <v>0</v>
      </c>
      <c r="AP168" s="109" t="str">
        <f aca="false">IFERROR(AL168/AK168,"")</f>
        <v/>
      </c>
      <c r="AQ168" s="107" t="n">
        <f aca="false">IF(A168="",0,COUNTIF(tbl_Donateurs_Contacts[ID Donateur],A168))</f>
        <v>0</v>
      </c>
      <c r="AR168" s="107" t="n">
        <f aca="false">IF(A168="",0,COUNTIF(tbl_Donateurs_Documents[ID Donateur],A168))</f>
        <v>0</v>
      </c>
      <c r="AS168" s="107" t="n">
        <f aca="false">IF(A168="",0,COUNTIF(tbl_Donateurs_Conventions[ID Donateur],A168))</f>
        <v>0</v>
      </c>
      <c r="AT168" s="115" t="n">
        <f aca="false">IFERROR(_xlfn.MAXIFS(tbl_Donateurs_Decaissements[Date recue],tbl_Donateurs_Decaissements[ID Donateur],A168),"")</f>
        <v>0</v>
      </c>
      <c r="AU168" s="108" t="str">
        <f aca="false">IFERROR(AN168/AL168,"")</f>
        <v/>
      </c>
      <c r="AV168" s="107" t="str">
        <f aca="true">IF(A168="","",IF(OR(AB168="A relancer",AND(AF168&lt;&gt;"",AF168&lt;=TODAY())),"OUI","NON"))</f>
        <v/>
      </c>
      <c r="AW168" s="107" t="str">
        <f aca="false">IF(B168="","",IF(OR(COUNTIF($B$56:$B$205,B168)&gt;1,AND(D168&lt;&gt;"",COUNTIF($D$56:$D$205,D168)&gt;1),AND(K168&lt;&gt;"",COUNTIF($K$56:$K$205,K168)&gt;1),AND(L168&lt;&gt;"",COUNTIF($L$56:$L$205,L168)&gt;1)),"OUI","NON"))</f>
        <v/>
      </c>
      <c r="AX168" s="113"/>
    </row>
    <row r="169" customFormat="false" ht="15" hidden="false" customHeight="true" outlineLevel="0" collapsed="false">
      <c r="A169" s="107" t="str">
        <f aca="false">IF(B169="","","DON"&amp;TEXT(ROW()-55,"00000"))</f>
        <v/>
      </c>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07" t="str">
        <f aca="false">IFERROR(INDEX(PARAMETRES!$B$536:$B$586,MATCH(X169,PARAMETRES!$J$536:$J$586,0)),"")</f>
        <v/>
      </c>
      <c r="Z169" s="107" t="str">
        <f aca="false">IFERROR(INDEX(PARAMETRES!$D$536:$D$586,MATCH(X169,PARAMETRES!$J$536:$J$586,0)),"")</f>
        <v/>
      </c>
      <c r="AA169" s="107" t="str">
        <f aca="false">IFERROR(INDEX(PARAMETRES!$F$536:$F$586,MATCH(X169,PARAMETRES!$J$536:$J$586,0)),"")</f>
        <v/>
      </c>
      <c r="AB169" s="113"/>
      <c r="AC169" s="114"/>
      <c r="AD169" s="113"/>
      <c r="AE169" s="114"/>
      <c r="AF169" s="114"/>
      <c r="AG169" s="113"/>
      <c r="AH169" s="113"/>
      <c r="AI169" s="107" t="n">
        <f aca="false">IF(A169="",0,COUNTIF(tbl_Donateurs_Opportunites[ID Donateur],A169))</f>
        <v>0</v>
      </c>
      <c r="AJ169" s="107" t="n">
        <f aca="false">IF(A169="",0,COUNTIFS(tbl_Donateurs_Opportunites[ID Donateur],A169,tbl_Donateurs_Opportunites[Statut],"Ouverte"))</f>
        <v>0</v>
      </c>
      <c r="AK169" s="107" t="n">
        <f aca="false">IF(A169="",0,COUNTIF(tbl_Donateurs_Demandes[ID Donateur],A169))</f>
        <v>0</v>
      </c>
      <c r="AL169" s="107" t="n">
        <f aca="false">IF(A169="",0,COUNTIFS(tbl_Donateurs_Demandes[ID Donateur],A169,tbl_Donateurs_Demandes[Statut],"Approuvee")+COUNTIFS(tbl_Donateurs_Demandes[ID Donateur],A169,tbl_Donateurs_Demandes[Statut],"Financement recu"))</f>
        <v>0</v>
      </c>
      <c r="AM169" s="108" t="n">
        <f aca="false">IF(A169="",0,SUMIF(tbl_Donateurs_Demandes[ID Donateur],A169,tbl_Donateurs_Demandes[Montant demande]))</f>
        <v>0</v>
      </c>
      <c r="AN169" s="108" t="n">
        <f aca="false">IF(A169="",0,SUMIF(tbl_Donateurs_Demandes[ID Donateur],A169,tbl_Donateurs_Demandes[Montant accorde]))</f>
        <v>0</v>
      </c>
      <c r="AO169" s="108" t="n">
        <f aca="false">IF(A169="",0,SUMIF(tbl_Donateurs_Decaissements[ID Donateur],A169,tbl_Donateurs_Decaissements[Montant recu]))</f>
        <v>0</v>
      </c>
      <c r="AP169" s="109" t="str">
        <f aca="false">IFERROR(AL169/AK169,"")</f>
        <v/>
      </c>
      <c r="AQ169" s="107" t="n">
        <f aca="false">IF(A169="",0,COUNTIF(tbl_Donateurs_Contacts[ID Donateur],A169))</f>
        <v>0</v>
      </c>
      <c r="AR169" s="107" t="n">
        <f aca="false">IF(A169="",0,COUNTIF(tbl_Donateurs_Documents[ID Donateur],A169))</f>
        <v>0</v>
      </c>
      <c r="AS169" s="107" t="n">
        <f aca="false">IF(A169="",0,COUNTIF(tbl_Donateurs_Conventions[ID Donateur],A169))</f>
        <v>0</v>
      </c>
      <c r="AT169" s="115" t="n">
        <f aca="false">IFERROR(_xlfn.MAXIFS(tbl_Donateurs_Decaissements[Date recue],tbl_Donateurs_Decaissements[ID Donateur],A169),"")</f>
        <v>0</v>
      </c>
      <c r="AU169" s="108" t="str">
        <f aca="false">IFERROR(AN169/AL169,"")</f>
        <v/>
      </c>
      <c r="AV169" s="107" t="str">
        <f aca="true">IF(A169="","",IF(OR(AB169="A relancer",AND(AF169&lt;&gt;"",AF169&lt;=TODAY())),"OUI","NON"))</f>
        <v/>
      </c>
      <c r="AW169" s="107" t="str">
        <f aca="false">IF(B169="","",IF(OR(COUNTIF($B$56:$B$205,B169)&gt;1,AND(D169&lt;&gt;"",COUNTIF($D$56:$D$205,D169)&gt;1),AND(K169&lt;&gt;"",COUNTIF($K$56:$K$205,K169)&gt;1),AND(L169&lt;&gt;"",COUNTIF($L$56:$L$205,L169)&gt;1)),"OUI","NON"))</f>
        <v/>
      </c>
      <c r="AX169" s="113"/>
    </row>
    <row r="170" customFormat="false" ht="15" hidden="false" customHeight="true" outlineLevel="0" collapsed="false">
      <c r="A170" s="107" t="str">
        <f aca="false">IF(B170="","","DON"&amp;TEXT(ROW()-55,"00000"))</f>
        <v/>
      </c>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07" t="str">
        <f aca="false">IFERROR(INDEX(PARAMETRES!$B$536:$B$586,MATCH(X170,PARAMETRES!$J$536:$J$586,0)),"")</f>
        <v/>
      </c>
      <c r="Z170" s="107" t="str">
        <f aca="false">IFERROR(INDEX(PARAMETRES!$D$536:$D$586,MATCH(X170,PARAMETRES!$J$536:$J$586,0)),"")</f>
        <v/>
      </c>
      <c r="AA170" s="107" t="str">
        <f aca="false">IFERROR(INDEX(PARAMETRES!$F$536:$F$586,MATCH(X170,PARAMETRES!$J$536:$J$586,0)),"")</f>
        <v/>
      </c>
      <c r="AB170" s="113"/>
      <c r="AC170" s="114"/>
      <c r="AD170" s="113"/>
      <c r="AE170" s="114"/>
      <c r="AF170" s="114"/>
      <c r="AG170" s="113"/>
      <c r="AH170" s="113"/>
      <c r="AI170" s="107" t="n">
        <f aca="false">IF(A170="",0,COUNTIF(tbl_Donateurs_Opportunites[ID Donateur],A170))</f>
        <v>0</v>
      </c>
      <c r="AJ170" s="107" t="n">
        <f aca="false">IF(A170="",0,COUNTIFS(tbl_Donateurs_Opportunites[ID Donateur],A170,tbl_Donateurs_Opportunites[Statut],"Ouverte"))</f>
        <v>0</v>
      </c>
      <c r="AK170" s="107" t="n">
        <f aca="false">IF(A170="",0,COUNTIF(tbl_Donateurs_Demandes[ID Donateur],A170))</f>
        <v>0</v>
      </c>
      <c r="AL170" s="107" t="n">
        <f aca="false">IF(A170="",0,COUNTIFS(tbl_Donateurs_Demandes[ID Donateur],A170,tbl_Donateurs_Demandes[Statut],"Approuvee")+COUNTIFS(tbl_Donateurs_Demandes[ID Donateur],A170,tbl_Donateurs_Demandes[Statut],"Financement recu"))</f>
        <v>0</v>
      </c>
      <c r="AM170" s="108" t="n">
        <f aca="false">IF(A170="",0,SUMIF(tbl_Donateurs_Demandes[ID Donateur],A170,tbl_Donateurs_Demandes[Montant demande]))</f>
        <v>0</v>
      </c>
      <c r="AN170" s="108" t="n">
        <f aca="false">IF(A170="",0,SUMIF(tbl_Donateurs_Demandes[ID Donateur],A170,tbl_Donateurs_Demandes[Montant accorde]))</f>
        <v>0</v>
      </c>
      <c r="AO170" s="108" t="n">
        <f aca="false">IF(A170="",0,SUMIF(tbl_Donateurs_Decaissements[ID Donateur],A170,tbl_Donateurs_Decaissements[Montant recu]))</f>
        <v>0</v>
      </c>
      <c r="AP170" s="109" t="str">
        <f aca="false">IFERROR(AL170/AK170,"")</f>
        <v/>
      </c>
      <c r="AQ170" s="107" t="n">
        <f aca="false">IF(A170="",0,COUNTIF(tbl_Donateurs_Contacts[ID Donateur],A170))</f>
        <v>0</v>
      </c>
      <c r="AR170" s="107" t="n">
        <f aca="false">IF(A170="",0,COUNTIF(tbl_Donateurs_Documents[ID Donateur],A170))</f>
        <v>0</v>
      </c>
      <c r="AS170" s="107" t="n">
        <f aca="false">IF(A170="",0,COUNTIF(tbl_Donateurs_Conventions[ID Donateur],A170))</f>
        <v>0</v>
      </c>
      <c r="AT170" s="115" t="n">
        <f aca="false">IFERROR(_xlfn.MAXIFS(tbl_Donateurs_Decaissements[Date recue],tbl_Donateurs_Decaissements[ID Donateur],A170),"")</f>
        <v>0</v>
      </c>
      <c r="AU170" s="108" t="str">
        <f aca="false">IFERROR(AN170/AL170,"")</f>
        <v/>
      </c>
      <c r="AV170" s="107" t="str">
        <f aca="true">IF(A170="","",IF(OR(AB170="A relancer",AND(AF170&lt;&gt;"",AF170&lt;=TODAY())),"OUI","NON"))</f>
        <v/>
      </c>
      <c r="AW170" s="107" t="str">
        <f aca="false">IF(B170="","",IF(OR(COUNTIF($B$56:$B$205,B170)&gt;1,AND(D170&lt;&gt;"",COUNTIF($D$56:$D$205,D170)&gt;1),AND(K170&lt;&gt;"",COUNTIF($K$56:$K$205,K170)&gt;1),AND(L170&lt;&gt;"",COUNTIF($L$56:$L$205,L170)&gt;1)),"OUI","NON"))</f>
        <v/>
      </c>
      <c r="AX170" s="113"/>
    </row>
    <row r="171" customFormat="false" ht="15" hidden="false" customHeight="true" outlineLevel="0" collapsed="false">
      <c r="A171" s="107" t="str">
        <f aca="false">IF(B171="","","DON"&amp;TEXT(ROW()-55,"00000"))</f>
        <v/>
      </c>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07" t="str">
        <f aca="false">IFERROR(INDEX(PARAMETRES!$B$536:$B$586,MATCH(X171,PARAMETRES!$J$536:$J$586,0)),"")</f>
        <v/>
      </c>
      <c r="Z171" s="107" t="str">
        <f aca="false">IFERROR(INDEX(PARAMETRES!$D$536:$D$586,MATCH(X171,PARAMETRES!$J$536:$J$586,0)),"")</f>
        <v/>
      </c>
      <c r="AA171" s="107" t="str">
        <f aca="false">IFERROR(INDEX(PARAMETRES!$F$536:$F$586,MATCH(X171,PARAMETRES!$J$536:$J$586,0)),"")</f>
        <v/>
      </c>
      <c r="AB171" s="113"/>
      <c r="AC171" s="114"/>
      <c r="AD171" s="113"/>
      <c r="AE171" s="114"/>
      <c r="AF171" s="114"/>
      <c r="AG171" s="113"/>
      <c r="AH171" s="113"/>
      <c r="AI171" s="107" t="n">
        <f aca="false">IF(A171="",0,COUNTIF(tbl_Donateurs_Opportunites[ID Donateur],A171))</f>
        <v>0</v>
      </c>
      <c r="AJ171" s="107" t="n">
        <f aca="false">IF(A171="",0,COUNTIFS(tbl_Donateurs_Opportunites[ID Donateur],A171,tbl_Donateurs_Opportunites[Statut],"Ouverte"))</f>
        <v>0</v>
      </c>
      <c r="AK171" s="107" t="n">
        <f aca="false">IF(A171="",0,COUNTIF(tbl_Donateurs_Demandes[ID Donateur],A171))</f>
        <v>0</v>
      </c>
      <c r="AL171" s="107" t="n">
        <f aca="false">IF(A171="",0,COUNTIFS(tbl_Donateurs_Demandes[ID Donateur],A171,tbl_Donateurs_Demandes[Statut],"Approuvee")+COUNTIFS(tbl_Donateurs_Demandes[ID Donateur],A171,tbl_Donateurs_Demandes[Statut],"Financement recu"))</f>
        <v>0</v>
      </c>
      <c r="AM171" s="108" t="n">
        <f aca="false">IF(A171="",0,SUMIF(tbl_Donateurs_Demandes[ID Donateur],A171,tbl_Donateurs_Demandes[Montant demande]))</f>
        <v>0</v>
      </c>
      <c r="AN171" s="108" t="n">
        <f aca="false">IF(A171="",0,SUMIF(tbl_Donateurs_Demandes[ID Donateur],A171,tbl_Donateurs_Demandes[Montant accorde]))</f>
        <v>0</v>
      </c>
      <c r="AO171" s="108" t="n">
        <f aca="false">IF(A171="",0,SUMIF(tbl_Donateurs_Decaissements[ID Donateur],A171,tbl_Donateurs_Decaissements[Montant recu]))</f>
        <v>0</v>
      </c>
      <c r="AP171" s="109" t="str">
        <f aca="false">IFERROR(AL171/AK171,"")</f>
        <v/>
      </c>
      <c r="AQ171" s="107" t="n">
        <f aca="false">IF(A171="",0,COUNTIF(tbl_Donateurs_Contacts[ID Donateur],A171))</f>
        <v>0</v>
      </c>
      <c r="AR171" s="107" t="n">
        <f aca="false">IF(A171="",0,COUNTIF(tbl_Donateurs_Documents[ID Donateur],A171))</f>
        <v>0</v>
      </c>
      <c r="AS171" s="107" t="n">
        <f aca="false">IF(A171="",0,COUNTIF(tbl_Donateurs_Conventions[ID Donateur],A171))</f>
        <v>0</v>
      </c>
      <c r="AT171" s="115" t="n">
        <f aca="false">IFERROR(_xlfn.MAXIFS(tbl_Donateurs_Decaissements[Date recue],tbl_Donateurs_Decaissements[ID Donateur],A171),"")</f>
        <v>0</v>
      </c>
      <c r="AU171" s="108" t="str">
        <f aca="false">IFERROR(AN171/AL171,"")</f>
        <v/>
      </c>
      <c r="AV171" s="107" t="str">
        <f aca="true">IF(A171="","",IF(OR(AB171="A relancer",AND(AF171&lt;&gt;"",AF171&lt;=TODAY())),"OUI","NON"))</f>
        <v/>
      </c>
      <c r="AW171" s="107" t="str">
        <f aca="false">IF(B171="","",IF(OR(COUNTIF($B$56:$B$205,B171)&gt;1,AND(D171&lt;&gt;"",COUNTIF($D$56:$D$205,D171)&gt;1),AND(K171&lt;&gt;"",COUNTIF($K$56:$K$205,K171)&gt;1),AND(L171&lt;&gt;"",COUNTIF($L$56:$L$205,L171)&gt;1)),"OUI","NON"))</f>
        <v/>
      </c>
      <c r="AX171" s="113"/>
    </row>
    <row r="172" customFormat="false" ht="15" hidden="false" customHeight="true" outlineLevel="0" collapsed="false">
      <c r="A172" s="107" t="str">
        <f aca="false">IF(B172="","","DON"&amp;TEXT(ROW()-55,"00000"))</f>
        <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07" t="str">
        <f aca="false">IFERROR(INDEX(PARAMETRES!$B$536:$B$586,MATCH(X172,PARAMETRES!$J$536:$J$586,0)),"")</f>
        <v/>
      </c>
      <c r="Z172" s="107" t="str">
        <f aca="false">IFERROR(INDEX(PARAMETRES!$D$536:$D$586,MATCH(X172,PARAMETRES!$J$536:$J$586,0)),"")</f>
        <v/>
      </c>
      <c r="AA172" s="107" t="str">
        <f aca="false">IFERROR(INDEX(PARAMETRES!$F$536:$F$586,MATCH(X172,PARAMETRES!$J$536:$J$586,0)),"")</f>
        <v/>
      </c>
      <c r="AB172" s="113"/>
      <c r="AC172" s="114"/>
      <c r="AD172" s="113"/>
      <c r="AE172" s="114"/>
      <c r="AF172" s="114"/>
      <c r="AG172" s="113"/>
      <c r="AH172" s="113"/>
      <c r="AI172" s="107" t="n">
        <f aca="false">IF(A172="",0,COUNTIF(tbl_Donateurs_Opportunites[ID Donateur],A172))</f>
        <v>0</v>
      </c>
      <c r="AJ172" s="107" t="n">
        <f aca="false">IF(A172="",0,COUNTIFS(tbl_Donateurs_Opportunites[ID Donateur],A172,tbl_Donateurs_Opportunites[Statut],"Ouverte"))</f>
        <v>0</v>
      </c>
      <c r="AK172" s="107" t="n">
        <f aca="false">IF(A172="",0,COUNTIF(tbl_Donateurs_Demandes[ID Donateur],A172))</f>
        <v>0</v>
      </c>
      <c r="AL172" s="107" t="n">
        <f aca="false">IF(A172="",0,COUNTIFS(tbl_Donateurs_Demandes[ID Donateur],A172,tbl_Donateurs_Demandes[Statut],"Approuvee")+COUNTIFS(tbl_Donateurs_Demandes[ID Donateur],A172,tbl_Donateurs_Demandes[Statut],"Financement recu"))</f>
        <v>0</v>
      </c>
      <c r="AM172" s="108" t="n">
        <f aca="false">IF(A172="",0,SUMIF(tbl_Donateurs_Demandes[ID Donateur],A172,tbl_Donateurs_Demandes[Montant demande]))</f>
        <v>0</v>
      </c>
      <c r="AN172" s="108" t="n">
        <f aca="false">IF(A172="",0,SUMIF(tbl_Donateurs_Demandes[ID Donateur],A172,tbl_Donateurs_Demandes[Montant accorde]))</f>
        <v>0</v>
      </c>
      <c r="AO172" s="108" t="n">
        <f aca="false">IF(A172="",0,SUMIF(tbl_Donateurs_Decaissements[ID Donateur],A172,tbl_Donateurs_Decaissements[Montant recu]))</f>
        <v>0</v>
      </c>
      <c r="AP172" s="109" t="str">
        <f aca="false">IFERROR(AL172/AK172,"")</f>
        <v/>
      </c>
      <c r="AQ172" s="107" t="n">
        <f aca="false">IF(A172="",0,COUNTIF(tbl_Donateurs_Contacts[ID Donateur],A172))</f>
        <v>0</v>
      </c>
      <c r="AR172" s="107" t="n">
        <f aca="false">IF(A172="",0,COUNTIF(tbl_Donateurs_Documents[ID Donateur],A172))</f>
        <v>0</v>
      </c>
      <c r="AS172" s="107" t="n">
        <f aca="false">IF(A172="",0,COUNTIF(tbl_Donateurs_Conventions[ID Donateur],A172))</f>
        <v>0</v>
      </c>
      <c r="AT172" s="115" t="n">
        <f aca="false">IFERROR(_xlfn.MAXIFS(tbl_Donateurs_Decaissements[Date recue],tbl_Donateurs_Decaissements[ID Donateur],A172),"")</f>
        <v>0</v>
      </c>
      <c r="AU172" s="108" t="str">
        <f aca="false">IFERROR(AN172/AL172,"")</f>
        <v/>
      </c>
      <c r="AV172" s="107" t="str">
        <f aca="true">IF(A172="","",IF(OR(AB172="A relancer",AND(AF172&lt;&gt;"",AF172&lt;=TODAY())),"OUI","NON"))</f>
        <v/>
      </c>
      <c r="AW172" s="107" t="str">
        <f aca="false">IF(B172="","",IF(OR(COUNTIF($B$56:$B$205,B172)&gt;1,AND(D172&lt;&gt;"",COUNTIF($D$56:$D$205,D172)&gt;1),AND(K172&lt;&gt;"",COUNTIF($K$56:$K$205,K172)&gt;1),AND(L172&lt;&gt;"",COUNTIF($L$56:$L$205,L172)&gt;1)),"OUI","NON"))</f>
        <v/>
      </c>
      <c r="AX172" s="113"/>
    </row>
    <row r="173" customFormat="false" ht="15" hidden="false" customHeight="true" outlineLevel="0" collapsed="false">
      <c r="A173" s="107" t="str">
        <f aca="false">IF(B173="","","DON"&amp;TEXT(ROW()-55,"00000"))</f>
        <v/>
      </c>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07" t="str">
        <f aca="false">IFERROR(INDEX(PARAMETRES!$B$536:$B$586,MATCH(X173,PARAMETRES!$J$536:$J$586,0)),"")</f>
        <v/>
      </c>
      <c r="Z173" s="107" t="str">
        <f aca="false">IFERROR(INDEX(PARAMETRES!$D$536:$D$586,MATCH(X173,PARAMETRES!$J$536:$J$586,0)),"")</f>
        <v/>
      </c>
      <c r="AA173" s="107" t="str">
        <f aca="false">IFERROR(INDEX(PARAMETRES!$F$536:$F$586,MATCH(X173,PARAMETRES!$J$536:$J$586,0)),"")</f>
        <v/>
      </c>
      <c r="AB173" s="113"/>
      <c r="AC173" s="114"/>
      <c r="AD173" s="113"/>
      <c r="AE173" s="114"/>
      <c r="AF173" s="114"/>
      <c r="AG173" s="113"/>
      <c r="AH173" s="113"/>
      <c r="AI173" s="107" t="n">
        <f aca="false">IF(A173="",0,COUNTIF(tbl_Donateurs_Opportunites[ID Donateur],A173))</f>
        <v>0</v>
      </c>
      <c r="AJ173" s="107" t="n">
        <f aca="false">IF(A173="",0,COUNTIFS(tbl_Donateurs_Opportunites[ID Donateur],A173,tbl_Donateurs_Opportunites[Statut],"Ouverte"))</f>
        <v>0</v>
      </c>
      <c r="AK173" s="107" t="n">
        <f aca="false">IF(A173="",0,COUNTIF(tbl_Donateurs_Demandes[ID Donateur],A173))</f>
        <v>0</v>
      </c>
      <c r="AL173" s="107" t="n">
        <f aca="false">IF(A173="",0,COUNTIFS(tbl_Donateurs_Demandes[ID Donateur],A173,tbl_Donateurs_Demandes[Statut],"Approuvee")+COUNTIFS(tbl_Donateurs_Demandes[ID Donateur],A173,tbl_Donateurs_Demandes[Statut],"Financement recu"))</f>
        <v>0</v>
      </c>
      <c r="AM173" s="108" t="n">
        <f aca="false">IF(A173="",0,SUMIF(tbl_Donateurs_Demandes[ID Donateur],A173,tbl_Donateurs_Demandes[Montant demande]))</f>
        <v>0</v>
      </c>
      <c r="AN173" s="108" t="n">
        <f aca="false">IF(A173="",0,SUMIF(tbl_Donateurs_Demandes[ID Donateur],A173,tbl_Donateurs_Demandes[Montant accorde]))</f>
        <v>0</v>
      </c>
      <c r="AO173" s="108" t="n">
        <f aca="false">IF(A173="",0,SUMIF(tbl_Donateurs_Decaissements[ID Donateur],A173,tbl_Donateurs_Decaissements[Montant recu]))</f>
        <v>0</v>
      </c>
      <c r="AP173" s="109" t="str">
        <f aca="false">IFERROR(AL173/AK173,"")</f>
        <v/>
      </c>
      <c r="AQ173" s="107" t="n">
        <f aca="false">IF(A173="",0,COUNTIF(tbl_Donateurs_Contacts[ID Donateur],A173))</f>
        <v>0</v>
      </c>
      <c r="AR173" s="107" t="n">
        <f aca="false">IF(A173="",0,COUNTIF(tbl_Donateurs_Documents[ID Donateur],A173))</f>
        <v>0</v>
      </c>
      <c r="AS173" s="107" t="n">
        <f aca="false">IF(A173="",0,COUNTIF(tbl_Donateurs_Conventions[ID Donateur],A173))</f>
        <v>0</v>
      </c>
      <c r="AT173" s="115" t="n">
        <f aca="false">IFERROR(_xlfn.MAXIFS(tbl_Donateurs_Decaissements[Date recue],tbl_Donateurs_Decaissements[ID Donateur],A173),"")</f>
        <v>0</v>
      </c>
      <c r="AU173" s="108" t="str">
        <f aca="false">IFERROR(AN173/AL173,"")</f>
        <v/>
      </c>
      <c r="AV173" s="107" t="str">
        <f aca="true">IF(A173="","",IF(OR(AB173="A relancer",AND(AF173&lt;&gt;"",AF173&lt;=TODAY())),"OUI","NON"))</f>
        <v/>
      </c>
      <c r="AW173" s="107" t="str">
        <f aca="false">IF(B173="","",IF(OR(COUNTIF($B$56:$B$205,B173)&gt;1,AND(D173&lt;&gt;"",COUNTIF($D$56:$D$205,D173)&gt;1),AND(K173&lt;&gt;"",COUNTIF($K$56:$K$205,K173)&gt;1),AND(L173&lt;&gt;"",COUNTIF($L$56:$L$205,L173)&gt;1)),"OUI","NON"))</f>
        <v/>
      </c>
      <c r="AX173" s="113"/>
    </row>
    <row r="174" customFormat="false" ht="15" hidden="false" customHeight="true" outlineLevel="0" collapsed="false">
      <c r="A174" s="107" t="str">
        <f aca="false">IF(B174="","","DON"&amp;TEXT(ROW()-55,"00000"))</f>
        <v/>
      </c>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07" t="str">
        <f aca="false">IFERROR(INDEX(PARAMETRES!$B$536:$B$586,MATCH(X174,PARAMETRES!$J$536:$J$586,0)),"")</f>
        <v/>
      </c>
      <c r="Z174" s="107" t="str">
        <f aca="false">IFERROR(INDEX(PARAMETRES!$D$536:$D$586,MATCH(X174,PARAMETRES!$J$536:$J$586,0)),"")</f>
        <v/>
      </c>
      <c r="AA174" s="107" t="str">
        <f aca="false">IFERROR(INDEX(PARAMETRES!$F$536:$F$586,MATCH(X174,PARAMETRES!$J$536:$J$586,0)),"")</f>
        <v/>
      </c>
      <c r="AB174" s="113"/>
      <c r="AC174" s="114"/>
      <c r="AD174" s="113"/>
      <c r="AE174" s="114"/>
      <c r="AF174" s="114"/>
      <c r="AG174" s="113"/>
      <c r="AH174" s="113"/>
      <c r="AI174" s="107" t="n">
        <f aca="false">IF(A174="",0,COUNTIF(tbl_Donateurs_Opportunites[ID Donateur],A174))</f>
        <v>0</v>
      </c>
      <c r="AJ174" s="107" t="n">
        <f aca="false">IF(A174="",0,COUNTIFS(tbl_Donateurs_Opportunites[ID Donateur],A174,tbl_Donateurs_Opportunites[Statut],"Ouverte"))</f>
        <v>0</v>
      </c>
      <c r="AK174" s="107" t="n">
        <f aca="false">IF(A174="",0,COUNTIF(tbl_Donateurs_Demandes[ID Donateur],A174))</f>
        <v>0</v>
      </c>
      <c r="AL174" s="107" t="n">
        <f aca="false">IF(A174="",0,COUNTIFS(tbl_Donateurs_Demandes[ID Donateur],A174,tbl_Donateurs_Demandes[Statut],"Approuvee")+COUNTIFS(tbl_Donateurs_Demandes[ID Donateur],A174,tbl_Donateurs_Demandes[Statut],"Financement recu"))</f>
        <v>0</v>
      </c>
      <c r="AM174" s="108" t="n">
        <f aca="false">IF(A174="",0,SUMIF(tbl_Donateurs_Demandes[ID Donateur],A174,tbl_Donateurs_Demandes[Montant demande]))</f>
        <v>0</v>
      </c>
      <c r="AN174" s="108" t="n">
        <f aca="false">IF(A174="",0,SUMIF(tbl_Donateurs_Demandes[ID Donateur],A174,tbl_Donateurs_Demandes[Montant accorde]))</f>
        <v>0</v>
      </c>
      <c r="AO174" s="108" t="n">
        <f aca="false">IF(A174="",0,SUMIF(tbl_Donateurs_Decaissements[ID Donateur],A174,tbl_Donateurs_Decaissements[Montant recu]))</f>
        <v>0</v>
      </c>
      <c r="AP174" s="109" t="str">
        <f aca="false">IFERROR(AL174/AK174,"")</f>
        <v/>
      </c>
      <c r="AQ174" s="107" t="n">
        <f aca="false">IF(A174="",0,COUNTIF(tbl_Donateurs_Contacts[ID Donateur],A174))</f>
        <v>0</v>
      </c>
      <c r="AR174" s="107" t="n">
        <f aca="false">IF(A174="",0,COUNTIF(tbl_Donateurs_Documents[ID Donateur],A174))</f>
        <v>0</v>
      </c>
      <c r="AS174" s="107" t="n">
        <f aca="false">IF(A174="",0,COUNTIF(tbl_Donateurs_Conventions[ID Donateur],A174))</f>
        <v>0</v>
      </c>
      <c r="AT174" s="115" t="n">
        <f aca="false">IFERROR(_xlfn.MAXIFS(tbl_Donateurs_Decaissements[Date recue],tbl_Donateurs_Decaissements[ID Donateur],A174),"")</f>
        <v>0</v>
      </c>
      <c r="AU174" s="108" t="str">
        <f aca="false">IFERROR(AN174/AL174,"")</f>
        <v/>
      </c>
      <c r="AV174" s="107" t="str">
        <f aca="true">IF(A174="","",IF(OR(AB174="A relancer",AND(AF174&lt;&gt;"",AF174&lt;=TODAY())),"OUI","NON"))</f>
        <v/>
      </c>
      <c r="AW174" s="107" t="str">
        <f aca="false">IF(B174="","",IF(OR(COUNTIF($B$56:$B$205,B174)&gt;1,AND(D174&lt;&gt;"",COUNTIF($D$56:$D$205,D174)&gt;1),AND(K174&lt;&gt;"",COUNTIF($K$56:$K$205,K174)&gt;1),AND(L174&lt;&gt;"",COUNTIF($L$56:$L$205,L174)&gt;1)),"OUI","NON"))</f>
        <v/>
      </c>
      <c r="AX174" s="113"/>
    </row>
    <row r="175" customFormat="false" ht="15" hidden="false" customHeight="true" outlineLevel="0" collapsed="false">
      <c r="A175" s="107" t="str">
        <f aca="false">IF(B175="","","DON"&amp;TEXT(ROW()-55,"00000"))</f>
        <v/>
      </c>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07" t="str">
        <f aca="false">IFERROR(INDEX(PARAMETRES!$B$536:$B$586,MATCH(X175,PARAMETRES!$J$536:$J$586,0)),"")</f>
        <v/>
      </c>
      <c r="Z175" s="107" t="str">
        <f aca="false">IFERROR(INDEX(PARAMETRES!$D$536:$D$586,MATCH(X175,PARAMETRES!$J$536:$J$586,0)),"")</f>
        <v/>
      </c>
      <c r="AA175" s="107" t="str">
        <f aca="false">IFERROR(INDEX(PARAMETRES!$F$536:$F$586,MATCH(X175,PARAMETRES!$J$536:$J$586,0)),"")</f>
        <v/>
      </c>
      <c r="AB175" s="113"/>
      <c r="AC175" s="114"/>
      <c r="AD175" s="113"/>
      <c r="AE175" s="114"/>
      <c r="AF175" s="114"/>
      <c r="AG175" s="113"/>
      <c r="AH175" s="113"/>
      <c r="AI175" s="107" t="n">
        <f aca="false">IF(A175="",0,COUNTIF(tbl_Donateurs_Opportunites[ID Donateur],A175))</f>
        <v>0</v>
      </c>
      <c r="AJ175" s="107" t="n">
        <f aca="false">IF(A175="",0,COUNTIFS(tbl_Donateurs_Opportunites[ID Donateur],A175,tbl_Donateurs_Opportunites[Statut],"Ouverte"))</f>
        <v>0</v>
      </c>
      <c r="AK175" s="107" t="n">
        <f aca="false">IF(A175="",0,COUNTIF(tbl_Donateurs_Demandes[ID Donateur],A175))</f>
        <v>0</v>
      </c>
      <c r="AL175" s="107" t="n">
        <f aca="false">IF(A175="",0,COUNTIFS(tbl_Donateurs_Demandes[ID Donateur],A175,tbl_Donateurs_Demandes[Statut],"Approuvee")+COUNTIFS(tbl_Donateurs_Demandes[ID Donateur],A175,tbl_Donateurs_Demandes[Statut],"Financement recu"))</f>
        <v>0</v>
      </c>
      <c r="AM175" s="108" t="n">
        <f aca="false">IF(A175="",0,SUMIF(tbl_Donateurs_Demandes[ID Donateur],A175,tbl_Donateurs_Demandes[Montant demande]))</f>
        <v>0</v>
      </c>
      <c r="AN175" s="108" t="n">
        <f aca="false">IF(A175="",0,SUMIF(tbl_Donateurs_Demandes[ID Donateur],A175,tbl_Donateurs_Demandes[Montant accorde]))</f>
        <v>0</v>
      </c>
      <c r="AO175" s="108" t="n">
        <f aca="false">IF(A175="",0,SUMIF(tbl_Donateurs_Decaissements[ID Donateur],A175,tbl_Donateurs_Decaissements[Montant recu]))</f>
        <v>0</v>
      </c>
      <c r="AP175" s="109" t="str">
        <f aca="false">IFERROR(AL175/AK175,"")</f>
        <v/>
      </c>
      <c r="AQ175" s="107" t="n">
        <f aca="false">IF(A175="",0,COUNTIF(tbl_Donateurs_Contacts[ID Donateur],A175))</f>
        <v>0</v>
      </c>
      <c r="AR175" s="107" t="n">
        <f aca="false">IF(A175="",0,COUNTIF(tbl_Donateurs_Documents[ID Donateur],A175))</f>
        <v>0</v>
      </c>
      <c r="AS175" s="107" t="n">
        <f aca="false">IF(A175="",0,COUNTIF(tbl_Donateurs_Conventions[ID Donateur],A175))</f>
        <v>0</v>
      </c>
      <c r="AT175" s="115" t="n">
        <f aca="false">IFERROR(_xlfn.MAXIFS(tbl_Donateurs_Decaissements[Date recue],tbl_Donateurs_Decaissements[ID Donateur],A175),"")</f>
        <v>0</v>
      </c>
      <c r="AU175" s="108" t="str">
        <f aca="false">IFERROR(AN175/AL175,"")</f>
        <v/>
      </c>
      <c r="AV175" s="107" t="str">
        <f aca="true">IF(A175="","",IF(OR(AB175="A relancer",AND(AF175&lt;&gt;"",AF175&lt;=TODAY())),"OUI","NON"))</f>
        <v/>
      </c>
      <c r="AW175" s="107" t="str">
        <f aca="false">IF(B175="","",IF(OR(COUNTIF($B$56:$B$205,B175)&gt;1,AND(D175&lt;&gt;"",COUNTIF($D$56:$D$205,D175)&gt;1),AND(K175&lt;&gt;"",COUNTIF($K$56:$K$205,K175)&gt;1),AND(L175&lt;&gt;"",COUNTIF($L$56:$L$205,L175)&gt;1)),"OUI","NON"))</f>
        <v/>
      </c>
      <c r="AX175" s="113"/>
    </row>
    <row r="176" customFormat="false" ht="15" hidden="false" customHeight="true" outlineLevel="0" collapsed="false">
      <c r="A176" s="107" t="str">
        <f aca="false">IF(B176="","","DON"&amp;TEXT(ROW()-55,"00000"))</f>
        <v/>
      </c>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07" t="str">
        <f aca="false">IFERROR(INDEX(PARAMETRES!$B$536:$B$586,MATCH(X176,PARAMETRES!$J$536:$J$586,0)),"")</f>
        <v/>
      </c>
      <c r="Z176" s="107" t="str">
        <f aca="false">IFERROR(INDEX(PARAMETRES!$D$536:$D$586,MATCH(X176,PARAMETRES!$J$536:$J$586,0)),"")</f>
        <v/>
      </c>
      <c r="AA176" s="107" t="str">
        <f aca="false">IFERROR(INDEX(PARAMETRES!$F$536:$F$586,MATCH(X176,PARAMETRES!$J$536:$J$586,0)),"")</f>
        <v/>
      </c>
      <c r="AB176" s="113"/>
      <c r="AC176" s="114"/>
      <c r="AD176" s="113"/>
      <c r="AE176" s="114"/>
      <c r="AF176" s="114"/>
      <c r="AG176" s="113"/>
      <c r="AH176" s="113"/>
      <c r="AI176" s="107" t="n">
        <f aca="false">IF(A176="",0,COUNTIF(tbl_Donateurs_Opportunites[ID Donateur],A176))</f>
        <v>0</v>
      </c>
      <c r="AJ176" s="107" t="n">
        <f aca="false">IF(A176="",0,COUNTIFS(tbl_Donateurs_Opportunites[ID Donateur],A176,tbl_Donateurs_Opportunites[Statut],"Ouverte"))</f>
        <v>0</v>
      </c>
      <c r="AK176" s="107" t="n">
        <f aca="false">IF(A176="",0,COUNTIF(tbl_Donateurs_Demandes[ID Donateur],A176))</f>
        <v>0</v>
      </c>
      <c r="AL176" s="107" t="n">
        <f aca="false">IF(A176="",0,COUNTIFS(tbl_Donateurs_Demandes[ID Donateur],A176,tbl_Donateurs_Demandes[Statut],"Approuvee")+COUNTIFS(tbl_Donateurs_Demandes[ID Donateur],A176,tbl_Donateurs_Demandes[Statut],"Financement recu"))</f>
        <v>0</v>
      </c>
      <c r="AM176" s="108" t="n">
        <f aca="false">IF(A176="",0,SUMIF(tbl_Donateurs_Demandes[ID Donateur],A176,tbl_Donateurs_Demandes[Montant demande]))</f>
        <v>0</v>
      </c>
      <c r="AN176" s="108" t="n">
        <f aca="false">IF(A176="",0,SUMIF(tbl_Donateurs_Demandes[ID Donateur],A176,tbl_Donateurs_Demandes[Montant accorde]))</f>
        <v>0</v>
      </c>
      <c r="AO176" s="108" t="n">
        <f aca="false">IF(A176="",0,SUMIF(tbl_Donateurs_Decaissements[ID Donateur],A176,tbl_Donateurs_Decaissements[Montant recu]))</f>
        <v>0</v>
      </c>
      <c r="AP176" s="109" t="str">
        <f aca="false">IFERROR(AL176/AK176,"")</f>
        <v/>
      </c>
      <c r="AQ176" s="107" t="n">
        <f aca="false">IF(A176="",0,COUNTIF(tbl_Donateurs_Contacts[ID Donateur],A176))</f>
        <v>0</v>
      </c>
      <c r="AR176" s="107" t="n">
        <f aca="false">IF(A176="",0,COUNTIF(tbl_Donateurs_Documents[ID Donateur],A176))</f>
        <v>0</v>
      </c>
      <c r="AS176" s="107" t="n">
        <f aca="false">IF(A176="",0,COUNTIF(tbl_Donateurs_Conventions[ID Donateur],A176))</f>
        <v>0</v>
      </c>
      <c r="AT176" s="115" t="n">
        <f aca="false">IFERROR(_xlfn.MAXIFS(tbl_Donateurs_Decaissements[Date recue],tbl_Donateurs_Decaissements[ID Donateur],A176),"")</f>
        <v>0</v>
      </c>
      <c r="AU176" s="108" t="str">
        <f aca="false">IFERROR(AN176/AL176,"")</f>
        <v/>
      </c>
      <c r="AV176" s="107" t="str">
        <f aca="true">IF(A176="","",IF(OR(AB176="A relancer",AND(AF176&lt;&gt;"",AF176&lt;=TODAY())),"OUI","NON"))</f>
        <v/>
      </c>
      <c r="AW176" s="107" t="str">
        <f aca="false">IF(B176="","",IF(OR(COUNTIF($B$56:$B$205,B176)&gt;1,AND(D176&lt;&gt;"",COUNTIF($D$56:$D$205,D176)&gt;1),AND(K176&lt;&gt;"",COUNTIF($K$56:$K$205,K176)&gt;1),AND(L176&lt;&gt;"",COUNTIF($L$56:$L$205,L176)&gt;1)),"OUI","NON"))</f>
        <v/>
      </c>
      <c r="AX176" s="113"/>
    </row>
    <row r="177" customFormat="false" ht="15" hidden="false" customHeight="true" outlineLevel="0" collapsed="false">
      <c r="A177" s="107" t="str">
        <f aca="false">IF(B177="","","DON"&amp;TEXT(ROW()-55,"00000"))</f>
        <v/>
      </c>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07" t="str">
        <f aca="false">IFERROR(INDEX(PARAMETRES!$B$536:$B$586,MATCH(X177,PARAMETRES!$J$536:$J$586,0)),"")</f>
        <v/>
      </c>
      <c r="Z177" s="107" t="str">
        <f aca="false">IFERROR(INDEX(PARAMETRES!$D$536:$D$586,MATCH(X177,PARAMETRES!$J$536:$J$586,0)),"")</f>
        <v/>
      </c>
      <c r="AA177" s="107" t="str">
        <f aca="false">IFERROR(INDEX(PARAMETRES!$F$536:$F$586,MATCH(X177,PARAMETRES!$J$536:$J$586,0)),"")</f>
        <v/>
      </c>
      <c r="AB177" s="113"/>
      <c r="AC177" s="114"/>
      <c r="AD177" s="113"/>
      <c r="AE177" s="114"/>
      <c r="AF177" s="114"/>
      <c r="AG177" s="113"/>
      <c r="AH177" s="113"/>
      <c r="AI177" s="107" t="n">
        <f aca="false">IF(A177="",0,COUNTIF(tbl_Donateurs_Opportunites[ID Donateur],A177))</f>
        <v>0</v>
      </c>
      <c r="AJ177" s="107" t="n">
        <f aca="false">IF(A177="",0,COUNTIFS(tbl_Donateurs_Opportunites[ID Donateur],A177,tbl_Donateurs_Opportunites[Statut],"Ouverte"))</f>
        <v>0</v>
      </c>
      <c r="AK177" s="107" t="n">
        <f aca="false">IF(A177="",0,COUNTIF(tbl_Donateurs_Demandes[ID Donateur],A177))</f>
        <v>0</v>
      </c>
      <c r="AL177" s="107" t="n">
        <f aca="false">IF(A177="",0,COUNTIFS(tbl_Donateurs_Demandes[ID Donateur],A177,tbl_Donateurs_Demandes[Statut],"Approuvee")+COUNTIFS(tbl_Donateurs_Demandes[ID Donateur],A177,tbl_Donateurs_Demandes[Statut],"Financement recu"))</f>
        <v>0</v>
      </c>
      <c r="AM177" s="108" t="n">
        <f aca="false">IF(A177="",0,SUMIF(tbl_Donateurs_Demandes[ID Donateur],A177,tbl_Donateurs_Demandes[Montant demande]))</f>
        <v>0</v>
      </c>
      <c r="AN177" s="108" t="n">
        <f aca="false">IF(A177="",0,SUMIF(tbl_Donateurs_Demandes[ID Donateur],A177,tbl_Donateurs_Demandes[Montant accorde]))</f>
        <v>0</v>
      </c>
      <c r="AO177" s="108" t="n">
        <f aca="false">IF(A177="",0,SUMIF(tbl_Donateurs_Decaissements[ID Donateur],A177,tbl_Donateurs_Decaissements[Montant recu]))</f>
        <v>0</v>
      </c>
      <c r="AP177" s="109" t="str">
        <f aca="false">IFERROR(AL177/AK177,"")</f>
        <v/>
      </c>
      <c r="AQ177" s="107" t="n">
        <f aca="false">IF(A177="",0,COUNTIF(tbl_Donateurs_Contacts[ID Donateur],A177))</f>
        <v>0</v>
      </c>
      <c r="AR177" s="107" t="n">
        <f aca="false">IF(A177="",0,COUNTIF(tbl_Donateurs_Documents[ID Donateur],A177))</f>
        <v>0</v>
      </c>
      <c r="AS177" s="107" t="n">
        <f aca="false">IF(A177="",0,COUNTIF(tbl_Donateurs_Conventions[ID Donateur],A177))</f>
        <v>0</v>
      </c>
      <c r="AT177" s="115" t="n">
        <f aca="false">IFERROR(_xlfn.MAXIFS(tbl_Donateurs_Decaissements[Date recue],tbl_Donateurs_Decaissements[ID Donateur],A177),"")</f>
        <v>0</v>
      </c>
      <c r="AU177" s="108" t="str">
        <f aca="false">IFERROR(AN177/AL177,"")</f>
        <v/>
      </c>
      <c r="AV177" s="107" t="str">
        <f aca="true">IF(A177="","",IF(OR(AB177="A relancer",AND(AF177&lt;&gt;"",AF177&lt;=TODAY())),"OUI","NON"))</f>
        <v/>
      </c>
      <c r="AW177" s="107" t="str">
        <f aca="false">IF(B177="","",IF(OR(COUNTIF($B$56:$B$205,B177)&gt;1,AND(D177&lt;&gt;"",COUNTIF($D$56:$D$205,D177)&gt;1),AND(K177&lt;&gt;"",COUNTIF($K$56:$K$205,K177)&gt;1),AND(L177&lt;&gt;"",COUNTIF($L$56:$L$205,L177)&gt;1)),"OUI","NON"))</f>
        <v/>
      </c>
      <c r="AX177" s="113"/>
    </row>
    <row r="178" customFormat="false" ht="15" hidden="false" customHeight="true" outlineLevel="0" collapsed="false">
      <c r="A178" s="107" t="str">
        <f aca="false">IF(B178="","","DON"&amp;TEXT(ROW()-55,"00000"))</f>
        <v/>
      </c>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07" t="str">
        <f aca="false">IFERROR(INDEX(PARAMETRES!$B$536:$B$586,MATCH(X178,PARAMETRES!$J$536:$J$586,0)),"")</f>
        <v/>
      </c>
      <c r="Z178" s="107" t="str">
        <f aca="false">IFERROR(INDEX(PARAMETRES!$D$536:$D$586,MATCH(X178,PARAMETRES!$J$536:$J$586,0)),"")</f>
        <v/>
      </c>
      <c r="AA178" s="107" t="str">
        <f aca="false">IFERROR(INDEX(PARAMETRES!$F$536:$F$586,MATCH(X178,PARAMETRES!$J$536:$J$586,0)),"")</f>
        <v/>
      </c>
      <c r="AB178" s="113"/>
      <c r="AC178" s="114"/>
      <c r="AD178" s="113"/>
      <c r="AE178" s="114"/>
      <c r="AF178" s="114"/>
      <c r="AG178" s="113"/>
      <c r="AH178" s="113"/>
      <c r="AI178" s="107" t="n">
        <f aca="false">IF(A178="",0,COUNTIF(tbl_Donateurs_Opportunites[ID Donateur],A178))</f>
        <v>0</v>
      </c>
      <c r="AJ178" s="107" t="n">
        <f aca="false">IF(A178="",0,COUNTIFS(tbl_Donateurs_Opportunites[ID Donateur],A178,tbl_Donateurs_Opportunites[Statut],"Ouverte"))</f>
        <v>0</v>
      </c>
      <c r="AK178" s="107" t="n">
        <f aca="false">IF(A178="",0,COUNTIF(tbl_Donateurs_Demandes[ID Donateur],A178))</f>
        <v>0</v>
      </c>
      <c r="AL178" s="107" t="n">
        <f aca="false">IF(A178="",0,COUNTIFS(tbl_Donateurs_Demandes[ID Donateur],A178,tbl_Donateurs_Demandes[Statut],"Approuvee")+COUNTIFS(tbl_Donateurs_Demandes[ID Donateur],A178,tbl_Donateurs_Demandes[Statut],"Financement recu"))</f>
        <v>0</v>
      </c>
      <c r="AM178" s="108" t="n">
        <f aca="false">IF(A178="",0,SUMIF(tbl_Donateurs_Demandes[ID Donateur],A178,tbl_Donateurs_Demandes[Montant demande]))</f>
        <v>0</v>
      </c>
      <c r="AN178" s="108" t="n">
        <f aca="false">IF(A178="",0,SUMIF(tbl_Donateurs_Demandes[ID Donateur],A178,tbl_Donateurs_Demandes[Montant accorde]))</f>
        <v>0</v>
      </c>
      <c r="AO178" s="108" t="n">
        <f aca="false">IF(A178="",0,SUMIF(tbl_Donateurs_Decaissements[ID Donateur],A178,tbl_Donateurs_Decaissements[Montant recu]))</f>
        <v>0</v>
      </c>
      <c r="AP178" s="109" t="str">
        <f aca="false">IFERROR(AL178/AK178,"")</f>
        <v/>
      </c>
      <c r="AQ178" s="107" t="n">
        <f aca="false">IF(A178="",0,COUNTIF(tbl_Donateurs_Contacts[ID Donateur],A178))</f>
        <v>0</v>
      </c>
      <c r="AR178" s="107" t="n">
        <f aca="false">IF(A178="",0,COUNTIF(tbl_Donateurs_Documents[ID Donateur],A178))</f>
        <v>0</v>
      </c>
      <c r="AS178" s="107" t="n">
        <f aca="false">IF(A178="",0,COUNTIF(tbl_Donateurs_Conventions[ID Donateur],A178))</f>
        <v>0</v>
      </c>
      <c r="AT178" s="115" t="n">
        <f aca="false">IFERROR(_xlfn.MAXIFS(tbl_Donateurs_Decaissements[Date recue],tbl_Donateurs_Decaissements[ID Donateur],A178),"")</f>
        <v>0</v>
      </c>
      <c r="AU178" s="108" t="str">
        <f aca="false">IFERROR(AN178/AL178,"")</f>
        <v/>
      </c>
      <c r="AV178" s="107" t="str">
        <f aca="true">IF(A178="","",IF(OR(AB178="A relancer",AND(AF178&lt;&gt;"",AF178&lt;=TODAY())),"OUI","NON"))</f>
        <v/>
      </c>
      <c r="AW178" s="107" t="str">
        <f aca="false">IF(B178="","",IF(OR(COUNTIF($B$56:$B$205,B178)&gt;1,AND(D178&lt;&gt;"",COUNTIF($D$56:$D$205,D178)&gt;1),AND(K178&lt;&gt;"",COUNTIF($K$56:$K$205,K178)&gt;1),AND(L178&lt;&gt;"",COUNTIF($L$56:$L$205,L178)&gt;1)),"OUI","NON"))</f>
        <v/>
      </c>
      <c r="AX178" s="113"/>
    </row>
    <row r="179" customFormat="false" ht="15" hidden="false" customHeight="true" outlineLevel="0" collapsed="false">
      <c r="A179" s="107" t="str">
        <f aca="false">IF(B179="","","DON"&amp;TEXT(ROW()-55,"00000"))</f>
        <v/>
      </c>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07" t="str">
        <f aca="false">IFERROR(INDEX(PARAMETRES!$B$536:$B$586,MATCH(X179,PARAMETRES!$J$536:$J$586,0)),"")</f>
        <v/>
      </c>
      <c r="Z179" s="107" t="str">
        <f aca="false">IFERROR(INDEX(PARAMETRES!$D$536:$D$586,MATCH(X179,PARAMETRES!$J$536:$J$586,0)),"")</f>
        <v/>
      </c>
      <c r="AA179" s="107" t="str">
        <f aca="false">IFERROR(INDEX(PARAMETRES!$F$536:$F$586,MATCH(X179,PARAMETRES!$J$536:$J$586,0)),"")</f>
        <v/>
      </c>
      <c r="AB179" s="113"/>
      <c r="AC179" s="114"/>
      <c r="AD179" s="113"/>
      <c r="AE179" s="114"/>
      <c r="AF179" s="114"/>
      <c r="AG179" s="113"/>
      <c r="AH179" s="113"/>
      <c r="AI179" s="107" t="n">
        <f aca="false">IF(A179="",0,COUNTIF(tbl_Donateurs_Opportunites[ID Donateur],A179))</f>
        <v>0</v>
      </c>
      <c r="AJ179" s="107" t="n">
        <f aca="false">IF(A179="",0,COUNTIFS(tbl_Donateurs_Opportunites[ID Donateur],A179,tbl_Donateurs_Opportunites[Statut],"Ouverte"))</f>
        <v>0</v>
      </c>
      <c r="AK179" s="107" t="n">
        <f aca="false">IF(A179="",0,COUNTIF(tbl_Donateurs_Demandes[ID Donateur],A179))</f>
        <v>0</v>
      </c>
      <c r="AL179" s="107" t="n">
        <f aca="false">IF(A179="",0,COUNTIFS(tbl_Donateurs_Demandes[ID Donateur],A179,tbl_Donateurs_Demandes[Statut],"Approuvee")+COUNTIFS(tbl_Donateurs_Demandes[ID Donateur],A179,tbl_Donateurs_Demandes[Statut],"Financement recu"))</f>
        <v>0</v>
      </c>
      <c r="AM179" s="108" t="n">
        <f aca="false">IF(A179="",0,SUMIF(tbl_Donateurs_Demandes[ID Donateur],A179,tbl_Donateurs_Demandes[Montant demande]))</f>
        <v>0</v>
      </c>
      <c r="AN179" s="108" t="n">
        <f aca="false">IF(A179="",0,SUMIF(tbl_Donateurs_Demandes[ID Donateur],A179,tbl_Donateurs_Demandes[Montant accorde]))</f>
        <v>0</v>
      </c>
      <c r="AO179" s="108" t="n">
        <f aca="false">IF(A179="",0,SUMIF(tbl_Donateurs_Decaissements[ID Donateur],A179,tbl_Donateurs_Decaissements[Montant recu]))</f>
        <v>0</v>
      </c>
      <c r="AP179" s="109" t="str">
        <f aca="false">IFERROR(AL179/AK179,"")</f>
        <v/>
      </c>
      <c r="AQ179" s="107" t="n">
        <f aca="false">IF(A179="",0,COUNTIF(tbl_Donateurs_Contacts[ID Donateur],A179))</f>
        <v>0</v>
      </c>
      <c r="AR179" s="107" t="n">
        <f aca="false">IF(A179="",0,COUNTIF(tbl_Donateurs_Documents[ID Donateur],A179))</f>
        <v>0</v>
      </c>
      <c r="AS179" s="107" t="n">
        <f aca="false">IF(A179="",0,COUNTIF(tbl_Donateurs_Conventions[ID Donateur],A179))</f>
        <v>0</v>
      </c>
      <c r="AT179" s="115" t="n">
        <f aca="false">IFERROR(_xlfn.MAXIFS(tbl_Donateurs_Decaissements[Date recue],tbl_Donateurs_Decaissements[ID Donateur],A179),"")</f>
        <v>0</v>
      </c>
      <c r="AU179" s="108" t="str">
        <f aca="false">IFERROR(AN179/AL179,"")</f>
        <v/>
      </c>
      <c r="AV179" s="107" t="str">
        <f aca="true">IF(A179="","",IF(OR(AB179="A relancer",AND(AF179&lt;&gt;"",AF179&lt;=TODAY())),"OUI","NON"))</f>
        <v/>
      </c>
      <c r="AW179" s="107" t="str">
        <f aca="false">IF(B179="","",IF(OR(COUNTIF($B$56:$B$205,B179)&gt;1,AND(D179&lt;&gt;"",COUNTIF($D$56:$D$205,D179)&gt;1),AND(K179&lt;&gt;"",COUNTIF($K$56:$K$205,K179)&gt;1),AND(L179&lt;&gt;"",COUNTIF($L$56:$L$205,L179)&gt;1)),"OUI","NON"))</f>
        <v/>
      </c>
      <c r="AX179" s="113"/>
    </row>
    <row r="180" customFormat="false" ht="15" hidden="false" customHeight="true" outlineLevel="0" collapsed="false">
      <c r="A180" s="107" t="str">
        <f aca="false">IF(B180="","","DON"&amp;TEXT(ROW()-55,"00000"))</f>
        <v/>
      </c>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07" t="str">
        <f aca="false">IFERROR(INDEX(PARAMETRES!$B$536:$B$586,MATCH(X180,PARAMETRES!$J$536:$J$586,0)),"")</f>
        <v/>
      </c>
      <c r="Z180" s="107" t="str">
        <f aca="false">IFERROR(INDEX(PARAMETRES!$D$536:$D$586,MATCH(X180,PARAMETRES!$J$536:$J$586,0)),"")</f>
        <v/>
      </c>
      <c r="AA180" s="107" t="str">
        <f aca="false">IFERROR(INDEX(PARAMETRES!$F$536:$F$586,MATCH(X180,PARAMETRES!$J$536:$J$586,0)),"")</f>
        <v/>
      </c>
      <c r="AB180" s="113"/>
      <c r="AC180" s="114"/>
      <c r="AD180" s="113"/>
      <c r="AE180" s="114"/>
      <c r="AF180" s="114"/>
      <c r="AG180" s="113"/>
      <c r="AH180" s="113"/>
      <c r="AI180" s="107" t="n">
        <f aca="false">IF(A180="",0,COUNTIF(tbl_Donateurs_Opportunites[ID Donateur],A180))</f>
        <v>0</v>
      </c>
      <c r="AJ180" s="107" t="n">
        <f aca="false">IF(A180="",0,COUNTIFS(tbl_Donateurs_Opportunites[ID Donateur],A180,tbl_Donateurs_Opportunites[Statut],"Ouverte"))</f>
        <v>0</v>
      </c>
      <c r="AK180" s="107" t="n">
        <f aca="false">IF(A180="",0,COUNTIF(tbl_Donateurs_Demandes[ID Donateur],A180))</f>
        <v>0</v>
      </c>
      <c r="AL180" s="107" t="n">
        <f aca="false">IF(A180="",0,COUNTIFS(tbl_Donateurs_Demandes[ID Donateur],A180,tbl_Donateurs_Demandes[Statut],"Approuvee")+COUNTIFS(tbl_Donateurs_Demandes[ID Donateur],A180,tbl_Donateurs_Demandes[Statut],"Financement recu"))</f>
        <v>0</v>
      </c>
      <c r="AM180" s="108" t="n">
        <f aca="false">IF(A180="",0,SUMIF(tbl_Donateurs_Demandes[ID Donateur],A180,tbl_Donateurs_Demandes[Montant demande]))</f>
        <v>0</v>
      </c>
      <c r="AN180" s="108" t="n">
        <f aca="false">IF(A180="",0,SUMIF(tbl_Donateurs_Demandes[ID Donateur],A180,tbl_Donateurs_Demandes[Montant accorde]))</f>
        <v>0</v>
      </c>
      <c r="AO180" s="108" t="n">
        <f aca="false">IF(A180="",0,SUMIF(tbl_Donateurs_Decaissements[ID Donateur],A180,tbl_Donateurs_Decaissements[Montant recu]))</f>
        <v>0</v>
      </c>
      <c r="AP180" s="109" t="str">
        <f aca="false">IFERROR(AL180/AK180,"")</f>
        <v/>
      </c>
      <c r="AQ180" s="107" t="n">
        <f aca="false">IF(A180="",0,COUNTIF(tbl_Donateurs_Contacts[ID Donateur],A180))</f>
        <v>0</v>
      </c>
      <c r="AR180" s="107" t="n">
        <f aca="false">IF(A180="",0,COUNTIF(tbl_Donateurs_Documents[ID Donateur],A180))</f>
        <v>0</v>
      </c>
      <c r="AS180" s="107" t="n">
        <f aca="false">IF(A180="",0,COUNTIF(tbl_Donateurs_Conventions[ID Donateur],A180))</f>
        <v>0</v>
      </c>
      <c r="AT180" s="115" t="n">
        <f aca="false">IFERROR(_xlfn.MAXIFS(tbl_Donateurs_Decaissements[Date recue],tbl_Donateurs_Decaissements[ID Donateur],A180),"")</f>
        <v>0</v>
      </c>
      <c r="AU180" s="108" t="str">
        <f aca="false">IFERROR(AN180/AL180,"")</f>
        <v/>
      </c>
      <c r="AV180" s="107" t="str">
        <f aca="true">IF(A180="","",IF(OR(AB180="A relancer",AND(AF180&lt;&gt;"",AF180&lt;=TODAY())),"OUI","NON"))</f>
        <v/>
      </c>
      <c r="AW180" s="107" t="str">
        <f aca="false">IF(B180="","",IF(OR(COUNTIF($B$56:$B$205,B180)&gt;1,AND(D180&lt;&gt;"",COUNTIF($D$56:$D$205,D180)&gt;1),AND(K180&lt;&gt;"",COUNTIF($K$56:$K$205,K180)&gt;1),AND(L180&lt;&gt;"",COUNTIF($L$56:$L$205,L180)&gt;1)),"OUI","NON"))</f>
        <v/>
      </c>
      <c r="AX180" s="113"/>
    </row>
    <row r="181" customFormat="false" ht="15" hidden="false" customHeight="true" outlineLevel="0" collapsed="false">
      <c r="A181" s="107" t="str">
        <f aca="false">IF(B181="","","DON"&amp;TEXT(ROW()-55,"00000"))</f>
        <v/>
      </c>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07" t="str">
        <f aca="false">IFERROR(INDEX(PARAMETRES!$B$536:$B$586,MATCH(X181,PARAMETRES!$J$536:$J$586,0)),"")</f>
        <v/>
      </c>
      <c r="Z181" s="107" t="str">
        <f aca="false">IFERROR(INDEX(PARAMETRES!$D$536:$D$586,MATCH(X181,PARAMETRES!$J$536:$J$586,0)),"")</f>
        <v/>
      </c>
      <c r="AA181" s="107" t="str">
        <f aca="false">IFERROR(INDEX(PARAMETRES!$F$536:$F$586,MATCH(X181,PARAMETRES!$J$536:$J$586,0)),"")</f>
        <v/>
      </c>
      <c r="AB181" s="113"/>
      <c r="AC181" s="114"/>
      <c r="AD181" s="113"/>
      <c r="AE181" s="114"/>
      <c r="AF181" s="114"/>
      <c r="AG181" s="113"/>
      <c r="AH181" s="113"/>
      <c r="AI181" s="107" t="n">
        <f aca="false">IF(A181="",0,COUNTIF(tbl_Donateurs_Opportunites[ID Donateur],A181))</f>
        <v>0</v>
      </c>
      <c r="AJ181" s="107" t="n">
        <f aca="false">IF(A181="",0,COUNTIFS(tbl_Donateurs_Opportunites[ID Donateur],A181,tbl_Donateurs_Opportunites[Statut],"Ouverte"))</f>
        <v>0</v>
      </c>
      <c r="AK181" s="107" t="n">
        <f aca="false">IF(A181="",0,COUNTIF(tbl_Donateurs_Demandes[ID Donateur],A181))</f>
        <v>0</v>
      </c>
      <c r="AL181" s="107" t="n">
        <f aca="false">IF(A181="",0,COUNTIFS(tbl_Donateurs_Demandes[ID Donateur],A181,tbl_Donateurs_Demandes[Statut],"Approuvee")+COUNTIFS(tbl_Donateurs_Demandes[ID Donateur],A181,tbl_Donateurs_Demandes[Statut],"Financement recu"))</f>
        <v>0</v>
      </c>
      <c r="AM181" s="108" t="n">
        <f aca="false">IF(A181="",0,SUMIF(tbl_Donateurs_Demandes[ID Donateur],A181,tbl_Donateurs_Demandes[Montant demande]))</f>
        <v>0</v>
      </c>
      <c r="AN181" s="108" t="n">
        <f aca="false">IF(A181="",0,SUMIF(tbl_Donateurs_Demandes[ID Donateur],A181,tbl_Donateurs_Demandes[Montant accorde]))</f>
        <v>0</v>
      </c>
      <c r="AO181" s="108" t="n">
        <f aca="false">IF(A181="",0,SUMIF(tbl_Donateurs_Decaissements[ID Donateur],A181,tbl_Donateurs_Decaissements[Montant recu]))</f>
        <v>0</v>
      </c>
      <c r="AP181" s="109" t="str">
        <f aca="false">IFERROR(AL181/AK181,"")</f>
        <v/>
      </c>
      <c r="AQ181" s="107" t="n">
        <f aca="false">IF(A181="",0,COUNTIF(tbl_Donateurs_Contacts[ID Donateur],A181))</f>
        <v>0</v>
      </c>
      <c r="AR181" s="107" t="n">
        <f aca="false">IF(A181="",0,COUNTIF(tbl_Donateurs_Documents[ID Donateur],A181))</f>
        <v>0</v>
      </c>
      <c r="AS181" s="107" t="n">
        <f aca="false">IF(A181="",0,COUNTIF(tbl_Donateurs_Conventions[ID Donateur],A181))</f>
        <v>0</v>
      </c>
      <c r="AT181" s="115" t="n">
        <f aca="false">IFERROR(_xlfn.MAXIFS(tbl_Donateurs_Decaissements[Date recue],tbl_Donateurs_Decaissements[ID Donateur],A181),"")</f>
        <v>0</v>
      </c>
      <c r="AU181" s="108" t="str">
        <f aca="false">IFERROR(AN181/AL181,"")</f>
        <v/>
      </c>
      <c r="AV181" s="107" t="str">
        <f aca="true">IF(A181="","",IF(OR(AB181="A relancer",AND(AF181&lt;&gt;"",AF181&lt;=TODAY())),"OUI","NON"))</f>
        <v/>
      </c>
      <c r="AW181" s="107" t="str">
        <f aca="false">IF(B181="","",IF(OR(COUNTIF($B$56:$B$205,B181)&gt;1,AND(D181&lt;&gt;"",COUNTIF($D$56:$D$205,D181)&gt;1),AND(K181&lt;&gt;"",COUNTIF($K$56:$K$205,K181)&gt;1),AND(L181&lt;&gt;"",COUNTIF($L$56:$L$205,L181)&gt;1)),"OUI","NON"))</f>
        <v/>
      </c>
      <c r="AX181" s="113"/>
    </row>
    <row r="182" customFormat="false" ht="15" hidden="false" customHeight="true" outlineLevel="0" collapsed="false">
      <c r="A182" s="107" t="str">
        <f aca="false">IF(B182="","","DON"&amp;TEXT(ROW()-55,"00000"))</f>
        <v/>
      </c>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07" t="str">
        <f aca="false">IFERROR(INDEX(PARAMETRES!$B$536:$B$586,MATCH(X182,PARAMETRES!$J$536:$J$586,0)),"")</f>
        <v/>
      </c>
      <c r="Z182" s="107" t="str">
        <f aca="false">IFERROR(INDEX(PARAMETRES!$D$536:$D$586,MATCH(X182,PARAMETRES!$J$536:$J$586,0)),"")</f>
        <v/>
      </c>
      <c r="AA182" s="107" t="str">
        <f aca="false">IFERROR(INDEX(PARAMETRES!$F$536:$F$586,MATCH(X182,PARAMETRES!$J$536:$J$586,0)),"")</f>
        <v/>
      </c>
      <c r="AB182" s="113"/>
      <c r="AC182" s="114"/>
      <c r="AD182" s="113"/>
      <c r="AE182" s="114"/>
      <c r="AF182" s="114"/>
      <c r="AG182" s="113"/>
      <c r="AH182" s="113"/>
      <c r="AI182" s="107" t="n">
        <f aca="false">IF(A182="",0,COUNTIF(tbl_Donateurs_Opportunites[ID Donateur],A182))</f>
        <v>0</v>
      </c>
      <c r="AJ182" s="107" t="n">
        <f aca="false">IF(A182="",0,COUNTIFS(tbl_Donateurs_Opportunites[ID Donateur],A182,tbl_Donateurs_Opportunites[Statut],"Ouverte"))</f>
        <v>0</v>
      </c>
      <c r="AK182" s="107" t="n">
        <f aca="false">IF(A182="",0,COUNTIF(tbl_Donateurs_Demandes[ID Donateur],A182))</f>
        <v>0</v>
      </c>
      <c r="AL182" s="107" t="n">
        <f aca="false">IF(A182="",0,COUNTIFS(tbl_Donateurs_Demandes[ID Donateur],A182,tbl_Donateurs_Demandes[Statut],"Approuvee")+COUNTIFS(tbl_Donateurs_Demandes[ID Donateur],A182,tbl_Donateurs_Demandes[Statut],"Financement recu"))</f>
        <v>0</v>
      </c>
      <c r="AM182" s="108" t="n">
        <f aca="false">IF(A182="",0,SUMIF(tbl_Donateurs_Demandes[ID Donateur],A182,tbl_Donateurs_Demandes[Montant demande]))</f>
        <v>0</v>
      </c>
      <c r="AN182" s="108" t="n">
        <f aca="false">IF(A182="",0,SUMIF(tbl_Donateurs_Demandes[ID Donateur],A182,tbl_Donateurs_Demandes[Montant accorde]))</f>
        <v>0</v>
      </c>
      <c r="AO182" s="108" t="n">
        <f aca="false">IF(A182="",0,SUMIF(tbl_Donateurs_Decaissements[ID Donateur],A182,tbl_Donateurs_Decaissements[Montant recu]))</f>
        <v>0</v>
      </c>
      <c r="AP182" s="109" t="str">
        <f aca="false">IFERROR(AL182/AK182,"")</f>
        <v/>
      </c>
      <c r="AQ182" s="107" t="n">
        <f aca="false">IF(A182="",0,COUNTIF(tbl_Donateurs_Contacts[ID Donateur],A182))</f>
        <v>0</v>
      </c>
      <c r="AR182" s="107" t="n">
        <f aca="false">IF(A182="",0,COUNTIF(tbl_Donateurs_Documents[ID Donateur],A182))</f>
        <v>0</v>
      </c>
      <c r="AS182" s="107" t="n">
        <f aca="false">IF(A182="",0,COUNTIF(tbl_Donateurs_Conventions[ID Donateur],A182))</f>
        <v>0</v>
      </c>
      <c r="AT182" s="115" t="n">
        <f aca="false">IFERROR(_xlfn.MAXIFS(tbl_Donateurs_Decaissements[Date recue],tbl_Donateurs_Decaissements[ID Donateur],A182),"")</f>
        <v>0</v>
      </c>
      <c r="AU182" s="108" t="str">
        <f aca="false">IFERROR(AN182/AL182,"")</f>
        <v/>
      </c>
      <c r="AV182" s="107" t="str">
        <f aca="true">IF(A182="","",IF(OR(AB182="A relancer",AND(AF182&lt;&gt;"",AF182&lt;=TODAY())),"OUI","NON"))</f>
        <v/>
      </c>
      <c r="AW182" s="107" t="str">
        <f aca="false">IF(B182="","",IF(OR(COUNTIF($B$56:$B$205,B182)&gt;1,AND(D182&lt;&gt;"",COUNTIF($D$56:$D$205,D182)&gt;1),AND(K182&lt;&gt;"",COUNTIF($K$56:$K$205,K182)&gt;1),AND(L182&lt;&gt;"",COUNTIF($L$56:$L$205,L182)&gt;1)),"OUI","NON"))</f>
        <v/>
      </c>
      <c r="AX182" s="113"/>
    </row>
    <row r="183" customFormat="false" ht="15" hidden="false" customHeight="true" outlineLevel="0" collapsed="false">
      <c r="A183" s="107" t="str">
        <f aca="false">IF(B183="","","DON"&amp;TEXT(ROW()-55,"00000"))</f>
        <v/>
      </c>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07" t="str">
        <f aca="false">IFERROR(INDEX(PARAMETRES!$B$536:$B$586,MATCH(X183,PARAMETRES!$J$536:$J$586,0)),"")</f>
        <v/>
      </c>
      <c r="Z183" s="107" t="str">
        <f aca="false">IFERROR(INDEX(PARAMETRES!$D$536:$D$586,MATCH(X183,PARAMETRES!$J$536:$J$586,0)),"")</f>
        <v/>
      </c>
      <c r="AA183" s="107" t="str">
        <f aca="false">IFERROR(INDEX(PARAMETRES!$F$536:$F$586,MATCH(X183,PARAMETRES!$J$536:$J$586,0)),"")</f>
        <v/>
      </c>
      <c r="AB183" s="113"/>
      <c r="AC183" s="114"/>
      <c r="AD183" s="113"/>
      <c r="AE183" s="114"/>
      <c r="AF183" s="114"/>
      <c r="AG183" s="113"/>
      <c r="AH183" s="113"/>
      <c r="AI183" s="107" t="n">
        <f aca="false">IF(A183="",0,COUNTIF(tbl_Donateurs_Opportunites[ID Donateur],A183))</f>
        <v>0</v>
      </c>
      <c r="AJ183" s="107" t="n">
        <f aca="false">IF(A183="",0,COUNTIFS(tbl_Donateurs_Opportunites[ID Donateur],A183,tbl_Donateurs_Opportunites[Statut],"Ouverte"))</f>
        <v>0</v>
      </c>
      <c r="AK183" s="107" t="n">
        <f aca="false">IF(A183="",0,COUNTIF(tbl_Donateurs_Demandes[ID Donateur],A183))</f>
        <v>0</v>
      </c>
      <c r="AL183" s="107" t="n">
        <f aca="false">IF(A183="",0,COUNTIFS(tbl_Donateurs_Demandes[ID Donateur],A183,tbl_Donateurs_Demandes[Statut],"Approuvee")+COUNTIFS(tbl_Donateurs_Demandes[ID Donateur],A183,tbl_Donateurs_Demandes[Statut],"Financement recu"))</f>
        <v>0</v>
      </c>
      <c r="AM183" s="108" t="n">
        <f aca="false">IF(A183="",0,SUMIF(tbl_Donateurs_Demandes[ID Donateur],A183,tbl_Donateurs_Demandes[Montant demande]))</f>
        <v>0</v>
      </c>
      <c r="AN183" s="108" t="n">
        <f aca="false">IF(A183="",0,SUMIF(tbl_Donateurs_Demandes[ID Donateur],A183,tbl_Donateurs_Demandes[Montant accorde]))</f>
        <v>0</v>
      </c>
      <c r="AO183" s="108" t="n">
        <f aca="false">IF(A183="",0,SUMIF(tbl_Donateurs_Decaissements[ID Donateur],A183,tbl_Donateurs_Decaissements[Montant recu]))</f>
        <v>0</v>
      </c>
      <c r="AP183" s="109" t="str">
        <f aca="false">IFERROR(AL183/AK183,"")</f>
        <v/>
      </c>
      <c r="AQ183" s="107" t="n">
        <f aca="false">IF(A183="",0,COUNTIF(tbl_Donateurs_Contacts[ID Donateur],A183))</f>
        <v>0</v>
      </c>
      <c r="AR183" s="107" t="n">
        <f aca="false">IF(A183="",0,COUNTIF(tbl_Donateurs_Documents[ID Donateur],A183))</f>
        <v>0</v>
      </c>
      <c r="AS183" s="107" t="n">
        <f aca="false">IF(A183="",0,COUNTIF(tbl_Donateurs_Conventions[ID Donateur],A183))</f>
        <v>0</v>
      </c>
      <c r="AT183" s="115" t="n">
        <f aca="false">IFERROR(_xlfn.MAXIFS(tbl_Donateurs_Decaissements[Date recue],tbl_Donateurs_Decaissements[ID Donateur],A183),"")</f>
        <v>0</v>
      </c>
      <c r="AU183" s="108" t="str">
        <f aca="false">IFERROR(AN183/AL183,"")</f>
        <v/>
      </c>
      <c r="AV183" s="107" t="str">
        <f aca="true">IF(A183="","",IF(OR(AB183="A relancer",AND(AF183&lt;&gt;"",AF183&lt;=TODAY())),"OUI","NON"))</f>
        <v/>
      </c>
      <c r="AW183" s="107" t="str">
        <f aca="false">IF(B183="","",IF(OR(COUNTIF($B$56:$B$205,B183)&gt;1,AND(D183&lt;&gt;"",COUNTIF($D$56:$D$205,D183)&gt;1),AND(K183&lt;&gt;"",COUNTIF($K$56:$K$205,K183)&gt;1),AND(L183&lt;&gt;"",COUNTIF($L$56:$L$205,L183)&gt;1)),"OUI","NON"))</f>
        <v/>
      </c>
      <c r="AX183" s="113"/>
    </row>
    <row r="184" customFormat="false" ht="15" hidden="false" customHeight="true" outlineLevel="0" collapsed="false">
      <c r="A184" s="107" t="str">
        <f aca="false">IF(B184="","","DON"&amp;TEXT(ROW()-55,"00000"))</f>
        <v/>
      </c>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07" t="str">
        <f aca="false">IFERROR(INDEX(PARAMETRES!$B$536:$B$586,MATCH(X184,PARAMETRES!$J$536:$J$586,0)),"")</f>
        <v/>
      </c>
      <c r="Z184" s="107" t="str">
        <f aca="false">IFERROR(INDEX(PARAMETRES!$D$536:$D$586,MATCH(X184,PARAMETRES!$J$536:$J$586,0)),"")</f>
        <v/>
      </c>
      <c r="AA184" s="107" t="str">
        <f aca="false">IFERROR(INDEX(PARAMETRES!$F$536:$F$586,MATCH(X184,PARAMETRES!$J$536:$J$586,0)),"")</f>
        <v/>
      </c>
      <c r="AB184" s="113"/>
      <c r="AC184" s="114"/>
      <c r="AD184" s="113"/>
      <c r="AE184" s="114"/>
      <c r="AF184" s="114"/>
      <c r="AG184" s="113"/>
      <c r="AH184" s="113"/>
      <c r="AI184" s="107" t="n">
        <f aca="false">IF(A184="",0,COUNTIF(tbl_Donateurs_Opportunites[ID Donateur],A184))</f>
        <v>0</v>
      </c>
      <c r="AJ184" s="107" t="n">
        <f aca="false">IF(A184="",0,COUNTIFS(tbl_Donateurs_Opportunites[ID Donateur],A184,tbl_Donateurs_Opportunites[Statut],"Ouverte"))</f>
        <v>0</v>
      </c>
      <c r="AK184" s="107" t="n">
        <f aca="false">IF(A184="",0,COUNTIF(tbl_Donateurs_Demandes[ID Donateur],A184))</f>
        <v>0</v>
      </c>
      <c r="AL184" s="107" t="n">
        <f aca="false">IF(A184="",0,COUNTIFS(tbl_Donateurs_Demandes[ID Donateur],A184,tbl_Donateurs_Demandes[Statut],"Approuvee")+COUNTIFS(tbl_Donateurs_Demandes[ID Donateur],A184,tbl_Donateurs_Demandes[Statut],"Financement recu"))</f>
        <v>0</v>
      </c>
      <c r="AM184" s="108" t="n">
        <f aca="false">IF(A184="",0,SUMIF(tbl_Donateurs_Demandes[ID Donateur],A184,tbl_Donateurs_Demandes[Montant demande]))</f>
        <v>0</v>
      </c>
      <c r="AN184" s="108" t="n">
        <f aca="false">IF(A184="",0,SUMIF(tbl_Donateurs_Demandes[ID Donateur],A184,tbl_Donateurs_Demandes[Montant accorde]))</f>
        <v>0</v>
      </c>
      <c r="AO184" s="108" t="n">
        <f aca="false">IF(A184="",0,SUMIF(tbl_Donateurs_Decaissements[ID Donateur],A184,tbl_Donateurs_Decaissements[Montant recu]))</f>
        <v>0</v>
      </c>
      <c r="AP184" s="109" t="str">
        <f aca="false">IFERROR(AL184/AK184,"")</f>
        <v/>
      </c>
      <c r="AQ184" s="107" t="n">
        <f aca="false">IF(A184="",0,COUNTIF(tbl_Donateurs_Contacts[ID Donateur],A184))</f>
        <v>0</v>
      </c>
      <c r="AR184" s="107" t="n">
        <f aca="false">IF(A184="",0,COUNTIF(tbl_Donateurs_Documents[ID Donateur],A184))</f>
        <v>0</v>
      </c>
      <c r="AS184" s="107" t="n">
        <f aca="false">IF(A184="",0,COUNTIF(tbl_Donateurs_Conventions[ID Donateur],A184))</f>
        <v>0</v>
      </c>
      <c r="AT184" s="115" t="n">
        <f aca="false">IFERROR(_xlfn.MAXIFS(tbl_Donateurs_Decaissements[Date recue],tbl_Donateurs_Decaissements[ID Donateur],A184),"")</f>
        <v>0</v>
      </c>
      <c r="AU184" s="108" t="str">
        <f aca="false">IFERROR(AN184/AL184,"")</f>
        <v/>
      </c>
      <c r="AV184" s="107" t="str">
        <f aca="true">IF(A184="","",IF(OR(AB184="A relancer",AND(AF184&lt;&gt;"",AF184&lt;=TODAY())),"OUI","NON"))</f>
        <v/>
      </c>
      <c r="AW184" s="107" t="str">
        <f aca="false">IF(B184="","",IF(OR(COUNTIF($B$56:$B$205,B184)&gt;1,AND(D184&lt;&gt;"",COUNTIF($D$56:$D$205,D184)&gt;1),AND(K184&lt;&gt;"",COUNTIF($K$56:$K$205,K184)&gt;1),AND(L184&lt;&gt;"",COUNTIF($L$56:$L$205,L184)&gt;1)),"OUI","NON"))</f>
        <v/>
      </c>
      <c r="AX184" s="113"/>
    </row>
    <row r="185" customFormat="false" ht="15" hidden="false" customHeight="true" outlineLevel="0" collapsed="false">
      <c r="A185" s="107" t="str">
        <f aca="false">IF(B185="","","DON"&amp;TEXT(ROW()-55,"00000"))</f>
        <v/>
      </c>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07" t="str">
        <f aca="false">IFERROR(INDEX(PARAMETRES!$B$536:$B$586,MATCH(X185,PARAMETRES!$J$536:$J$586,0)),"")</f>
        <v/>
      </c>
      <c r="Z185" s="107" t="str">
        <f aca="false">IFERROR(INDEX(PARAMETRES!$D$536:$D$586,MATCH(X185,PARAMETRES!$J$536:$J$586,0)),"")</f>
        <v/>
      </c>
      <c r="AA185" s="107" t="str">
        <f aca="false">IFERROR(INDEX(PARAMETRES!$F$536:$F$586,MATCH(X185,PARAMETRES!$J$536:$J$586,0)),"")</f>
        <v/>
      </c>
      <c r="AB185" s="113"/>
      <c r="AC185" s="114"/>
      <c r="AD185" s="113"/>
      <c r="AE185" s="114"/>
      <c r="AF185" s="114"/>
      <c r="AG185" s="113"/>
      <c r="AH185" s="113"/>
      <c r="AI185" s="107" t="n">
        <f aca="false">IF(A185="",0,COUNTIF(tbl_Donateurs_Opportunites[ID Donateur],A185))</f>
        <v>0</v>
      </c>
      <c r="AJ185" s="107" t="n">
        <f aca="false">IF(A185="",0,COUNTIFS(tbl_Donateurs_Opportunites[ID Donateur],A185,tbl_Donateurs_Opportunites[Statut],"Ouverte"))</f>
        <v>0</v>
      </c>
      <c r="AK185" s="107" t="n">
        <f aca="false">IF(A185="",0,COUNTIF(tbl_Donateurs_Demandes[ID Donateur],A185))</f>
        <v>0</v>
      </c>
      <c r="AL185" s="107" t="n">
        <f aca="false">IF(A185="",0,COUNTIFS(tbl_Donateurs_Demandes[ID Donateur],A185,tbl_Donateurs_Demandes[Statut],"Approuvee")+COUNTIFS(tbl_Donateurs_Demandes[ID Donateur],A185,tbl_Donateurs_Demandes[Statut],"Financement recu"))</f>
        <v>0</v>
      </c>
      <c r="AM185" s="108" t="n">
        <f aca="false">IF(A185="",0,SUMIF(tbl_Donateurs_Demandes[ID Donateur],A185,tbl_Donateurs_Demandes[Montant demande]))</f>
        <v>0</v>
      </c>
      <c r="AN185" s="108" t="n">
        <f aca="false">IF(A185="",0,SUMIF(tbl_Donateurs_Demandes[ID Donateur],A185,tbl_Donateurs_Demandes[Montant accorde]))</f>
        <v>0</v>
      </c>
      <c r="AO185" s="108" t="n">
        <f aca="false">IF(A185="",0,SUMIF(tbl_Donateurs_Decaissements[ID Donateur],A185,tbl_Donateurs_Decaissements[Montant recu]))</f>
        <v>0</v>
      </c>
      <c r="AP185" s="109" t="str">
        <f aca="false">IFERROR(AL185/AK185,"")</f>
        <v/>
      </c>
      <c r="AQ185" s="107" t="n">
        <f aca="false">IF(A185="",0,COUNTIF(tbl_Donateurs_Contacts[ID Donateur],A185))</f>
        <v>0</v>
      </c>
      <c r="AR185" s="107" t="n">
        <f aca="false">IF(A185="",0,COUNTIF(tbl_Donateurs_Documents[ID Donateur],A185))</f>
        <v>0</v>
      </c>
      <c r="AS185" s="107" t="n">
        <f aca="false">IF(A185="",0,COUNTIF(tbl_Donateurs_Conventions[ID Donateur],A185))</f>
        <v>0</v>
      </c>
      <c r="AT185" s="115" t="n">
        <f aca="false">IFERROR(_xlfn.MAXIFS(tbl_Donateurs_Decaissements[Date recue],tbl_Donateurs_Decaissements[ID Donateur],A185),"")</f>
        <v>0</v>
      </c>
      <c r="AU185" s="108" t="str">
        <f aca="false">IFERROR(AN185/AL185,"")</f>
        <v/>
      </c>
      <c r="AV185" s="107" t="str">
        <f aca="true">IF(A185="","",IF(OR(AB185="A relancer",AND(AF185&lt;&gt;"",AF185&lt;=TODAY())),"OUI","NON"))</f>
        <v/>
      </c>
      <c r="AW185" s="107" t="str">
        <f aca="false">IF(B185="","",IF(OR(COUNTIF($B$56:$B$205,B185)&gt;1,AND(D185&lt;&gt;"",COUNTIF($D$56:$D$205,D185)&gt;1),AND(K185&lt;&gt;"",COUNTIF($K$56:$K$205,K185)&gt;1),AND(L185&lt;&gt;"",COUNTIF($L$56:$L$205,L185)&gt;1)),"OUI","NON"))</f>
        <v/>
      </c>
      <c r="AX185" s="113"/>
    </row>
    <row r="186" customFormat="false" ht="15" hidden="false" customHeight="true" outlineLevel="0" collapsed="false">
      <c r="A186" s="107" t="str">
        <f aca="false">IF(B186="","","DON"&amp;TEXT(ROW()-55,"00000"))</f>
        <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07" t="str">
        <f aca="false">IFERROR(INDEX(PARAMETRES!$B$536:$B$586,MATCH(X186,PARAMETRES!$J$536:$J$586,0)),"")</f>
        <v/>
      </c>
      <c r="Z186" s="107" t="str">
        <f aca="false">IFERROR(INDEX(PARAMETRES!$D$536:$D$586,MATCH(X186,PARAMETRES!$J$536:$J$586,0)),"")</f>
        <v/>
      </c>
      <c r="AA186" s="107" t="str">
        <f aca="false">IFERROR(INDEX(PARAMETRES!$F$536:$F$586,MATCH(X186,PARAMETRES!$J$536:$J$586,0)),"")</f>
        <v/>
      </c>
      <c r="AB186" s="113"/>
      <c r="AC186" s="114"/>
      <c r="AD186" s="113"/>
      <c r="AE186" s="114"/>
      <c r="AF186" s="114"/>
      <c r="AG186" s="113"/>
      <c r="AH186" s="113"/>
      <c r="AI186" s="107" t="n">
        <f aca="false">IF(A186="",0,COUNTIF(tbl_Donateurs_Opportunites[ID Donateur],A186))</f>
        <v>0</v>
      </c>
      <c r="AJ186" s="107" t="n">
        <f aca="false">IF(A186="",0,COUNTIFS(tbl_Donateurs_Opportunites[ID Donateur],A186,tbl_Donateurs_Opportunites[Statut],"Ouverte"))</f>
        <v>0</v>
      </c>
      <c r="AK186" s="107" t="n">
        <f aca="false">IF(A186="",0,COUNTIF(tbl_Donateurs_Demandes[ID Donateur],A186))</f>
        <v>0</v>
      </c>
      <c r="AL186" s="107" t="n">
        <f aca="false">IF(A186="",0,COUNTIFS(tbl_Donateurs_Demandes[ID Donateur],A186,tbl_Donateurs_Demandes[Statut],"Approuvee")+COUNTIFS(tbl_Donateurs_Demandes[ID Donateur],A186,tbl_Donateurs_Demandes[Statut],"Financement recu"))</f>
        <v>0</v>
      </c>
      <c r="AM186" s="108" t="n">
        <f aca="false">IF(A186="",0,SUMIF(tbl_Donateurs_Demandes[ID Donateur],A186,tbl_Donateurs_Demandes[Montant demande]))</f>
        <v>0</v>
      </c>
      <c r="AN186" s="108" t="n">
        <f aca="false">IF(A186="",0,SUMIF(tbl_Donateurs_Demandes[ID Donateur],A186,tbl_Donateurs_Demandes[Montant accorde]))</f>
        <v>0</v>
      </c>
      <c r="AO186" s="108" t="n">
        <f aca="false">IF(A186="",0,SUMIF(tbl_Donateurs_Decaissements[ID Donateur],A186,tbl_Donateurs_Decaissements[Montant recu]))</f>
        <v>0</v>
      </c>
      <c r="AP186" s="109" t="str">
        <f aca="false">IFERROR(AL186/AK186,"")</f>
        <v/>
      </c>
      <c r="AQ186" s="107" t="n">
        <f aca="false">IF(A186="",0,COUNTIF(tbl_Donateurs_Contacts[ID Donateur],A186))</f>
        <v>0</v>
      </c>
      <c r="AR186" s="107" t="n">
        <f aca="false">IF(A186="",0,COUNTIF(tbl_Donateurs_Documents[ID Donateur],A186))</f>
        <v>0</v>
      </c>
      <c r="AS186" s="107" t="n">
        <f aca="false">IF(A186="",0,COUNTIF(tbl_Donateurs_Conventions[ID Donateur],A186))</f>
        <v>0</v>
      </c>
      <c r="AT186" s="115" t="n">
        <f aca="false">IFERROR(_xlfn.MAXIFS(tbl_Donateurs_Decaissements[Date recue],tbl_Donateurs_Decaissements[ID Donateur],A186),"")</f>
        <v>0</v>
      </c>
      <c r="AU186" s="108" t="str">
        <f aca="false">IFERROR(AN186/AL186,"")</f>
        <v/>
      </c>
      <c r="AV186" s="107" t="str">
        <f aca="true">IF(A186="","",IF(OR(AB186="A relancer",AND(AF186&lt;&gt;"",AF186&lt;=TODAY())),"OUI","NON"))</f>
        <v/>
      </c>
      <c r="AW186" s="107" t="str">
        <f aca="false">IF(B186="","",IF(OR(COUNTIF($B$56:$B$205,B186)&gt;1,AND(D186&lt;&gt;"",COUNTIF($D$56:$D$205,D186)&gt;1),AND(K186&lt;&gt;"",COUNTIF($K$56:$K$205,K186)&gt;1),AND(L186&lt;&gt;"",COUNTIF($L$56:$L$205,L186)&gt;1)),"OUI","NON"))</f>
        <v/>
      </c>
      <c r="AX186" s="113"/>
    </row>
    <row r="187" customFormat="false" ht="15" hidden="false" customHeight="true" outlineLevel="0" collapsed="false">
      <c r="A187" s="107" t="str">
        <f aca="false">IF(B187="","","DON"&amp;TEXT(ROW()-55,"00000"))</f>
        <v/>
      </c>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07" t="str">
        <f aca="false">IFERROR(INDEX(PARAMETRES!$B$536:$B$586,MATCH(X187,PARAMETRES!$J$536:$J$586,0)),"")</f>
        <v/>
      </c>
      <c r="Z187" s="107" t="str">
        <f aca="false">IFERROR(INDEX(PARAMETRES!$D$536:$D$586,MATCH(X187,PARAMETRES!$J$536:$J$586,0)),"")</f>
        <v/>
      </c>
      <c r="AA187" s="107" t="str">
        <f aca="false">IFERROR(INDEX(PARAMETRES!$F$536:$F$586,MATCH(X187,PARAMETRES!$J$536:$J$586,0)),"")</f>
        <v/>
      </c>
      <c r="AB187" s="113"/>
      <c r="AC187" s="114"/>
      <c r="AD187" s="113"/>
      <c r="AE187" s="114"/>
      <c r="AF187" s="114"/>
      <c r="AG187" s="113"/>
      <c r="AH187" s="113"/>
      <c r="AI187" s="107" t="n">
        <f aca="false">IF(A187="",0,COUNTIF(tbl_Donateurs_Opportunites[ID Donateur],A187))</f>
        <v>0</v>
      </c>
      <c r="AJ187" s="107" t="n">
        <f aca="false">IF(A187="",0,COUNTIFS(tbl_Donateurs_Opportunites[ID Donateur],A187,tbl_Donateurs_Opportunites[Statut],"Ouverte"))</f>
        <v>0</v>
      </c>
      <c r="AK187" s="107" t="n">
        <f aca="false">IF(A187="",0,COUNTIF(tbl_Donateurs_Demandes[ID Donateur],A187))</f>
        <v>0</v>
      </c>
      <c r="AL187" s="107" t="n">
        <f aca="false">IF(A187="",0,COUNTIFS(tbl_Donateurs_Demandes[ID Donateur],A187,tbl_Donateurs_Demandes[Statut],"Approuvee")+COUNTIFS(tbl_Donateurs_Demandes[ID Donateur],A187,tbl_Donateurs_Demandes[Statut],"Financement recu"))</f>
        <v>0</v>
      </c>
      <c r="AM187" s="108" t="n">
        <f aca="false">IF(A187="",0,SUMIF(tbl_Donateurs_Demandes[ID Donateur],A187,tbl_Donateurs_Demandes[Montant demande]))</f>
        <v>0</v>
      </c>
      <c r="AN187" s="108" t="n">
        <f aca="false">IF(A187="",0,SUMIF(tbl_Donateurs_Demandes[ID Donateur],A187,tbl_Donateurs_Demandes[Montant accorde]))</f>
        <v>0</v>
      </c>
      <c r="AO187" s="108" t="n">
        <f aca="false">IF(A187="",0,SUMIF(tbl_Donateurs_Decaissements[ID Donateur],A187,tbl_Donateurs_Decaissements[Montant recu]))</f>
        <v>0</v>
      </c>
      <c r="AP187" s="109" t="str">
        <f aca="false">IFERROR(AL187/AK187,"")</f>
        <v/>
      </c>
      <c r="AQ187" s="107" t="n">
        <f aca="false">IF(A187="",0,COUNTIF(tbl_Donateurs_Contacts[ID Donateur],A187))</f>
        <v>0</v>
      </c>
      <c r="AR187" s="107" t="n">
        <f aca="false">IF(A187="",0,COUNTIF(tbl_Donateurs_Documents[ID Donateur],A187))</f>
        <v>0</v>
      </c>
      <c r="AS187" s="107" t="n">
        <f aca="false">IF(A187="",0,COUNTIF(tbl_Donateurs_Conventions[ID Donateur],A187))</f>
        <v>0</v>
      </c>
      <c r="AT187" s="115" t="n">
        <f aca="false">IFERROR(_xlfn.MAXIFS(tbl_Donateurs_Decaissements[Date recue],tbl_Donateurs_Decaissements[ID Donateur],A187),"")</f>
        <v>0</v>
      </c>
      <c r="AU187" s="108" t="str">
        <f aca="false">IFERROR(AN187/AL187,"")</f>
        <v/>
      </c>
      <c r="AV187" s="107" t="str">
        <f aca="true">IF(A187="","",IF(OR(AB187="A relancer",AND(AF187&lt;&gt;"",AF187&lt;=TODAY())),"OUI","NON"))</f>
        <v/>
      </c>
      <c r="AW187" s="107" t="str">
        <f aca="false">IF(B187="","",IF(OR(COUNTIF($B$56:$B$205,B187)&gt;1,AND(D187&lt;&gt;"",COUNTIF($D$56:$D$205,D187)&gt;1),AND(K187&lt;&gt;"",COUNTIF($K$56:$K$205,K187)&gt;1),AND(L187&lt;&gt;"",COUNTIF($L$56:$L$205,L187)&gt;1)),"OUI","NON"))</f>
        <v/>
      </c>
      <c r="AX187" s="113"/>
    </row>
    <row r="188" customFormat="false" ht="15" hidden="false" customHeight="true" outlineLevel="0" collapsed="false">
      <c r="A188" s="107" t="str">
        <f aca="false">IF(B188="","","DON"&amp;TEXT(ROW()-55,"00000"))</f>
        <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07" t="str">
        <f aca="false">IFERROR(INDEX(PARAMETRES!$B$536:$B$586,MATCH(X188,PARAMETRES!$J$536:$J$586,0)),"")</f>
        <v/>
      </c>
      <c r="Z188" s="107" t="str">
        <f aca="false">IFERROR(INDEX(PARAMETRES!$D$536:$D$586,MATCH(X188,PARAMETRES!$J$536:$J$586,0)),"")</f>
        <v/>
      </c>
      <c r="AA188" s="107" t="str">
        <f aca="false">IFERROR(INDEX(PARAMETRES!$F$536:$F$586,MATCH(X188,PARAMETRES!$J$536:$J$586,0)),"")</f>
        <v/>
      </c>
      <c r="AB188" s="113"/>
      <c r="AC188" s="114"/>
      <c r="AD188" s="113"/>
      <c r="AE188" s="114"/>
      <c r="AF188" s="114"/>
      <c r="AG188" s="113"/>
      <c r="AH188" s="113"/>
      <c r="AI188" s="107" t="n">
        <f aca="false">IF(A188="",0,COUNTIF(tbl_Donateurs_Opportunites[ID Donateur],A188))</f>
        <v>0</v>
      </c>
      <c r="AJ188" s="107" t="n">
        <f aca="false">IF(A188="",0,COUNTIFS(tbl_Donateurs_Opportunites[ID Donateur],A188,tbl_Donateurs_Opportunites[Statut],"Ouverte"))</f>
        <v>0</v>
      </c>
      <c r="AK188" s="107" t="n">
        <f aca="false">IF(A188="",0,COUNTIF(tbl_Donateurs_Demandes[ID Donateur],A188))</f>
        <v>0</v>
      </c>
      <c r="AL188" s="107" t="n">
        <f aca="false">IF(A188="",0,COUNTIFS(tbl_Donateurs_Demandes[ID Donateur],A188,tbl_Donateurs_Demandes[Statut],"Approuvee")+COUNTIFS(tbl_Donateurs_Demandes[ID Donateur],A188,tbl_Donateurs_Demandes[Statut],"Financement recu"))</f>
        <v>0</v>
      </c>
      <c r="AM188" s="108" t="n">
        <f aca="false">IF(A188="",0,SUMIF(tbl_Donateurs_Demandes[ID Donateur],A188,tbl_Donateurs_Demandes[Montant demande]))</f>
        <v>0</v>
      </c>
      <c r="AN188" s="108" t="n">
        <f aca="false">IF(A188="",0,SUMIF(tbl_Donateurs_Demandes[ID Donateur],A188,tbl_Donateurs_Demandes[Montant accorde]))</f>
        <v>0</v>
      </c>
      <c r="AO188" s="108" t="n">
        <f aca="false">IF(A188="",0,SUMIF(tbl_Donateurs_Decaissements[ID Donateur],A188,tbl_Donateurs_Decaissements[Montant recu]))</f>
        <v>0</v>
      </c>
      <c r="AP188" s="109" t="str">
        <f aca="false">IFERROR(AL188/AK188,"")</f>
        <v/>
      </c>
      <c r="AQ188" s="107" t="n">
        <f aca="false">IF(A188="",0,COUNTIF(tbl_Donateurs_Contacts[ID Donateur],A188))</f>
        <v>0</v>
      </c>
      <c r="AR188" s="107" t="n">
        <f aca="false">IF(A188="",0,COUNTIF(tbl_Donateurs_Documents[ID Donateur],A188))</f>
        <v>0</v>
      </c>
      <c r="AS188" s="107" t="n">
        <f aca="false">IF(A188="",0,COUNTIF(tbl_Donateurs_Conventions[ID Donateur],A188))</f>
        <v>0</v>
      </c>
      <c r="AT188" s="115" t="n">
        <f aca="false">IFERROR(_xlfn.MAXIFS(tbl_Donateurs_Decaissements[Date recue],tbl_Donateurs_Decaissements[ID Donateur],A188),"")</f>
        <v>0</v>
      </c>
      <c r="AU188" s="108" t="str">
        <f aca="false">IFERROR(AN188/AL188,"")</f>
        <v/>
      </c>
      <c r="AV188" s="107" t="str">
        <f aca="true">IF(A188="","",IF(OR(AB188="A relancer",AND(AF188&lt;&gt;"",AF188&lt;=TODAY())),"OUI","NON"))</f>
        <v/>
      </c>
      <c r="AW188" s="107" t="str">
        <f aca="false">IF(B188="","",IF(OR(COUNTIF($B$56:$B$205,B188)&gt;1,AND(D188&lt;&gt;"",COUNTIF($D$56:$D$205,D188)&gt;1),AND(K188&lt;&gt;"",COUNTIF($K$56:$K$205,K188)&gt;1),AND(L188&lt;&gt;"",COUNTIF($L$56:$L$205,L188)&gt;1)),"OUI","NON"))</f>
        <v/>
      </c>
      <c r="AX188" s="113"/>
    </row>
    <row r="189" customFormat="false" ht="15" hidden="false" customHeight="true" outlineLevel="0" collapsed="false">
      <c r="A189" s="107" t="str">
        <f aca="false">IF(B189="","","DON"&amp;TEXT(ROW()-55,"00000"))</f>
        <v/>
      </c>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07" t="str">
        <f aca="false">IFERROR(INDEX(PARAMETRES!$B$536:$B$586,MATCH(X189,PARAMETRES!$J$536:$J$586,0)),"")</f>
        <v/>
      </c>
      <c r="Z189" s="107" t="str">
        <f aca="false">IFERROR(INDEX(PARAMETRES!$D$536:$D$586,MATCH(X189,PARAMETRES!$J$536:$J$586,0)),"")</f>
        <v/>
      </c>
      <c r="AA189" s="107" t="str">
        <f aca="false">IFERROR(INDEX(PARAMETRES!$F$536:$F$586,MATCH(X189,PARAMETRES!$J$536:$J$586,0)),"")</f>
        <v/>
      </c>
      <c r="AB189" s="113"/>
      <c r="AC189" s="114"/>
      <c r="AD189" s="113"/>
      <c r="AE189" s="114"/>
      <c r="AF189" s="114"/>
      <c r="AG189" s="113"/>
      <c r="AH189" s="113"/>
      <c r="AI189" s="107" t="n">
        <f aca="false">IF(A189="",0,COUNTIF(tbl_Donateurs_Opportunites[ID Donateur],A189))</f>
        <v>0</v>
      </c>
      <c r="AJ189" s="107" t="n">
        <f aca="false">IF(A189="",0,COUNTIFS(tbl_Donateurs_Opportunites[ID Donateur],A189,tbl_Donateurs_Opportunites[Statut],"Ouverte"))</f>
        <v>0</v>
      </c>
      <c r="AK189" s="107" t="n">
        <f aca="false">IF(A189="",0,COUNTIF(tbl_Donateurs_Demandes[ID Donateur],A189))</f>
        <v>0</v>
      </c>
      <c r="AL189" s="107" t="n">
        <f aca="false">IF(A189="",0,COUNTIFS(tbl_Donateurs_Demandes[ID Donateur],A189,tbl_Donateurs_Demandes[Statut],"Approuvee")+COUNTIFS(tbl_Donateurs_Demandes[ID Donateur],A189,tbl_Donateurs_Demandes[Statut],"Financement recu"))</f>
        <v>0</v>
      </c>
      <c r="AM189" s="108" t="n">
        <f aca="false">IF(A189="",0,SUMIF(tbl_Donateurs_Demandes[ID Donateur],A189,tbl_Donateurs_Demandes[Montant demande]))</f>
        <v>0</v>
      </c>
      <c r="AN189" s="108" t="n">
        <f aca="false">IF(A189="",0,SUMIF(tbl_Donateurs_Demandes[ID Donateur],A189,tbl_Donateurs_Demandes[Montant accorde]))</f>
        <v>0</v>
      </c>
      <c r="AO189" s="108" t="n">
        <f aca="false">IF(A189="",0,SUMIF(tbl_Donateurs_Decaissements[ID Donateur],A189,tbl_Donateurs_Decaissements[Montant recu]))</f>
        <v>0</v>
      </c>
      <c r="AP189" s="109" t="str">
        <f aca="false">IFERROR(AL189/AK189,"")</f>
        <v/>
      </c>
      <c r="AQ189" s="107" t="n">
        <f aca="false">IF(A189="",0,COUNTIF(tbl_Donateurs_Contacts[ID Donateur],A189))</f>
        <v>0</v>
      </c>
      <c r="AR189" s="107" t="n">
        <f aca="false">IF(A189="",0,COUNTIF(tbl_Donateurs_Documents[ID Donateur],A189))</f>
        <v>0</v>
      </c>
      <c r="AS189" s="107" t="n">
        <f aca="false">IF(A189="",0,COUNTIF(tbl_Donateurs_Conventions[ID Donateur],A189))</f>
        <v>0</v>
      </c>
      <c r="AT189" s="115" t="n">
        <f aca="false">IFERROR(_xlfn.MAXIFS(tbl_Donateurs_Decaissements[Date recue],tbl_Donateurs_Decaissements[ID Donateur],A189),"")</f>
        <v>0</v>
      </c>
      <c r="AU189" s="108" t="str">
        <f aca="false">IFERROR(AN189/AL189,"")</f>
        <v/>
      </c>
      <c r="AV189" s="107" t="str">
        <f aca="true">IF(A189="","",IF(OR(AB189="A relancer",AND(AF189&lt;&gt;"",AF189&lt;=TODAY())),"OUI","NON"))</f>
        <v/>
      </c>
      <c r="AW189" s="107" t="str">
        <f aca="false">IF(B189="","",IF(OR(COUNTIF($B$56:$B$205,B189)&gt;1,AND(D189&lt;&gt;"",COUNTIF($D$56:$D$205,D189)&gt;1),AND(K189&lt;&gt;"",COUNTIF($K$56:$K$205,K189)&gt;1),AND(L189&lt;&gt;"",COUNTIF($L$56:$L$205,L189)&gt;1)),"OUI","NON"))</f>
        <v/>
      </c>
      <c r="AX189" s="113"/>
    </row>
    <row r="190" customFormat="false" ht="15" hidden="false" customHeight="true" outlineLevel="0" collapsed="false">
      <c r="A190" s="107" t="str">
        <f aca="false">IF(B190="","","DON"&amp;TEXT(ROW()-55,"00000"))</f>
        <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07" t="str">
        <f aca="false">IFERROR(INDEX(PARAMETRES!$B$536:$B$586,MATCH(X190,PARAMETRES!$J$536:$J$586,0)),"")</f>
        <v/>
      </c>
      <c r="Z190" s="107" t="str">
        <f aca="false">IFERROR(INDEX(PARAMETRES!$D$536:$D$586,MATCH(X190,PARAMETRES!$J$536:$J$586,0)),"")</f>
        <v/>
      </c>
      <c r="AA190" s="107" t="str">
        <f aca="false">IFERROR(INDEX(PARAMETRES!$F$536:$F$586,MATCH(X190,PARAMETRES!$J$536:$J$586,0)),"")</f>
        <v/>
      </c>
      <c r="AB190" s="113"/>
      <c r="AC190" s="114"/>
      <c r="AD190" s="113"/>
      <c r="AE190" s="114"/>
      <c r="AF190" s="114"/>
      <c r="AG190" s="113"/>
      <c r="AH190" s="113"/>
      <c r="AI190" s="107" t="n">
        <f aca="false">IF(A190="",0,COUNTIF(tbl_Donateurs_Opportunites[ID Donateur],A190))</f>
        <v>0</v>
      </c>
      <c r="AJ190" s="107" t="n">
        <f aca="false">IF(A190="",0,COUNTIFS(tbl_Donateurs_Opportunites[ID Donateur],A190,tbl_Donateurs_Opportunites[Statut],"Ouverte"))</f>
        <v>0</v>
      </c>
      <c r="AK190" s="107" t="n">
        <f aca="false">IF(A190="",0,COUNTIF(tbl_Donateurs_Demandes[ID Donateur],A190))</f>
        <v>0</v>
      </c>
      <c r="AL190" s="107" t="n">
        <f aca="false">IF(A190="",0,COUNTIFS(tbl_Donateurs_Demandes[ID Donateur],A190,tbl_Donateurs_Demandes[Statut],"Approuvee")+COUNTIFS(tbl_Donateurs_Demandes[ID Donateur],A190,tbl_Donateurs_Demandes[Statut],"Financement recu"))</f>
        <v>0</v>
      </c>
      <c r="AM190" s="108" t="n">
        <f aca="false">IF(A190="",0,SUMIF(tbl_Donateurs_Demandes[ID Donateur],A190,tbl_Donateurs_Demandes[Montant demande]))</f>
        <v>0</v>
      </c>
      <c r="AN190" s="108" t="n">
        <f aca="false">IF(A190="",0,SUMIF(tbl_Donateurs_Demandes[ID Donateur],A190,tbl_Donateurs_Demandes[Montant accorde]))</f>
        <v>0</v>
      </c>
      <c r="AO190" s="108" t="n">
        <f aca="false">IF(A190="",0,SUMIF(tbl_Donateurs_Decaissements[ID Donateur],A190,tbl_Donateurs_Decaissements[Montant recu]))</f>
        <v>0</v>
      </c>
      <c r="AP190" s="109" t="str">
        <f aca="false">IFERROR(AL190/AK190,"")</f>
        <v/>
      </c>
      <c r="AQ190" s="107" t="n">
        <f aca="false">IF(A190="",0,COUNTIF(tbl_Donateurs_Contacts[ID Donateur],A190))</f>
        <v>0</v>
      </c>
      <c r="AR190" s="107" t="n">
        <f aca="false">IF(A190="",0,COUNTIF(tbl_Donateurs_Documents[ID Donateur],A190))</f>
        <v>0</v>
      </c>
      <c r="AS190" s="107" t="n">
        <f aca="false">IF(A190="",0,COUNTIF(tbl_Donateurs_Conventions[ID Donateur],A190))</f>
        <v>0</v>
      </c>
      <c r="AT190" s="115" t="n">
        <f aca="false">IFERROR(_xlfn.MAXIFS(tbl_Donateurs_Decaissements[Date recue],tbl_Donateurs_Decaissements[ID Donateur],A190),"")</f>
        <v>0</v>
      </c>
      <c r="AU190" s="108" t="str">
        <f aca="false">IFERROR(AN190/AL190,"")</f>
        <v/>
      </c>
      <c r="AV190" s="107" t="str">
        <f aca="true">IF(A190="","",IF(OR(AB190="A relancer",AND(AF190&lt;&gt;"",AF190&lt;=TODAY())),"OUI","NON"))</f>
        <v/>
      </c>
      <c r="AW190" s="107" t="str">
        <f aca="false">IF(B190="","",IF(OR(COUNTIF($B$56:$B$205,B190)&gt;1,AND(D190&lt;&gt;"",COUNTIF($D$56:$D$205,D190)&gt;1),AND(K190&lt;&gt;"",COUNTIF($K$56:$K$205,K190)&gt;1),AND(L190&lt;&gt;"",COUNTIF($L$56:$L$205,L190)&gt;1)),"OUI","NON"))</f>
        <v/>
      </c>
      <c r="AX190" s="113"/>
    </row>
    <row r="191" customFormat="false" ht="15" hidden="false" customHeight="true" outlineLevel="0" collapsed="false">
      <c r="A191" s="107" t="str">
        <f aca="false">IF(B191="","","DON"&amp;TEXT(ROW()-55,"00000"))</f>
        <v/>
      </c>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07" t="str">
        <f aca="false">IFERROR(INDEX(PARAMETRES!$B$536:$B$586,MATCH(X191,PARAMETRES!$J$536:$J$586,0)),"")</f>
        <v/>
      </c>
      <c r="Z191" s="107" t="str">
        <f aca="false">IFERROR(INDEX(PARAMETRES!$D$536:$D$586,MATCH(X191,PARAMETRES!$J$536:$J$586,0)),"")</f>
        <v/>
      </c>
      <c r="AA191" s="107" t="str">
        <f aca="false">IFERROR(INDEX(PARAMETRES!$F$536:$F$586,MATCH(X191,PARAMETRES!$J$536:$J$586,0)),"")</f>
        <v/>
      </c>
      <c r="AB191" s="113"/>
      <c r="AC191" s="114"/>
      <c r="AD191" s="113"/>
      <c r="AE191" s="114"/>
      <c r="AF191" s="114"/>
      <c r="AG191" s="113"/>
      <c r="AH191" s="113"/>
      <c r="AI191" s="107" t="n">
        <f aca="false">IF(A191="",0,COUNTIF(tbl_Donateurs_Opportunites[ID Donateur],A191))</f>
        <v>0</v>
      </c>
      <c r="AJ191" s="107" t="n">
        <f aca="false">IF(A191="",0,COUNTIFS(tbl_Donateurs_Opportunites[ID Donateur],A191,tbl_Donateurs_Opportunites[Statut],"Ouverte"))</f>
        <v>0</v>
      </c>
      <c r="AK191" s="107" t="n">
        <f aca="false">IF(A191="",0,COUNTIF(tbl_Donateurs_Demandes[ID Donateur],A191))</f>
        <v>0</v>
      </c>
      <c r="AL191" s="107" t="n">
        <f aca="false">IF(A191="",0,COUNTIFS(tbl_Donateurs_Demandes[ID Donateur],A191,tbl_Donateurs_Demandes[Statut],"Approuvee")+COUNTIFS(tbl_Donateurs_Demandes[ID Donateur],A191,tbl_Donateurs_Demandes[Statut],"Financement recu"))</f>
        <v>0</v>
      </c>
      <c r="AM191" s="108" t="n">
        <f aca="false">IF(A191="",0,SUMIF(tbl_Donateurs_Demandes[ID Donateur],A191,tbl_Donateurs_Demandes[Montant demande]))</f>
        <v>0</v>
      </c>
      <c r="AN191" s="108" t="n">
        <f aca="false">IF(A191="",0,SUMIF(tbl_Donateurs_Demandes[ID Donateur],A191,tbl_Donateurs_Demandes[Montant accorde]))</f>
        <v>0</v>
      </c>
      <c r="AO191" s="108" t="n">
        <f aca="false">IF(A191="",0,SUMIF(tbl_Donateurs_Decaissements[ID Donateur],A191,tbl_Donateurs_Decaissements[Montant recu]))</f>
        <v>0</v>
      </c>
      <c r="AP191" s="109" t="str">
        <f aca="false">IFERROR(AL191/AK191,"")</f>
        <v/>
      </c>
      <c r="AQ191" s="107" t="n">
        <f aca="false">IF(A191="",0,COUNTIF(tbl_Donateurs_Contacts[ID Donateur],A191))</f>
        <v>0</v>
      </c>
      <c r="AR191" s="107" t="n">
        <f aca="false">IF(A191="",0,COUNTIF(tbl_Donateurs_Documents[ID Donateur],A191))</f>
        <v>0</v>
      </c>
      <c r="AS191" s="107" t="n">
        <f aca="false">IF(A191="",0,COUNTIF(tbl_Donateurs_Conventions[ID Donateur],A191))</f>
        <v>0</v>
      </c>
      <c r="AT191" s="115" t="n">
        <f aca="false">IFERROR(_xlfn.MAXIFS(tbl_Donateurs_Decaissements[Date recue],tbl_Donateurs_Decaissements[ID Donateur],A191),"")</f>
        <v>0</v>
      </c>
      <c r="AU191" s="108" t="str">
        <f aca="false">IFERROR(AN191/AL191,"")</f>
        <v/>
      </c>
      <c r="AV191" s="107" t="str">
        <f aca="true">IF(A191="","",IF(OR(AB191="A relancer",AND(AF191&lt;&gt;"",AF191&lt;=TODAY())),"OUI","NON"))</f>
        <v/>
      </c>
      <c r="AW191" s="107" t="str">
        <f aca="false">IF(B191="","",IF(OR(COUNTIF($B$56:$B$205,B191)&gt;1,AND(D191&lt;&gt;"",COUNTIF($D$56:$D$205,D191)&gt;1),AND(K191&lt;&gt;"",COUNTIF($K$56:$K$205,K191)&gt;1),AND(L191&lt;&gt;"",COUNTIF($L$56:$L$205,L191)&gt;1)),"OUI","NON"))</f>
        <v/>
      </c>
      <c r="AX191" s="113"/>
    </row>
    <row r="192" customFormat="false" ht="15" hidden="false" customHeight="true" outlineLevel="0" collapsed="false">
      <c r="A192" s="107" t="str">
        <f aca="false">IF(B192="","","DON"&amp;TEXT(ROW()-55,"00000"))</f>
        <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07" t="str">
        <f aca="false">IFERROR(INDEX(PARAMETRES!$B$536:$B$586,MATCH(X192,PARAMETRES!$J$536:$J$586,0)),"")</f>
        <v/>
      </c>
      <c r="Z192" s="107" t="str">
        <f aca="false">IFERROR(INDEX(PARAMETRES!$D$536:$D$586,MATCH(X192,PARAMETRES!$J$536:$J$586,0)),"")</f>
        <v/>
      </c>
      <c r="AA192" s="107" t="str">
        <f aca="false">IFERROR(INDEX(PARAMETRES!$F$536:$F$586,MATCH(X192,PARAMETRES!$J$536:$J$586,0)),"")</f>
        <v/>
      </c>
      <c r="AB192" s="113"/>
      <c r="AC192" s="114"/>
      <c r="AD192" s="113"/>
      <c r="AE192" s="114"/>
      <c r="AF192" s="114"/>
      <c r="AG192" s="113"/>
      <c r="AH192" s="113"/>
      <c r="AI192" s="107" t="n">
        <f aca="false">IF(A192="",0,COUNTIF(tbl_Donateurs_Opportunites[ID Donateur],A192))</f>
        <v>0</v>
      </c>
      <c r="AJ192" s="107" t="n">
        <f aca="false">IF(A192="",0,COUNTIFS(tbl_Donateurs_Opportunites[ID Donateur],A192,tbl_Donateurs_Opportunites[Statut],"Ouverte"))</f>
        <v>0</v>
      </c>
      <c r="AK192" s="107" t="n">
        <f aca="false">IF(A192="",0,COUNTIF(tbl_Donateurs_Demandes[ID Donateur],A192))</f>
        <v>0</v>
      </c>
      <c r="AL192" s="107" t="n">
        <f aca="false">IF(A192="",0,COUNTIFS(tbl_Donateurs_Demandes[ID Donateur],A192,tbl_Donateurs_Demandes[Statut],"Approuvee")+COUNTIFS(tbl_Donateurs_Demandes[ID Donateur],A192,tbl_Donateurs_Demandes[Statut],"Financement recu"))</f>
        <v>0</v>
      </c>
      <c r="AM192" s="108" t="n">
        <f aca="false">IF(A192="",0,SUMIF(tbl_Donateurs_Demandes[ID Donateur],A192,tbl_Donateurs_Demandes[Montant demande]))</f>
        <v>0</v>
      </c>
      <c r="AN192" s="108" t="n">
        <f aca="false">IF(A192="",0,SUMIF(tbl_Donateurs_Demandes[ID Donateur],A192,tbl_Donateurs_Demandes[Montant accorde]))</f>
        <v>0</v>
      </c>
      <c r="AO192" s="108" t="n">
        <f aca="false">IF(A192="",0,SUMIF(tbl_Donateurs_Decaissements[ID Donateur],A192,tbl_Donateurs_Decaissements[Montant recu]))</f>
        <v>0</v>
      </c>
      <c r="AP192" s="109" t="str">
        <f aca="false">IFERROR(AL192/AK192,"")</f>
        <v/>
      </c>
      <c r="AQ192" s="107" t="n">
        <f aca="false">IF(A192="",0,COUNTIF(tbl_Donateurs_Contacts[ID Donateur],A192))</f>
        <v>0</v>
      </c>
      <c r="AR192" s="107" t="n">
        <f aca="false">IF(A192="",0,COUNTIF(tbl_Donateurs_Documents[ID Donateur],A192))</f>
        <v>0</v>
      </c>
      <c r="AS192" s="107" t="n">
        <f aca="false">IF(A192="",0,COUNTIF(tbl_Donateurs_Conventions[ID Donateur],A192))</f>
        <v>0</v>
      </c>
      <c r="AT192" s="115" t="n">
        <f aca="false">IFERROR(_xlfn.MAXIFS(tbl_Donateurs_Decaissements[Date recue],tbl_Donateurs_Decaissements[ID Donateur],A192),"")</f>
        <v>0</v>
      </c>
      <c r="AU192" s="108" t="str">
        <f aca="false">IFERROR(AN192/AL192,"")</f>
        <v/>
      </c>
      <c r="AV192" s="107" t="str">
        <f aca="true">IF(A192="","",IF(OR(AB192="A relancer",AND(AF192&lt;&gt;"",AF192&lt;=TODAY())),"OUI","NON"))</f>
        <v/>
      </c>
      <c r="AW192" s="107" t="str">
        <f aca="false">IF(B192="","",IF(OR(COUNTIF($B$56:$B$205,B192)&gt;1,AND(D192&lt;&gt;"",COUNTIF($D$56:$D$205,D192)&gt;1),AND(K192&lt;&gt;"",COUNTIF($K$56:$K$205,K192)&gt;1),AND(L192&lt;&gt;"",COUNTIF($L$56:$L$205,L192)&gt;1)),"OUI","NON"))</f>
        <v/>
      </c>
      <c r="AX192" s="113"/>
    </row>
    <row r="193" customFormat="false" ht="15" hidden="false" customHeight="true" outlineLevel="0" collapsed="false">
      <c r="A193" s="107" t="str">
        <f aca="false">IF(B193="","","DON"&amp;TEXT(ROW()-55,"00000"))</f>
        <v/>
      </c>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07" t="str">
        <f aca="false">IFERROR(INDEX(PARAMETRES!$B$536:$B$586,MATCH(X193,PARAMETRES!$J$536:$J$586,0)),"")</f>
        <v/>
      </c>
      <c r="Z193" s="107" t="str">
        <f aca="false">IFERROR(INDEX(PARAMETRES!$D$536:$D$586,MATCH(X193,PARAMETRES!$J$536:$J$586,0)),"")</f>
        <v/>
      </c>
      <c r="AA193" s="107" t="str">
        <f aca="false">IFERROR(INDEX(PARAMETRES!$F$536:$F$586,MATCH(X193,PARAMETRES!$J$536:$J$586,0)),"")</f>
        <v/>
      </c>
      <c r="AB193" s="113"/>
      <c r="AC193" s="114"/>
      <c r="AD193" s="113"/>
      <c r="AE193" s="114"/>
      <c r="AF193" s="114"/>
      <c r="AG193" s="113"/>
      <c r="AH193" s="113"/>
      <c r="AI193" s="107" t="n">
        <f aca="false">IF(A193="",0,COUNTIF(tbl_Donateurs_Opportunites[ID Donateur],A193))</f>
        <v>0</v>
      </c>
      <c r="AJ193" s="107" t="n">
        <f aca="false">IF(A193="",0,COUNTIFS(tbl_Donateurs_Opportunites[ID Donateur],A193,tbl_Donateurs_Opportunites[Statut],"Ouverte"))</f>
        <v>0</v>
      </c>
      <c r="AK193" s="107" t="n">
        <f aca="false">IF(A193="",0,COUNTIF(tbl_Donateurs_Demandes[ID Donateur],A193))</f>
        <v>0</v>
      </c>
      <c r="AL193" s="107" t="n">
        <f aca="false">IF(A193="",0,COUNTIFS(tbl_Donateurs_Demandes[ID Donateur],A193,tbl_Donateurs_Demandes[Statut],"Approuvee")+COUNTIFS(tbl_Donateurs_Demandes[ID Donateur],A193,tbl_Donateurs_Demandes[Statut],"Financement recu"))</f>
        <v>0</v>
      </c>
      <c r="AM193" s="108" t="n">
        <f aca="false">IF(A193="",0,SUMIF(tbl_Donateurs_Demandes[ID Donateur],A193,tbl_Donateurs_Demandes[Montant demande]))</f>
        <v>0</v>
      </c>
      <c r="AN193" s="108" t="n">
        <f aca="false">IF(A193="",0,SUMIF(tbl_Donateurs_Demandes[ID Donateur],A193,tbl_Donateurs_Demandes[Montant accorde]))</f>
        <v>0</v>
      </c>
      <c r="AO193" s="108" t="n">
        <f aca="false">IF(A193="",0,SUMIF(tbl_Donateurs_Decaissements[ID Donateur],A193,tbl_Donateurs_Decaissements[Montant recu]))</f>
        <v>0</v>
      </c>
      <c r="AP193" s="109" t="str">
        <f aca="false">IFERROR(AL193/AK193,"")</f>
        <v/>
      </c>
      <c r="AQ193" s="107" t="n">
        <f aca="false">IF(A193="",0,COUNTIF(tbl_Donateurs_Contacts[ID Donateur],A193))</f>
        <v>0</v>
      </c>
      <c r="AR193" s="107" t="n">
        <f aca="false">IF(A193="",0,COUNTIF(tbl_Donateurs_Documents[ID Donateur],A193))</f>
        <v>0</v>
      </c>
      <c r="AS193" s="107" t="n">
        <f aca="false">IF(A193="",0,COUNTIF(tbl_Donateurs_Conventions[ID Donateur],A193))</f>
        <v>0</v>
      </c>
      <c r="AT193" s="115" t="n">
        <f aca="false">IFERROR(_xlfn.MAXIFS(tbl_Donateurs_Decaissements[Date recue],tbl_Donateurs_Decaissements[ID Donateur],A193),"")</f>
        <v>0</v>
      </c>
      <c r="AU193" s="108" t="str">
        <f aca="false">IFERROR(AN193/AL193,"")</f>
        <v/>
      </c>
      <c r="AV193" s="107" t="str">
        <f aca="true">IF(A193="","",IF(OR(AB193="A relancer",AND(AF193&lt;&gt;"",AF193&lt;=TODAY())),"OUI","NON"))</f>
        <v/>
      </c>
      <c r="AW193" s="107" t="str">
        <f aca="false">IF(B193="","",IF(OR(COUNTIF($B$56:$B$205,B193)&gt;1,AND(D193&lt;&gt;"",COUNTIF($D$56:$D$205,D193)&gt;1),AND(K193&lt;&gt;"",COUNTIF($K$56:$K$205,K193)&gt;1),AND(L193&lt;&gt;"",COUNTIF($L$56:$L$205,L193)&gt;1)),"OUI","NON"))</f>
        <v/>
      </c>
      <c r="AX193" s="113"/>
    </row>
    <row r="194" customFormat="false" ht="15" hidden="false" customHeight="true" outlineLevel="0" collapsed="false">
      <c r="A194" s="107" t="str">
        <f aca="false">IF(B194="","","DON"&amp;TEXT(ROW()-55,"00000"))</f>
        <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07" t="str">
        <f aca="false">IFERROR(INDEX(PARAMETRES!$B$536:$B$586,MATCH(X194,PARAMETRES!$J$536:$J$586,0)),"")</f>
        <v/>
      </c>
      <c r="Z194" s="107" t="str">
        <f aca="false">IFERROR(INDEX(PARAMETRES!$D$536:$D$586,MATCH(X194,PARAMETRES!$J$536:$J$586,0)),"")</f>
        <v/>
      </c>
      <c r="AA194" s="107" t="str">
        <f aca="false">IFERROR(INDEX(PARAMETRES!$F$536:$F$586,MATCH(X194,PARAMETRES!$J$536:$J$586,0)),"")</f>
        <v/>
      </c>
      <c r="AB194" s="113"/>
      <c r="AC194" s="114"/>
      <c r="AD194" s="113"/>
      <c r="AE194" s="114"/>
      <c r="AF194" s="114"/>
      <c r="AG194" s="113"/>
      <c r="AH194" s="113"/>
      <c r="AI194" s="107" t="n">
        <f aca="false">IF(A194="",0,COUNTIF(tbl_Donateurs_Opportunites[ID Donateur],A194))</f>
        <v>0</v>
      </c>
      <c r="AJ194" s="107" t="n">
        <f aca="false">IF(A194="",0,COUNTIFS(tbl_Donateurs_Opportunites[ID Donateur],A194,tbl_Donateurs_Opportunites[Statut],"Ouverte"))</f>
        <v>0</v>
      </c>
      <c r="AK194" s="107" t="n">
        <f aca="false">IF(A194="",0,COUNTIF(tbl_Donateurs_Demandes[ID Donateur],A194))</f>
        <v>0</v>
      </c>
      <c r="AL194" s="107" t="n">
        <f aca="false">IF(A194="",0,COUNTIFS(tbl_Donateurs_Demandes[ID Donateur],A194,tbl_Donateurs_Demandes[Statut],"Approuvee")+COUNTIFS(tbl_Donateurs_Demandes[ID Donateur],A194,tbl_Donateurs_Demandes[Statut],"Financement recu"))</f>
        <v>0</v>
      </c>
      <c r="AM194" s="108" t="n">
        <f aca="false">IF(A194="",0,SUMIF(tbl_Donateurs_Demandes[ID Donateur],A194,tbl_Donateurs_Demandes[Montant demande]))</f>
        <v>0</v>
      </c>
      <c r="AN194" s="108" t="n">
        <f aca="false">IF(A194="",0,SUMIF(tbl_Donateurs_Demandes[ID Donateur],A194,tbl_Donateurs_Demandes[Montant accorde]))</f>
        <v>0</v>
      </c>
      <c r="AO194" s="108" t="n">
        <f aca="false">IF(A194="",0,SUMIF(tbl_Donateurs_Decaissements[ID Donateur],A194,tbl_Donateurs_Decaissements[Montant recu]))</f>
        <v>0</v>
      </c>
      <c r="AP194" s="109" t="str">
        <f aca="false">IFERROR(AL194/AK194,"")</f>
        <v/>
      </c>
      <c r="AQ194" s="107" t="n">
        <f aca="false">IF(A194="",0,COUNTIF(tbl_Donateurs_Contacts[ID Donateur],A194))</f>
        <v>0</v>
      </c>
      <c r="AR194" s="107" t="n">
        <f aca="false">IF(A194="",0,COUNTIF(tbl_Donateurs_Documents[ID Donateur],A194))</f>
        <v>0</v>
      </c>
      <c r="AS194" s="107" t="n">
        <f aca="false">IF(A194="",0,COUNTIF(tbl_Donateurs_Conventions[ID Donateur],A194))</f>
        <v>0</v>
      </c>
      <c r="AT194" s="115" t="n">
        <f aca="false">IFERROR(_xlfn.MAXIFS(tbl_Donateurs_Decaissements[Date recue],tbl_Donateurs_Decaissements[ID Donateur],A194),"")</f>
        <v>0</v>
      </c>
      <c r="AU194" s="108" t="str">
        <f aca="false">IFERROR(AN194/AL194,"")</f>
        <v/>
      </c>
      <c r="AV194" s="107" t="str">
        <f aca="true">IF(A194="","",IF(OR(AB194="A relancer",AND(AF194&lt;&gt;"",AF194&lt;=TODAY())),"OUI","NON"))</f>
        <v/>
      </c>
      <c r="AW194" s="107" t="str">
        <f aca="false">IF(B194="","",IF(OR(COUNTIF($B$56:$B$205,B194)&gt;1,AND(D194&lt;&gt;"",COUNTIF($D$56:$D$205,D194)&gt;1),AND(K194&lt;&gt;"",COUNTIF($K$56:$K$205,K194)&gt;1),AND(L194&lt;&gt;"",COUNTIF($L$56:$L$205,L194)&gt;1)),"OUI","NON"))</f>
        <v/>
      </c>
      <c r="AX194" s="113"/>
    </row>
    <row r="195" customFormat="false" ht="15" hidden="false" customHeight="true" outlineLevel="0" collapsed="false">
      <c r="A195" s="107" t="str">
        <f aca="false">IF(B195="","","DON"&amp;TEXT(ROW()-55,"00000"))</f>
        <v/>
      </c>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07" t="str">
        <f aca="false">IFERROR(INDEX(PARAMETRES!$B$536:$B$586,MATCH(X195,PARAMETRES!$J$536:$J$586,0)),"")</f>
        <v/>
      </c>
      <c r="Z195" s="107" t="str">
        <f aca="false">IFERROR(INDEX(PARAMETRES!$D$536:$D$586,MATCH(X195,PARAMETRES!$J$536:$J$586,0)),"")</f>
        <v/>
      </c>
      <c r="AA195" s="107" t="str">
        <f aca="false">IFERROR(INDEX(PARAMETRES!$F$536:$F$586,MATCH(X195,PARAMETRES!$J$536:$J$586,0)),"")</f>
        <v/>
      </c>
      <c r="AB195" s="113"/>
      <c r="AC195" s="114"/>
      <c r="AD195" s="113"/>
      <c r="AE195" s="114"/>
      <c r="AF195" s="114"/>
      <c r="AG195" s="113"/>
      <c r="AH195" s="113"/>
      <c r="AI195" s="107" t="n">
        <f aca="false">IF(A195="",0,COUNTIF(tbl_Donateurs_Opportunites[ID Donateur],A195))</f>
        <v>0</v>
      </c>
      <c r="AJ195" s="107" t="n">
        <f aca="false">IF(A195="",0,COUNTIFS(tbl_Donateurs_Opportunites[ID Donateur],A195,tbl_Donateurs_Opportunites[Statut],"Ouverte"))</f>
        <v>0</v>
      </c>
      <c r="AK195" s="107" t="n">
        <f aca="false">IF(A195="",0,COUNTIF(tbl_Donateurs_Demandes[ID Donateur],A195))</f>
        <v>0</v>
      </c>
      <c r="AL195" s="107" t="n">
        <f aca="false">IF(A195="",0,COUNTIFS(tbl_Donateurs_Demandes[ID Donateur],A195,tbl_Donateurs_Demandes[Statut],"Approuvee")+COUNTIFS(tbl_Donateurs_Demandes[ID Donateur],A195,tbl_Donateurs_Demandes[Statut],"Financement recu"))</f>
        <v>0</v>
      </c>
      <c r="AM195" s="108" t="n">
        <f aca="false">IF(A195="",0,SUMIF(tbl_Donateurs_Demandes[ID Donateur],A195,tbl_Donateurs_Demandes[Montant demande]))</f>
        <v>0</v>
      </c>
      <c r="AN195" s="108" t="n">
        <f aca="false">IF(A195="",0,SUMIF(tbl_Donateurs_Demandes[ID Donateur],A195,tbl_Donateurs_Demandes[Montant accorde]))</f>
        <v>0</v>
      </c>
      <c r="AO195" s="108" t="n">
        <f aca="false">IF(A195="",0,SUMIF(tbl_Donateurs_Decaissements[ID Donateur],A195,tbl_Donateurs_Decaissements[Montant recu]))</f>
        <v>0</v>
      </c>
      <c r="AP195" s="109" t="str">
        <f aca="false">IFERROR(AL195/AK195,"")</f>
        <v/>
      </c>
      <c r="AQ195" s="107" t="n">
        <f aca="false">IF(A195="",0,COUNTIF(tbl_Donateurs_Contacts[ID Donateur],A195))</f>
        <v>0</v>
      </c>
      <c r="AR195" s="107" t="n">
        <f aca="false">IF(A195="",0,COUNTIF(tbl_Donateurs_Documents[ID Donateur],A195))</f>
        <v>0</v>
      </c>
      <c r="AS195" s="107" t="n">
        <f aca="false">IF(A195="",0,COUNTIF(tbl_Donateurs_Conventions[ID Donateur],A195))</f>
        <v>0</v>
      </c>
      <c r="AT195" s="115" t="n">
        <f aca="false">IFERROR(_xlfn.MAXIFS(tbl_Donateurs_Decaissements[Date recue],tbl_Donateurs_Decaissements[ID Donateur],A195),"")</f>
        <v>0</v>
      </c>
      <c r="AU195" s="108" t="str">
        <f aca="false">IFERROR(AN195/AL195,"")</f>
        <v/>
      </c>
      <c r="AV195" s="107" t="str">
        <f aca="true">IF(A195="","",IF(OR(AB195="A relancer",AND(AF195&lt;&gt;"",AF195&lt;=TODAY())),"OUI","NON"))</f>
        <v/>
      </c>
      <c r="AW195" s="107" t="str">
        <f aca="false">IF(B195="","",IF(OR(COUNTIF($B$56:$B$205,B195)&gt;1,AND(D195&lt;&gt;"",COUNTIF($D$56:$D$205,D195)&gt;1),AND(K195&lt;&gt;"",COUNTIF($K$56:$K$205,K195)&gt;1),AND(L195&lt;&gt;"",COUNTIF($L$56:$L$205,L195)&gt;1)),"OUI","NON"))</f>
        <v/>
      </c>
      <c r="AX195" s="113"/>
    </row>
    <row r="196" customFormat="false" ht="15" hidden="false" customHeight="true" outlineLevel="0" collapsed="false">
      <c r="A196" s="107" t="str">
        <f aca="false">IF(B196="","","DON"&amp;TEXT(ROW()-55,"00000"))</f>
        <v/>
      </c>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07" t="str">
        <f aca="false">IFERROR(INDEX(PARAMETRES!$B$536:$B$586,MATCH(X196,PARAMETRES!$J$536:$J$586,0)),"")</f>
        <v/>
      </c>
      <c r="Z196" s="107" t="str">
        <f aca="false">IFERROR(INDEX(PARAMETRES!$D$536:$D$586,MATCH(X196,PARAMETRES!$J$536:$J$586,0)),"")</f>
        <v/>
      </c>
      <c r="AA196" s="107" t="str">
        <f aca="false">IFERROR(INDEX(PARAMETRES!$F$536:$F$586,MATCH(X196,PARAMETRES!$J$536:$J$586,0)),"")</f>
        <v/>
      </c>
      <c r="AB196" s="113"/>
      <c r="AC196" s="114"/>
      <c r="AD196" s="113"/>
      <c r="AE196" s="114"/>
      <c r="AF196" s="114"/>
      <c r="AG196" s="113"/>
      <c r="AH196" s="113"/>
      <c r="AI196" s="107" t="n">
        <f aca="false">IF(A196="",0,COUNTIF(tbl_Donateurs_Opportunites[ID Donateur],A196))</f>
        <v>0</v>
      </c>
      <c r="AJ196" s="107" t="n">
        <f aca="false">IF(A196="",0,COUNTIFS(tbl_Donateurs_Opportunites[ID Donateur],A196,tbl_Donateurs_Opportunites[Statut],"Ouverte"))</f>
        <v>0</v>
      </c>
      <c r="AK196" s="107" t="n">
        <f aca="false">IF(A196="",0,COUNTIF(tbl_Donateurs_Demandes[ID Donateur],A196))</f>
        <v>0</v>
      </c>
      <c r="AL196" s="107" t="n">
        <f aca="false">IF(A196="",0,COUNTIFS(tbl_Donateurs_Demandes[ID Donateur],A196,tbl_Donateurs_Demandes[Statut],"Approuvee")+COUNTIFS(tbl_Donateurs_Demandes[ID Donateur],A196,tbl_Donateurs_Demandes[Statut],"Financement recu"))</f>
        <v>0</v>
      </c>
      <c r="AM196" s="108" t="n">
        <f aca="false">IF(A196="",0,SUMIF(tbl_Donateurs_Demandes[ID Donateur],A196,tbl_Donateurs_Demandes[Montant demande]))</f>
        <v>0</v>
      </c>
      <c r="AN196" s="108" t="n">
        <f aca="false">IF(A196="",0,SUMIF(tbl_Donateurs_Demandes[ID Donateur],A196,tbl_Donateurs_Demandes[Montant accorde]))</f>
        <v>0</v>
      </c>
      <c r="AO196" s="108" t="n">
        <f aca="false">IF(A196="",0,SUMIF(tbl_Donateurs_Decaissements[ID Donateur],A196,tbl_Donateurs_Decaissements[Montant recu]))</f>
        <v>0</v>
      </c>
      <c r="AP196" s="109" t="str">
        <f aca="false">IFERROR(AL196/AK196,"")</f>
        <v/>
      </c>
      <c r="AQ196" s="107" t="n">
        <f aca="false">IF(A196="",0,COUNTIF(tbl_Donateurs_Contacts[ID Donateur],A196))</f>
        <v>0</v>
      </c>
      <c r="AR196" s="107" t="n">
        <f aca="false">IF(A196="",0,COUNTIF(tbl_Donateurs_Documents[ID Donateur],A196))</f>
        <v>0</v>
      </c>
      <c r="AS196" s="107" t="n">
        <f aca="false">IF(A196="",0,COUNTIF(tbl_Donateurs_Conventions[ID Donateur],A196))</f>
        <v>0</v>
      </c>
      <c r="AT196" s="115" t="n">
        <f aca="false">IFERROR(_xlfn.MAXIFS(tbl_Donateurs_Decaissements[Date recue],tbl_Donateurs_Decaissements[ID Donateur],A196),"")</f>
        <v>0</v>
      </c>
      <c r="AU196" s="108" t="str">
        <f aca="false">IFERROR(AN196/AL196,"")</f>
        <v/>
      </c>
      <c r="AV196" s="107" t="str">
        <f aca="true">IF(A196="","",IF(OR(AB196="A relancer",AND(AF196&lt;&gt;"",AF196&lt;=TODAY())),"OUI","NON"))</f>
        <v/>
      </c>
      <c r="AW196" s="107" t="str">
        <f aca="false">IF(B196="","",IF(OR(COUNTIF($B$56:$B$205,B196)&gt;1,AND(D196&lt;&gt;"",COUNTIF($D$56:$D$205,D196)&gt;1),AND(K196&lt;&gt;"",COUNTIF($K$56:$K$205,K196)&gt;1),AND(L196&lt;&gt;"",COUNTIF($L$56:$L$205,L196)&gt;1)),"OUI","NON"))</f>
        <v/>
      </c>
      <c r="AX196" s="113"/>
    </row>
    <row r="197" customFormat="false" ht="15" hidden="false" customHeight="true" outlineLevel="0" collapsed="false">
      <c r="A197" s="107" t="str">
        <f aca="false">IF(B197="","","DON"&amp;TEXT(ROW()-55,"00000"))</f>
        <v/>
      </c>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07" t="str">
        <f aca="false">IFERROR(INDEX(PARAMETRES!$B$536:$B$586,MATCH(X197,PARAMETRES!$J$536:$J$586,0)),"")</f>
        <v/>
      </c>
      <c r="Z197" s="107" t="str">
        <f aca="false">IFERROR(INDEX(PARAMETRES!$D$536:$D$586,MATCH(X197,PARAMETRES!$J$536:$J$586,0)),"")</f>
        <v/>
      </c>
      <c r="AA197" s="107" t="str">
        <f aca="false">IFERROR(INDEX(PARAMETRES!$F$536:$F$586,MATCH(X197,PARAMETRES!$J$536:$J$586,0)),"")</f>
        <v/>
      </c>
      <c r="AB197" s="113"/>
      <c r="AC197" s="114"/>
      <c r="AD197" s="113"/>
      <c r="AE197" s="114"/>
      <c r="AF197" s="114"/>
      <c r="AG197" s="113"/>
      <c r="AH197" s="113"/>
      <c r="AI197" s="107" t="n">
        <f aca="false">IF(A197="",0,COUNTIF(tbl_Donateurs_Opportunites[ID Donateur],A197))</f>
        <v>0</v>
      </c>
      <c r="AJ197" s="107" t="n">
        <f aca="false">IF(A197="",0,COUNTIFS(tbl_Donateurs_Opportunites[ID Donateur],A197,tbl_Donateurs_Opportunites[Statut],"Ouverte"))</f>
        <v>0</v>
      </c>
      <c r="AK197" s="107" t="n">
        <f aca="false">IF(A197="",0,COUNTIF(tbl_Donateurs_Demandes[ID Donateur],A197))</f>
        <v>0</v>
      </c>
      <c r="AL197" s="107" t="n">
        <f aca="false">IF(A197="",0,COUNTIFS(tbl_Donateurs_Demandes[ID Donateur],A197,tbl_Donateurs_Demandes[Statut],"Approuvee")+COUNTIFS(tbl_Donateurs_Demandes[ID Donateur],A197,tbl_Donateurs_Demandes[Statut],"Financement recu"))</f>
        <v>0</v>
      </c>
      <c r="AM197" s="108" t="n">
        <f aca="false">IF(A197="",0,SUMIF(tbl_Donateurs_Demandes[ID Donateur],A197,tbl_Donateurs_Demandes[Montant demande]))</f>
        <v>0</v>
      </c>
      <c r="AN197" s="108" t="n">
        <f aca="false">IF(A197="",0,SUMIF(tbl_Donateurs_Demandes[ID Donateur],A197,tbl_Donateurs_Demandes[Montant accorde]))</f>
        <v>0</v>
      </c>
      <c r="AO197" s="108" t="n">
        <f aca="false">IF(A197="",0,SUMIF(tbl_Donateurs_Decaissements[ID Donateur],A197,tbl_Donateurs_Decaissements[Montant recu]))</f>
        <v>0</v>
      </c>
      <c r="AP197" s="109" t="str">
        <f aca="false">IFERROR(AL197/AK197,"")</f>
        <v/>
      </c>
      <c r="AQ197" s="107" t="n">
        <f aca="false">IF(A197="",0,COUNTIF(tbl_Donateurs_Contacts[ID Donateur],A197))</f>
        <v>0</v>
      </c>
      <c r="AR197" s="107" t="n">
        <f aca="false">IF(A197="",0,COUNTIF(tbl_Donateurs_Documents[ID Donateur],A197))</f>
        <v>0</v>
      </c>
      <c r="AS197" s="107" t="n">
        <f aca="false">IF(A197="",0,COUNTIF(tbl_Donateurs_Conventions[ID Donateur],A197))</f>
        <v>0</v>
      </c>
      <c r="AT197" s="115" t="n">
        <f aca="false">IFERROR(_xlfn.MAXIFS(tbl_Donateurs_Decaissements[Date recue],tbl_Donateurs_Decaissements[ID Donateur],A197),"")</f>
        <v>0</v>
      </c>
      <c r="AU197" s="108" t="str">
        <f aca="false">IFERROR(AN197/AL197,"")</f>
        <v/>
      </c>
      <c r="AV197" s="107" t="str">
        <f aca="true">IF(A197="","",IF(OR(AB197="A relancer",AND(AF197&lt;&gt;"",AF197&lt;=TODAY())),"OUI","NON"))</f>
        <v/>
      </c>
      <c r="AW197" s="107" t="str">
        <f aca="false">IF(B197="","",IF(OR(COUNTIF($B$56:$B$205,B197)&gt;1,AND(D197&lt;&gt;"",COUNTIF($D$56:$D$205,D197)&gt;1),AND(K197&lt;&gt;"",COUNTIF($K$56:$K$205,K197)&gt;1),AND(L197&lt;&gt;"",COUNTIF($L$56:$L$205,L197)&gt;1)),"OUI","NON"))</f>
        <v/>
      </c>
      <c r="AX197" s="113"/>
    </row>
    <row r="198" customFormat="false" ht="15" hidden="false" customHeight="true" outlineLevel="0" collapsed="false">
      <c r="A198" s="107" t="str">
        <f aca="false">IF(B198="","","DON"&amp;TEXT(ROW()-55,"00000"))</f>
        <v/>
      </c>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07" t="str">
        <f aca="false">IFERROR(INDEX(PARAMETRES!$B$536:$B$586,MATCH(X198,PARAMETRES!$J$536:$J$586,0)),"")</f>
        <v/>
      </c>
      <c r="Z198" s="107" t="str">
        <f aca="false">IFERROR(INDEX(PARAMETRES!$D$536:$D$586,MATCH(X198,PARAMETRES!$J$536:$J$586,0)),"")</f>
        <v/>
      </c>
      <c r="AA198" s="107" t="str">
        <f aca="false">IFERROR(INDEX(PARAMETRES!$F$536:$F$586,MATCH(X198,PARAMETRES!$J$536:$J$586,0)),"")</f>
        <v/>
      </c>
      <c r="AB198" s="113"/>
      <c r="AC198" s="114"/>
      <c r="AD198" s="113"/>
      <c r="AE198" s="114"/>
      <c r="AF198" s="114"/>
      <c r="AG198" s="113"/>
      <c r="AH198" s="113"/>
      <c r="AI198" s="107" t="n">
        <f aca="false">IF(A198="",0,COUNTIF(tbl_Donateurs_Opportunites[ID Donateur],A198))</f>
        <v>0</v>
      </c>
      <c r="AJ198" s="107" t="n">
        <f aca="false">IF(A198="",0,COUNTIFS(tbl_Donateurs_Opportunites[ID Donateur],A198,tbl_Donateurs_Opportunites[Statut],"Ouverte"))</f>
        <v>0</v>
      </c>
      <c r="AK198" s="107" t="n">
        <f aca="false">IF(A198="",0,COUNTIF(tbl_Donateurs_Demandes[ID Donateur],A198))</f>
        <v>0</v>
      </c>
      <c r="AL198" s="107" t="n">
        <f aca="false">IF(A198="",0,COUNTIFS(tbl_Donateurs_Demandes[ID Donateur],A198,tbl_Donateurs_Demandes[Statut],"Approuvee")+COUNTIFS(tbl_Donateurs_Demandes[ID Donateur],A198,tbl_Donateurs_Demandes[Statut],"Financement recu"))</f>
        <v>0</v>
      </c>
      <c r="AM198" s="108" t="n">
        <f aca="false">IF(A198="",0,SUMIF(tbl_Donateurs_Demandes[ID Donateur],A198,tbl_Donateurs_Demandes[Montant demande]))</f>
        <v>0</v>
      </c>
      <c r="AN198" s="108" t="n">
        <f aca="false">IF(A198="",0,SUMIF(tbl_Donateurs_Demandes[ID Donateur],A198,tbl_Donateurs_Demandes[Montant accorde]))</f>
        <v>0</v>
      </c>
      <c r="AO198" s="108" t="n">
        <f aca="false">IF(A198="",0,SUMIF(tbl_Donateurs_Decaissements[ID Donateur],A198,tbl_Donateurs_Decaissements[Montant recu]))</f>
        <v>0</v>
      </c>
      <c r="AP198" s="109" t="str">
        <f aca="false">IFERROR(AL198/AK198,"")</f>
        <v/>
      </c>
      <c r="AQ198" s="107" t="n">
        <f aca="false">IF(A198="",0,COUNTIF(tbl_Donateurs_Contacts[ID Donateur],A198))</f>
        <v>0</v>
      </c>
      <c r="AR198" s="107" t="n">
        <f aca="false">IF(A198="",0,COUNTIF(tbl_Donateurs_Documents[ID Donateur],A198))</f>
        <v>0</v>
      </c>
      <c r="AS198" s="107" t="n">
        <f aca="false">IF(A198="",0,COUNTIF(tbl_Donateurs_Conventions[ID Donateur],A198))</f>
        <v>0</v>
      </c>
      <c r="AT198" s="115" t="n">
        <f aca="false">IFERROR(_xlfn.MAXIFS(tbl_Donateurs_Decaissements[Date recue],tbl_Donateurs_Decaissements[ID Donateur],A198),"")</f>
        <v>0</v>
      </c>
      <c r="AU198" s="108" t="str">
        <f aca="false">IFERROR(AN198/AL198,"")</f>
        <v/>
      </c>
      <c r="AV198" s="107" t="str">
        <f aca="true">IF(A198="","",IF(OR(AB198="A relancer",AND(AF198&lt;&gt;"",AF198&lt;=TODAY())),"OUI","NON"))</f>
        <v/>
      </c>
      <c r="AW198" s="107" t="str">
        <f aca="false">IF(B198="","",IF(OR(COUNTIF($B$56:$B$205,B198)&gt;1,AND(D198&lt;&gt;"",COUNTIF($D$56:$D$205,D198)&gt;1),AND(K198&lt;&gt;"",COUNTIF($K$56:$K$205,K198)&gt;1),AND(L198&lt;&gt;"",COUNTIF($L$56:$L$205,L198)&gt;1)),"OUI","NON"))</f>
        <v/>
      </c>
      <c r="AX198" s="113"/>
    </row>
    <row r="199" customFormat="false" ht="15" hidden="false" customHeight="true" outlineLevel="0" collapsed="false">
      <c r="A199" s="107" t="str">
        <f aca="false">IF(B199="","","DON"&amp;TEXT(ROW()-55,"00000"))</f>
        <v/>
      </c>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07" t="str">
        <f aca="false">IFERROR(INDEX(PARAMETRES!$B$536:$B$586,MATCH(X199,PARAMETRES!$J$536:$J$586,0)),"")</f>
        <v/>
      </c>
      <c r="Z199" s="107" t="str">
        <f aca="false">IFERROR(INDEX(PARAMETRES!$D$536:$D$586,MATCH(X199,PARAMETRES!$J$536:$J$586,0)),"")</f>
        <v/>
      </c>
      <c r="AA199" s="107" t="str">
        <f aca="false">IFERROR(INDEX(PARAMETRES!$F$536:$F$586,MATCH(X199,PARAMETRES!$J$536:$J$586,0)),"")</f>
        <v/>
      </c>
      <c r="AB199" s="113"/>
      <c r="AC199" s="114"/>
      <c r="AD199" s="113"/>
      <c r="AE199" s="114"/>
      <c r="AF199" s="114"/>
      <c r="AG199" s="113"/>
      <c r="AH199" s="113"/>
      <c r="AI199" s="107" t="n">
        <f aca="false">IF(A199="",0,COUNTIF(tbl_Donateurs_Opportunites[ID Donateur],A199))</f>
        <v>0</v>
      </c>
      <c r="AJ199" s="107" t="n">
        <f aca="false">IF(A199="",0,COUNTIFS(tbl_Donateurs_Opportunites[ID Donateur],A199,tbl_Donateurs_Opportunites[Statut],"Ouverte"))</f>
        <v>0</v>
      </c>
      <c r="AK199" s="107" t="n">
        <f aca="false">IF(A199="",0,COUNTIF(tbl_Donateurs_Demandes[ID Donateur],A199))</f>
        <v>0</v>
      </c>
      <c r="AL199" s="107" t="n">
        <f aca="false">IF(A199="",0,COUNTIFS(tbl_Donateurs_Demandes[ID Donateur],A199,tbl_Donateurs_Demandes[Statut],"Approuvee")+COUNTIFS(tbl_Donateurs_Demandes[ID Donateur],A199,tbl_Donateurs_Demandes[Statut],"Financement recu"))</f>
        <v>0</v>
      </c>
      <c r="AM199" s="108" t="n">
        <f aca="false">IF(A199="",0,SUMIF(tbl_Donateurs_Demandes[ID Donateur],A199,tbl_Donateurs_Demandes[Montant demande]))</f>
        <v>0</v>
      </c>
      <c r="AN199" s="108" t="n">
        <f aca="false">IF(A199="",0,SUMIF(tbl_Donateurs_Demandes[ID Donateur],A199,tbl_Donateurs_Demandes[Montant accorde]))</f>
        <v>0</v>
      </c>
      <c r="AO199" s="108" t="n">
        <f aca="false">IF(A199="",0,SUMIF(tbl_Donateurs_Decaissements[ID Donateur],A199,tbl_Donateurs_Decaissements[Montant recu]))</f>
        <v>0</v>
      </c>
      <c r="AP199" s="109" t="str">
        <f aca="false">IFERROR(AL199/AK199,"")</f>
        <v/>
      </c>
      <c r="AQ199" s="107" t="n">
        <f aca="false">IF(A199="",0,COUNTIF(tbl_Donateurs_Contacts[ID Donateur],A199))</f>
        <v>0</v>
      </c>
      <c r="AR199" s="107" t="n">
        <f aca="false">IF(A199="",0,COUNTIF(tbl_Donateurs_Documents[ID Donateur],A199))</f>
        <v>0</v>
      </c>
      <c r="AS199" s="107" t="n">
        <f aca="false">IF(A199="",0,COUNTIF(tbl_Donateurs_Conventions[ID Donateur],A199))</f>
        <v>0</v>
      </c>
      <c r="AT199" s="115" t="n">
        <f aca="false">IFERROR(_xlfn.MAXIFS(tbl_Donateurs_Decaissements[Date recue],tbl_Donateurs_Decaissements[ID Donateur],A199),"")</f>
        <v>0</v>
      </c>
      <c r="AU199" s="108" t="str">
        <f aca="false">IFERROR(AN199/AL199,"")</f>
        <v/>
      </c>
      <c r="AV199" s="107" t="str">
        <f aca="true">IF(A199="","",IF(OR(AB199="A relancer",AND(AF199&lt;&gt;"",AF199&lt;=TODAY())),"OUI","NON"))</f>
        <v/>
      </c>
      <c r="AW199" s="107" t="str">
        <f aca="false">IF(B199="","",IF(OR(COUNTIF($B$56:$B$205,B199)&gt;1,AND(D199&lt;&gt;"",COUNTIF($D$56:$D$205,D199)&gt;1),AND(K199&lt;&gt;"",COUNTIF($K$56:$K$205,K199)&gt;1),AND(L199&lt;&gt;"",COUNTIF($L$56:$L$205,L199)&gt;1)),"OUI","NON"))</f>
        <v/>
      </c>
      <c r="AX199" s="113"/>
    </row>
    <row r="200" customFormat="false" ht="15" hidden="false" customHeight="true" outlineLevel="0" collapsed="false">
      <c r="A200" s="107" t="str">
        <f aca="false">IF(B200="","","DON"&amp;TEXT(ROW()-55,"00000"))</f>
        <v/>
      </c>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07" t="str">
        <f aca="false">IFERROR(INDEX(PARAMETRES!$B$536:$B$586,MATCH(X200,PARAMETRES!$J$536:$J$586,0)),"")</f>
        <v/>
      </c>
      <c r="Z200" s="107" t="str">
        <f aca="false">IFERROR(INDEX(PARAMETRES!$D$536:$D$586,MATCH(X200,PARAMETRES!$J$536:$J$586,0)),"")</f>
        <v/>
      </c>
      <c r="AA200" s="107" t="str">
        <f aca="false">IFERROR(INDEX(PARAMETRES!$F$536:$F$586,MATCH(X200,PARAMETRES!$J$536:$J$586,0)),"")</f>
        <v/>
      </c>
      <c r="AB200" s="113"/>
      <c r="AC200" s="114"/>
      <c r="AD200" s="113"/>
      <c r="AE200" s="114"/>
      <c r="AF200" s="114"/>
      <c r="AG200" s="113"/>
      <c r="AH200" s="113"/>
      <c r="AI200" s="107" t="n">
        <f aca="false">IF(A200="",0,COUNTIF(tbl_Donateurs_Opportunites[ID Donateur],A200))</f>
        <v>0</v>
      </c>
      <c r="AJ200" s="107" t="n">
        <f aca="false">IF(A200="",0,COUNTIFS(tbl_Donateurs_Opportunites[ID Donateur],A200,tbl_Donateurs_Opportunites[Statut],"Ouverte"))</f>
        <v>0</v>
      </c>
      <c r="AK200" s="107" t="n">
        <f aca="false">IF(A200="",0,COUNTIF(tbl_Donateurs_Demandes[ID Donateur],A200))</f>
        <v>0</v>
      </c>
      <c r="AL200" s="107" t="n">
        <f aca="false">IF(A200="",0,COUNTIFS(tbl_Donateurs_Demandes[ID Donateur],A200,tbl_Donateurs_Demandes[Statut],"Approuvee")+COUNTIFS(tbl_Donateurs_Demandes[ID Donateur],A200,tbl_Donateurs_Demandes[Statut],"Financement recu"))</f>
        <v>0</v>
      </c>
      <c r="AM200" s="108" t="n">
        <f aca="false">IF(A200="",0,SUMIF(tbl_Donateurs_Demandes[ID Donateur],A200,tbl_Donateurs_Demandes[Montant demande]))</f>
        <v>0</v>
      </c>
      <c r="AN200" s="108" t="n">
        <f aca="false">IF(A200="",0,SUMIF(tbl_Donateurs_Demandes[ID Donateur],A200,tbl_Donateurs_Demandes[Montant accorde]))</f>
        <v>0</v>
      </c>
      <c r="AO200" s="108" t="n">
        <f aca="false">IF(A200="",0,SUMIF(tbl_Donateurs_Decaissements[ID Donateur],A200,tbl_Donateurs_Decaissements[Montant recu]))</f>
        <v>0</v>
      </c>
      <c r="AP200" s="109" t="str">
        <f aca="false">IFERROR(AL200/AK200,"")</f>
        <v/>
      </c>
      <c r="AQ200" s="107" t="n">
        <f aca="false">IF(A200="",0,COUNTIF(tbl_Donateurs_Contacts[ID Donateur],A200))</f>
        <v>0</v>
      </c>
      <c r="AR200" s="107" t="n">
        <f aca="false">IF(A200="",0,COUNTIF(tbl_Donateurs_Documents[ID Donateur],A200))</f>
        <v>0</v>
      </c>
      <c r="AS200" s="107" t="n">
        <f aca="false">IF(A200="",0,COUNTIF(tbl_Donateurs_Conventions[ID Donateur],A200))</f>
        <v>0</v>
      </c>
      <c r="AT200" s="115" t="n">
        <f aca="false">IFERROR(_xlfn.MAXIFS(tbl_Donateurs_Decaissements[Date recue],tbl_Donateurs_Decaissements[ID Donateur],A200),"")</f>
        <v>0</v>
      </c>
      <c r="AU200" s="108" t="str">
        <f aca="false">IFERROR(AN200/AL200,"")</f>
        <v/>
      </c>
      <c r="AV200" s="107" t="str">
        <f aca="true">IF(A200="","",IF(OR(AB200="A relancer",AND(AF200&lt;&gt;"",AF200&lt;=TODAY())),"OUI","NON"))</f>
        <v/>
      </c>
      <c r="AW200" s="107" t="str">
        <f aca="false">IF(B200="","",IF(OR(COUNTIF($B$56:$B$205,B200)&gt;1,AND(D200&lt;&gt;"",COUNTIF($D$56:$D$205,D200)&gt;1),AND(K200&lt;&gt;"",COUNTIF($K$56:$K$205,K200)&gt;1),AND(L200&lt;&gt;"",COUNTIF($L$56:$L$205,L200)&gt;1)),"OUI","NON"))</f>
        <v/>
      </c>
      <c r="AX200" s="113"/>
    </row>
    <row r="201" customFormat="false" ht="15" hidden="false" customHeight="true" outlineLevel="0" collapsed="false">
      <c r="A201" s="107" t="str">
        <f aca="false">IF(B201="","","DON"&amp;TEXT(ROW()-55,"00000"))</f>
        <v/>
      </c>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07" t="str">
        <f aca="false">IFERROR(INDEX(PARAMETRES!$B$536:$B$586,MATCH(X201,PARAMETRES!$J$536:$J$586,0)),"")</f>
        <v/>
      </c>
      <c r="Z201" s="107" t="str">
        <f aca="false">IFERROR(INDEX(PARAMETRES!$D$536:$D$586,MATCH(X201,PARAMETRES!$J$536:$J$586,0)),"")</f>
        <v/>
      </c>
      <c r="AA201" s="107" t="str">
        <f aca="false">IFERROR(INDEX(PARAMETRES!$F$536:$F$586,MATCH(X201,PARAMETRES!$J$536:$J$586,0)),"")</f>
        <v/>
      </c>
      <c r="AB201" s="113"/>
      <c r="AC201" s="114"/>
      <c r="AD201" s="113"/>
      <c r="AE201" s="114"/>
      <c r="AF201" s="114"/>
      <c r="AG201" s="113"/>
      <c r="AH201" s="113"/>
      <c r="AI201" s="107" t="n">
        <f aca="false">IF(A201="",0,COUNTIF(tbl_Donateurs_Opportunites[ID Donateur],A201))</f>
        <v>0</v>
      </c>
      <c r="AJ201" s="107" t="n">
        <f aca="false">IF(A201="",0,COUNTIFS(tbl_Donateurs_Opportunites[ID Donateur],A201,tbl_Donateurs_Opportunites[Statut],"Ouverte"))</f>
        <v>0</v>
      </c>
      <c r="AK201" s="107" t="n">
        <f aca="false">IF(A201="",0,COUNTIF(tbl_Donateurs_Demandes[ID Donateur],A201))</f>
        <v>0</v>
      </c>
      <c r="AL201" s="107" t="n">
        <f aca="false">IF(A201="",0,COUNTIFS(tbl_Donateurs_Demandes[ID Donateur],A201,tbl_Donateurs_Demandes[Statut],"Approuvee")+COUNTIFS(tbl_Donateurs_Demandes[ID Donateur],A201,tbl_Donateurs_Demandes[Statut],"Financement recu"))</f>
        <v>0</v>
      </c>
      <c r="AM201" s="108" t="n">
        <f aca="false">IF(A201="",0,SUMIF(tbl_Donateurs_Demandes[ID Donateur],A201,tbl_Donateurs_Demandes[Montant demande]))</f>
        <v>0</v>
      </c>
      <c r="AN201" s="108" t="n">
        <f aca="false">IF(A201="",0,SUMIF(tbl_Donateurs_Demandes[ID Donateur],A201,tbl_Donateurs_Demandes[Montant accorde]))</f>
        <v>0</v>
      </c>
      <c r="AO201" s="108" t="n">
        <f aca="false">IF(A201="",0,SUMIF(tbl_Donateurs_Decaissements[ID Donateur],A201,tbl_Donateurs_Decaissements[Montant recu]))</f>
        <v>0</v>
      </c>
      <c r="AP201" s="109" t="str">
        <f aca="false">IFERROR(AL201/AK201,"")</f>
        <v/>
      </c>
      <c r="AQ201" s="107" t="n">
        <f aca="false">IF(A201="",0,COUNTIF(tbl_Donateurs_Contacts[ID Donateur],A201))</f>
        <v>0</v>
      </c>
      <c r="AR201" s="107" t="n">
        <f aca="false">IF(A201="",0,COUNTIF(tbl_Donateurs_Documents[ID Donateur],A201))</f>
        <v>0</v>
      </c>
      <c r="AS201" s="107" t="n">
        <f aca="false">IF(A201="",0,COUNTIF(tbl_Donateurs_Conventions[ID Donateur],A201))</f>
        <v>0</v>
      </c>
      <c r="AT201" s="115" t="n">
        <f aca="false">IFERROR(_xlfn.MAXIFS(tbl_Donateurs_Decaissements[Date recue],tbl_Donateurs_Decaissements[ID Donateur],A201),"")</f>
        <v>0</v>
      </c>
      <c r="AU201" s="108" t="str">
        <f aca="false">IFERROR(AN201/AL201,"")</f>
        <v/>
      </c>
      <c r="AV201" s="107" t="str">
        <f aca="true">IF(A201="","",IF(OR(AB201="A relancer",AND(AF201&lt;&gt;"",AF201&lt;=TODAY())),"OUI","NON"))</f>
        <v/>
      </c>
      <c r="AW201" s="107" t="str">
        <f aca="false">IF(B201="","",IF(OR(COUNTIF($B$56:$B$205,B201)&gt;1,AND(D201&lt;&gt;"",COUNTIF($D$56:$D$205,D201)&gt;1),AND(K201&lt;&gt;"",COUNTIF($K$56:$K$205,K201)&gt;1),AND(L201&lt;&gt;"",COUNTIF($L$56:$L$205,L201)&gt;1)),"OUI","NON"))</f>
        <v/>
      </c>
      <c r="AX201" s="113"/>
    </row>
    <row r="202" customFormat="false" ht="15" hidden="false" customHeight="true" outlineLevel="0" collapsed="false">
      <c r="A202" s="107" t="str">
        <f aca="false">IF(B202="","","DON"&amp;TEXT(ROW()-55,"00000"))</f>
        <v/>
      </c>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07" t="str">
        <f aca="false">IFERROR(INDEX(PARAMETRES!$B$536:$B$586,MATCH(X202,PARAMETRES!$J$536:$J$586,0)),"")</f>
        <v/>
      </c>
      <c r="Z202" s="107" t="str">
        <f aca="false">IFERROR(INDEX(PARAMETRES!$D$536:$D$586,MATCH(X202,PARAMETRES!$J$536:$J$586,0)),"")</f>
        <v/>
      </c>
      <c r="AA202" s="107" t="str">
        <f aca="false">IFERROR(INDEX(PARAMETRES!$F$536:$F$586,MATCH(X202,PARAMETRES!$J$536:$J$586,0)),"")</f>
        <v/>
      </c>
      <c r="AB202" s="113"/>
      <c r="AC202" s="114"/>
      <c r="AD202" s="113"/>
      <c r="AE202" s="114"/>
      <c r="AF202" s="114"/>
      <c r="AG202" s="113"/>
      <c r="AH202" s="113"/>
      <c r="AI202" s="107" t="n">
        <f aca="false">IF(A202="",0,COUNTIF(tbl_Donateurs_Opportunites[ID Donateur],A202))</f>
        <v>0</v>
      </c>
      <c r="AJ202" s="107" t="n">
        <f aca="false">IF(A202="",0,COUNTIFS(tbl_Donateurs_Opportunites[ID Donateur],A202,tbl_Donateurs_Opportunites[Statut],"Ouverte"))</f>
        <v>0</v>
      </c>
      <c r="AK202" s="107" t="n">
        <f aca="false">IF(A202="",0,COUNTIF(tbl_Donateurs_Demandes[ID Donateur],A202))</f>
        <v>0</v>
      </c>
      <c r="AL202" s="107" t="n">
        <f aca="false">IF(A202="",0,COUNTIFS(tbl_Donateurs_Demandes[ID Donateur],A202,tbl_Donateurs_Demandes[Statut],"Approuvee")+COUNTIFS(tbl_Donateurs_Demandes[ID Donateur],A202,tbl_Donateurs_Demandes[Statut],"Financement recu"))</f>
        <v>0</v>
      </c>
      <c r="AM202" s="108" t="n">
        <f aca="false">IF(A202="",0,SUMIF(tbl_Donateurs_Demandes[ID Donateur],A202,tbl_Donateurs_Demandes[Montant demande]))</f>
        <v>0</v>
      </c>
      <c r="AN202" s="108" t="n">
        <f aca="false">IF(A202="",0,SUMIF(tbl_Donateurs_Demandes[ID Donateur],A202,tbl_Donateurs_Demandes[Montant accorde]))</f>
        <v>0</v>
      </c>
      <c r="AO202" s="108" t="n">
        <f aca="false">IF(A202="",0,SUMIF(tbl_Donateurs_Decaissements[ID Donateur],A202,tbl_Donateurs_Decaissements[Montant recu]))</f>
        <v>0</v>
      </c>
      <c r="AP202" s="109" t="str">
        <f aca="false">IFERROR(AL202/AK202,"")</f>
        <v/>
      </c>
      <c r="AQ202" s="107" t="n">
        <f aca="false">IF(A202="",0,COUNTIF(tbl_Donateurs_Contacts[ID Donateur],A202))</f>
        <v>0</v>
      </c>
      <c r="AR202" s="107" t="n">
        <f aca="false">IF(A202="",0,COUNTIF(tbl_Donateurs_Documents[ID Donateur],A202))</f>
        <v>0</v>
      </c>
      <c r="AS202" s="107" t="n">
        <f aca="false">IF(A202="",0,COUNTIF(tbl_Donateurs_Conventions[ID Donateur],A202))</f>
        <v>0</v>
      </c>
      <c r="AT202" s="115" t="n">
        <f aca="false">IFERROR(_xlfn.MAXIFS(tbl_Donateurs_Decaissements[Date recue],tbl_Donateurs_Decaissements[ID Donateur],A202),"")</f>
        <v>0</v>
      </c>
      <c r="AU202" s="108" t="str">
        <f aca="false">IFERROR(AN202/AL202,"")</f>
        <v/>
      </c>
      <c r="AV202" s="107" t="str">
        <f aca="true">IF(A202="","",IF(OR(AB202="A relancer",AND(AF202&lt;&gt;"",AF202&lt;=TODAY())),"OUI","NON"))</f>
        <v/>
      </c>
      <c r="AW202" s="107" t="str">
        <f aca="false">IF(B202="","",IF(OR(COUNTIF($B$56:$B$205,B202)&gt;1,AND(D202&lt;&gt;"",COUNTIF($D$56:$D$205,D202)&gt;1),AND(K202&lt;&gt;"",COUNTIF($K$56:$K$205,K202)&gt;1),AND(L202&lt;&gt;"",COUNTIF($L$56:$L$205,L202)&gt;1)),"OUI","NON"))</f>
        <v/>
      </c>
      <c r="AX202" s="113"/>
    </row>
    <row r="203" customFormat="false" ht="15" hidden="false" customHeight="true" outlineLevel="0" collapsed="false">
      <c r="A203" s="107" t="str">
        <f aca="false">IF(B203="","","DON"&amp;TEXT(ROW()-55,"00000"))</f>
        <v/>
      </c>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07" t="str">
        <f aca="false">IFERROR(INDEX(PARAMETRES!$B$536:$B$586,MATCH(X203,PARAMETRES!$J$536:$J$586,0)),"")</f>
        <v/>
      </c>
      <c r="Z203" s="107" t="str">
        <f aca="false">IFERROR(INDEX(PARAMETRES!$D$536:$D$586,MATCH(X203,PARAMETRES!$J$536:$J$586,0)),"")</f>
        <v/>
      </c>
      <c r="AA203" s="107" t="str">
        <f aca="false">IFERROR(INDEX(PARAMETRES!$F$536:$F$586,MATCH(X203,PARAMETRES!$J$536:$J$586,0)),"")</f>
        <v/>
      </c>
      <c r="AB203" s="113"/>
      <c r="AC203" s="114"/>
      <c r="AD203" s="113"/>
      <c r="AE203" s="114"/>
      <c r="AF203" s="114"/>
      <c r="AG203" s="113"/>
      <c r="AH203" s="113"/>
      <c r="AI203" s="107" t="n">
        <f aca="false">IF(A203="",0,COUNTIF(tbl_Donateurs_Opportunites[ID Donateur],A203))</f>
        <v>0</v>
      </c>
      <c r="AJ203" s="107" t="n">
        <f aca="false">IF(A203="",0,COUNTIFS(tbl_Donateurs_Opportunites[ID Donateur],A203,tbl_Donateurs_Opportunites[Statut],"Ouverte"))</f>
        <v>0</v>
      </c>
      <c r="AK203" s="107" t="n">
        <f aca="false">IF(A203="",0,COUNTIF(tbl_Donateurs_Demandes[ID Donateur],A203))</f>
        <v>0</v>
      </c>
      <c r="AL203" s="107" t="n">
        <f aca="false">IF(A203="",0,COUNTIFS(tbl_Donateurs_Demandes[ID Donateur],A203,tbl_Donateurs_Demandes[Statut],"Approuvee")+COUNTIFS(tbl_Donateurs_Demandes[ID Donateur],A203,tbl_Donateurs_Demandes[Statut],"Financement recu"))</f>
        <v>0</v>
      </c>
      <c r="AM203" s="108" t="n">
        <f aca="false">IF(A203="",0,SUMIF(tbl_Donateurs_Demandes[ID Donateur],A203,tbl_Donateurs_Demandes[Montant demande]))</f>
        <v>0</v>
      </c>
      <c r="AN203" s="108" t="n">
        <f aca="false">IF(A203="",0,SUMIF(tbl_Donateurs_Demandes[ID Donateur],A203,tbl_Donateurs_Demandes[Montant accorde]))</f>
        <v>0</v>
      </c>
      <c r="AO203" s="108" t="n">
        <f aca="false">IF(A203="",0,SUMIF(tbl_Donateurs_Decaissements[ID Donateur],A203,tbl_Donateurs_Decaissements[Montant recu]))</f>
        <v>0</v>
      </c>
      <c r="AP203" s="109" t="str">
        <f aca="false">IFERROR(AL203/AK203,"")</f>
        <v/>
      </c>
      <c r="AQ203" s="107" t="n">
        <f aca="false">IF(A203="",0,COUNTIF(tbl_Donateurs_Contacts[ID Donateur],A203))</f>
        <v>0</v>
      </c>
      <c r="AR203" s="107" t="n">
        <f aca="false">IF(A203="",0,COUNTIF(tbl_Donateurs_Documents[ID Donateur],A203))</f>
        <v>0</v>
      </c>
      <c r="AS203" s="107" t="n">
        <f aca="false">IF(A203="",0,COUNTIF(tbl_Donateurs_Conventions[ID Donateur],A203))</f>
        <v>0</v>
      </c>
      <c r="AT203" s="115" t="n">
        <f aca="false">IFERROR(_xlfn.MAXIFS(tbl_Donateurs_Decaissements[Date recue],tbl_Donateurs_Decaissements[ID Donateur],A203),"")</f>
        <v>0</v>
      </c>
      <c r="AU203" s="108" t="str">
        <f aca="false">IFERROR(AN203/AL203,"")</f>
        <v/>
      </c>
      <c r="AV203" s="107" t="str">
        <f aca="true">IF(A203="","",IF(OR(AB203="A relancer",AND(AF203&lt;&gt;"",AF203&lt;=TODAY())),"OUI","NON"))</f>
        <v/>
      </c>
      <c r="AW203" s="107" t="str">
        <f aca="false">IF(B203="","",IF(OR(COUNTIF($B$56:$B$205,B203)&gt;1,AND(D203&lt;&gt;"",COUNTIF($D$56:$D$205,D203)&gt;1),AND(K203&lt;&gt;"",COUNTIF($K$56:$K$205,K203)&gt;1),AND(L203&lt;&gt;"",COUNTIF($L$56:$L$205,L203)&gt;1)),"OUI","NON"))</f>
        <v/>
      </c>
      <c r="AX203" s="113"/>
    </row>
    <row r="204" customFormat="false" ht="15" hidden="false" customHeight="true" outlineLevel="0" collapsed="false">
      <c r="A204" s="107" t="str">
        <f aca="false">IF(B204="","","DON"&amp;TEXT(ROW()-55,"00000"))</f>
        <v/>
      </c>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07" t="str">
        <f aca="false">IFERROR(INDEX(PARAMETRES!$B$536:$B$586,MATCH(X204,PARAMETRES!$J$536:$J$586,0)),"")</f>
        <v/>
      </c>
      <c r="Z204" s="107" t="str">
        <f aca="false">IFERROR(INDEX(PARAMETRES!$D$536:$D$586,MATCH(X204,PARAMETRES!$J$536:$J$586,0)),"")</f>
        <v/>
      </c>
      <c r="AA204" s="107" t="str">
        <f aca="false">IFERROR(INDEX(PARAMETRES!$F$536:$F$586,MATCH(X204,PARAMETRES!$J$536:$J$586,0)),"")</f>
        <v/>
      </c>
      <c r="AB204" s="113"/>
      <c r="AC204" s="114"/>
      <c r="AD204" s="113"/>
      <c r="AE204" s="114"/>
      <c r="AF204" s="114"/>
      <c r="AG204" s="113"/>
      <c r="AH204" s="113"/>
      <c r="AI204" s="107" t="n">
        <f aca="false">IF(A204="",0,COUNTIF(tbl_Donateurs_Opportunites[ID Donateur],A204))</f>
        <v>0</v>
      </c>
      <c r="AJ204" s="107" t="n">
        <f aca="false">IF(A204="",0,COUNTIFS(tbl_Donateurs_Opportunites[ID Donateur],A204,tbl_Donateurs_Opportunites[Statut],"Ouverte"))</f>
        <v>0</v>
      </c>
      <c r="AK204" s="107" t="n">
        <f aca="false">IF(A204="",0,COUNTIF(tbl_Donateurs_Demandes[ID Donateur],A204))</f>
        <v>0</v>
      </c>
      <c r="AL204" s="107" t="n">
        <f aca="false">IF(A204="",0,COUNTIFS(tbl_Donateurs_Demandes[ID Donateur],A204,tbl_Donateurs_Demandes[Statut],"Approuvee")+COUNTIFS(tbl_Donateurs_Demandes[ID Donateur],A204,tbl_Donateurs_Demandes[Statut],"Financement recu"))</f>
        <v>0</v>
      </c>
      <c r="AM204" s="108" t="n">
        <f aca="false">IF(A204="",0,SUMIF(tbl_Donateurs_Demandes[ID Donateur],A204,tbl_Donateurs_Demandes[Montant demande]))</f>
        <v>0</v>
      </c>
      <c r="AN204" s="108" t="n">
        <f aca="false">IF(A204="",0,SUMIF(tbl_Donateurs_Demandes[ID Donateur],A204,tbl_Donateurs_Demandes[Montant accorde]))</f>
        <v>0</v>
      </c>
      <c r="AO204" s="108" t="n">
        <f aca="false">IF(A204="",0,SUMIF(tbl_Donateurs_Decaissements[ID Donateur],A204,tbl_Donateurs_Decaissements[Montant recu]))</f>
        <v>0</v>
      </c>
      <c r="AP204" s="109" t="str">
        <f aca="false">IFERROR(AL204/AK204,"")</f>
        <v/>
      </c>
      <c r="AQ204" s="107" t="n">
        <f aca="false">IF(A204="",0,COUNTIF(tbl_Donateurs_Contacts[ID Donateur],A204))</f>
        <v>0</v>
      </c>
      <c r="AR204" s="107" t="n">
        <f aca="false">IF(A204="",0,COUNTIF(tbl_Donateurs_Documents[ID Donateur],A204))</f>
        <v>0</v>
      </c>
      <c r="AS204" s="107" t="n">
        <f aca="false">IF(A204="",0,COUNTIF(tbl_Donateurs_Conventions[ID Donateur],A204))</f>
        <v>0</v>
      </c>
      <c r="AT204" s="115" t="n">
        <f aca="false">IFERROR(_xlfn.MAXIFS(tbl_Donateurs_Decaissements[Date recue],tbl_Donateurs_Decaissements[ID Donateur],A204),"")</f>
        <v>0</v>
      </c>
      <c r="AU204" s="108" t="str">
        <f aca="false">IFERROR(AN204/AL204,"")</f>
        <v/>
      </c>
      <c r="AV204" s="107" t="str">
        <f aca="true">IF(A204="","",IF(OR(AB204="A relancer",AND(AF204&lt;&gt;"",AF204&lt;=TODAY())),"OUI","NON"))</f>
        <v/>
      </c>
      <c r="AW204" s="107" t="str">
        <f aca="false">IF(B204="","",IF(OR(COUNTIF($B$56:$B$205,B204)&gt;1,AND(D204&lt;&gt;"",COUNTIF($D$56:$D$205,D204)&gt;1),AND(K204&lt;&gt;"",COUNTIF($K$56:$K$205,K204)&gt;1),AND(L204&lt;&gt;"",COUNTIF($L$56:$L$205,L204)&gt;1)),"OUI","NON"))</f>
        <v/>
      </c>
      <c r="AX204" s="113"/>
    </row>
    <row r="205" customFormat="false" ht="15" hidden="false" customHeight="true" outlineLevel="0" collapsed="false">
      <c r="A205" s="107" t="str">
        <f aca="false">IF(B205="","","DON"&amp;TEXT(ROW()-55,"00000"))</f>
        <v/>
      </c>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07" t="str">
        <f aca="false">IFERROR(INDEX(PARAMETRES!$B$536:$B$586,MATCH(X205,PARAMETRES!$J$536:$J$586,0)),"")</f>
        <v/>
      </c>
      <c r="Z205" s="107" t="str">
        <f aca="false">IFERROR(INDEX(PARAMETRES!$D$536:$D$586,MATCH(X205,PARAMETRES!$J$536:$J$586,0)),"")</f>
        <v/>
      </c>
      <c r="AA205" s="107" t="str">
        <f aca="false">IFERROR(INDEX(PARAMETRES!$F$536:$F$586,MATCH(X205,PARAMETRES!$J$536:$J$586,0)),"")</f>
        <v/>
      </c>
      <c r="AB205" s="113"/>
      <c r="AC205" s="114"/>
      <c r="AD205" s="113"/>
      <c r="AE205" s="114"/>
      <c r="AF205" s="114"/>
      <c r="AG205" s="113"/>
      <c r="AH205" s="113"/>
      <c r="AI205" s="107" t="n">
        <f aca="false">IF(A205="",0,COUNTIF(tbl_Donateurs_Opportunites[ID Donateur],A205))</f>
        <v>0</v>
      </c>
      <c r="AJ205" s="107" t="n">
        <f aca="false">IF(A205="",0,COUNTIFS(tbl_Donateurs_Opportunites[ID Donateur],A205,tbl_Donateurs_Opportunites[Statut],"Ouverte"))</f>
        <v>0</v>
      </c>
      <c r="AK205" s="107" t="n">
        <f aca="false">IF(A205="",0,COUNTIF(tbl_Donateurs_Demandes[ID Donateur],A205))</f>
        <v>0</v>
      </c>
      <c r="AL205" s="107" t="n">
        <f aca="false">IF(A205="",0,COUNTIFS(tbl_Donateurs_Demandes[ID Donateur],A205,tbl_Donateurs_Demandes[Statut],"Approuvee")+COUNTIFS(tbl_Donateurs_Demandes[ID Donateur],A205,tbl_Donateurs_Demandes[Statut],"Financement recu"))</f>
        <v>0</v>
      </c>
      <c r="AM205" s="108" t="n">
        <f aca="false">IF(A205="",0,SUMIF(tbl_Donateurs_Demandes[ID Donateur],A205,tbl_Donateurs_Demandes[Montant demande]))</f>
        <v>0</v>
      </c>
      <c r="AN205" s="108" t="n">
        <f aca="false">IF(A205="",0,SUMIF(tbl_Donateurs_Demandes[ID Donateur],A205,tbl_Donateurs_Demandes[Montant accorde]))</f>
        <v>0</v>
      </c>
      <c r="AO205" s="108" t="n">
        <f aca="false">IF(A205="",0,SUMIF(tbl_Donateurs_Decaissements[ID Donateur],A205,tbl_Donateurs_Decaissements[Montant recu]))</f>
        <v>0</v>
      </c>
      <c r="AP205" s="109" t="str">
        <f aca="false">IFERROR(AL205/AK205,"")</f>
        <v/>
      </c>
      <c r="AQ205" s="107" t="n">
        <f aca="false">IF(A205="",0,COUNTIF(tbl_Donateurs_Contacts[ID Donateur],A205))</f>
        <v>0</v>
      </c>
      <c r="AR205" s="107" t="n">
        <f aca="false">IF(A205="",0,COUNTIF(tbl_Donateurs_Documents[ID Donateur],A205))</f>
        <v>0</v>
      </c>
      <c r="AS205" s="107" t="n">
        <f aca="false">IF(A205="",0,COUNTIF(tbl_Donateurs_Conventions[ID Donateur],A205))</f>
        <v>0</v>
      </c>
      <c r="AT205" s="115" t="n">
        <f aca="false">IFERROR(_xlfn.MAXIFS(tbl_Donateurs_Decaissements[Date recue],tbl_Donateurs_Decaissements[ID Donateur],A205),"")</f>
        <v>0</v>
      </c>
      <c r="AU205" s="108" t="str">
        <f aca="false">IFERROR(AN205/AL205,"")</f>
        <v/>
      </c>
      <c r="AV205" s="107" t="str">
        <f aca="true">IF(A205="","",IF(OR(AB205="A relancer",AND(AF205&lt;&gt;"",AF205&lt;=TODAY())),"OUI","NON"))</f>
        <v/>
      </c>
      <c r="AW205" s="107" t="str">
        <f aca="false">IF(B205="","",IF(OR(COUNTIF($B$56:$B$205,B205)&gt;1,AND(D205&lt;&gt;"",COUNTIF($D$56:$D$205,D205)&gt;1),AND(K205&lt;&gt;"",COUNTIF($K$56:$K$205,K205)&gt;1),AND(L205&lt;&gt;"",COUNTIF($L$56:$L$205,L205)&gt;1)),"OUI","NON"))</f>
        <v/>
      </c>
      <c r="AX205" s="113"/>
    </row>
    <row r="208" customFormat="false" ht="19.5" hidden="false" customHeight="true" outlineLevel="0" collapsed="false">
      <c r="A208" s="55" t="s">
        <v>1934</v>
      </c>
      <c r="B208" s="55"/>
      <c r="C208" s="55"/>
      <c r="D208" s="55"/>
      <c r="E208" s="55"/>
      <c r="F208" s="55"/>
      <c r="G208" s="55"/>
      <c r="H208" s="55"/>
      <c r="I208" s="55"/>
      <c r="J208" s="55"/>
    </row>
    <row r="209" customFormat="false" ht="25.5" hidden="false" customHeight="true" outlineLevel="0" collapsed="false">
      <c r="A209" s="112" t="s">
        <v>1853</v>
      </c>
      <c r="B209" s="112" t="s">
        <v>1909</v>
      </c>
      <c r="C209" s="112" t="s">
        <v>1467</v>
      </c>
      <c r="D209" s="112" t="s">
        <v>1469</v>
      </c>
      <c r="E209" s="112" t="s">
        <v>1298</v>
      </c>
      <c r="F209" s="112" t="s">
        <v>1295</v>
      </c>
      <c r="G209" s="112" t="s">
        <v>1300</v>
      </c>
      <c r="H209" s="112" t="s">
        <v>1935</v>
      </c>
      <c r="I209" s="112" t="s">
        <v>1854</v>
      </c>
      <c r="J209" s="112" t="s">
        <v>54</v>
      </c>
    </row>
    <row r="210" customFormat="false" ht="15" hidden="false" customHeight="true" outlineLevel="0" collapsed="false">
      <c r="A210" s="107" t="str">
        <f aca="false">IF(B210="","","CTD"&amp;TEXT(ROW()-209,"00000"))</f>
        <v/>
      </c>
      <c r="B210" s="113"/>
      <c r="C210" s="113"/>
      <c r="D210" s="113"/>
      <c r="E210" s="113"/>
      <c r="F210" s="113"/>
      <c r="G210" s="113"/>
      <c r="H210" s="113"/>
      <c r="I210" s="113"/>
      <c r="J210" s="113"/>
    </row>
    <row r="211" customFormat="false" ht="15" hidden="false" customHeight="true" outlineLevel="0" collapsed="false">
      <c r="A211" s="107" t="str">
        <f aca="false">IF(B211="","","CTD"&amp;TEXT(ROW()-209,"00000"))</f>
        <v/>
      </c>
      <c r="B211" s="113"/>
      <c r="C211" s="113"/>
      <c r="D211" s="113"/>
      <c r="E211" s="113"/>
      <c r="F211" s="113"/>
      <c r="G211" s="113"/>
      <c r="H211" s="113"/>
      <c r="I211" s="113"/>
      <c r="J211" s="113"/>
    </row>
    <row r="212" customFormat="false" ht="15" hidden="false" customHeight="true" outlineLevel="0" collapsed="false">
      <c r="A212" s="107" t="str">
        <f aca="false">IF(B212="","","CTD"&amp;TEXT(ROW()-209,"00000"))</f>
        <v/>
      </c>
      <c r="B212" s="113"/>
      <c r="C212" s="113"/>
      <c r="D212" s="113"/>
      <c r="E212" s="113"/>
      <c r="F212" s="113"/>
      <c r="G212" s="113"/>
      <c r="H212" s="113"/>
      <c r="I212" s="113"/>
      <c r="J212" s="113"/>
    </row>
    <row r="213" customFormat="false" ht="15" hidden="false" customHeight="true" outlineLevel="0" collapsed="false">
      <c r="A213" s="107" t="str">
        <f aca="false">IF(B213="","","CTD"&amp;TEXT(ROW()-209,"00000"))</f>
        <v/>
      </c>
      <c r="B213" s="113"/>
      <c r="C213" s="113"/>
      <c r="D213" s="113"/>
      <c r="E213" s="113"/>
      <c r="F213" s="113"/>
      <c r="G213" s="113"/>
      <c r="H213" s="113"/>
      <c r="I213" s="113"/>
      <c r="J213" s="113"/>
    </row>
    <row r="214" customFormat="false" ht="15" hidden="false" customHeight="true" outlineLevel="0" collapsed="false">
      <c r="A214" s="107" t="str">
        <f aca="false">IF(B214="","","CTD"&amp;TEXT(ROW()-209,"00000"))</f>
        <v/>
      </c>
      <c r="B214" s="113"/>
      <c r="C214" s="113"/>
      <c r="D214" s="113"/>
      <c r="E214" s="113"/>
      <c r="F214" s="113"/>
      <c r="G214" s="113"/>
      <c r="H214" s="113"/>
      <c r="I214" s="113"/>
      <c r="J214" s="113"/>
    </row>
    <row r="215" customFormat="false" ht="15" hidden="false" customHeight="true" outlineLevel="0" collapsed="false">
      <c r="A215" s="107" t="str">
        <f aca="false">IF(B215="","","CTD"&amp;TEXT(ROW()-209,"00000"))</f>
        <v/>
      </c>
      <c r="B215" s="113"/>
      <c r="C215" s="113"/>
      <c r="D215" s="113"/>
      <c r="E215" s="113"/>
      <c r="F215" s="113"/>
      <c r="G215" s="113"/>
      <c r="H215" s="113"/>
      <c r="I215" s="113"/>
      <c r="J215" s="113"/>
    </row>
    <row r="216" customFormat="false" ht="15" hidden="false" customHeight="true" outlineLevel="0" collapsed="false">
      <c r="A216" s="107" t="str">
        <f aca="false">IF(B216="","","CTD"&amp;TEXT(ROW()-209,"00000"))</f>
        <v/>
      </c>
      <c r="B216" s="113"/>
      <c r="C216" s="113"/>
      <c r="D216" s="113"/>
      <c r="E216" s="113"/>
      <c r="F216" s="113"/>
      <c r="G216" s="113"/>
      <c r="H216" s="113"/>
      <c r="I216" s="113"/>
      <c r="J216" s="113"/>
    </row>
    <row r="217" customFormat="false" ht="15" hidden="false" customHeight="true" outlineLevel="0" collapsed="false">
      <c r="A217" s="107" t="str">
        <f aca="false">IF(B217="","","CTD"&amp;TEXT(ROW()-209,"00000"))</f>
        <v/>
      </c>
      <c r="B217" s="113"/>
      <c r="C217" s="113"/>
      <c r="D217" s="113"/>
      <c r="E217" s="113"/>
      <c r="F217" s="113"/>
      <c r="G217" s="113"/>
      <c r="H217" s="113"/>
      <c r="I217" s="113"/>
      <c r="J217" s="113"/>
    </row>
    <row r="218" customFormat="false" ht="15" hidden="false" customHeight="true" outlineLevel="0" collapsed="false">
      <c r="A218" s="107" t="str">
        <f aca="false">IF(B218="","","CTD"&amp;TEXT(ROW()-209,"00000"))</f>
        <v/>
      </c>
      <c r="B218" s="113"/>
      <c r="C218" s="113"/>
      <c r="D218" s="113"/>
      <c r="E218" s="113"/>
      <c r="F218" s="113"/>
      <c r="G218" s="113"/>
      <c r="H218" s="113"/>
      <c r="I218" s="113"/>
      <c r="J218" s="113"/>
    </row>
    <row r="219" customFormat="false" ht="15" hidden="false" customHeight="true" outlineLevel="0" collapsed="false">
      <c r="A219" s="107" t="str">
        <f aca="false">IF(B219="","","CTD"&amp;TEXT(ROW()-209,"00000"))</f>
        <v/>
      </c>
      <c r="B219" s="113"/>
      <c r="C219" s="113"/>
      <c r="D219" s="113"/>
      <c r="E219" s="113"/>
      <c r="F219" s="113"/>
      <c r="G219" s="113"/>
      <c r="H219" s="113"/>
      <c r="I219" s="113"/>
      <c r="J219" s="113"/>
    </row>
    <row r="220" customFormat="false" ht="15" hidden="false" customHeight="true" outlineLevel="0" collapsed="false">
      <c r="A220" s="107" t="str">
        <f aca="false">IF(B220="","","CTD"&amp;TEXT(ROW()-209,"00000"))</f>
        <v/>
      </c>
      <c r="B220" s="113"/>
      <c r="C220" s="113"/>
      <c r="D220" s="113"/>
      <c r="E220" s="113"/>
      <c r="F220" s="113"/>
      <c r="G220" s="113"/>
      <c r="H220" s="113"/>
      <c r="I220" s="113"/>
      <c r="J220" s="113"/>
    </row>
    <row r="221" customFormat="false" ht="15" hidden="false" customHeight="true" outlineLevel="0" collapsed="false">
      <c r="A221" s="107" t="str">
        <f aca="false">IF(B221="","","CTD"&amp;TEXT(ROW()-209,"00000"))</f>
        <v/>
      </c>
      <c r="B221" s="113"/>
      <c r="C221" s="113"/>
      <c r="D221" s="113"/>
      <c r="E221" s="113"/>
      <c r="F221" s="113"/>
      <c r="G221" s="113"/>
      <c r="H221" s="113"/>
      <c r="I221" s="113"/>
      <c r="J221" s="113"/>
    </row>
    <row r="222" customFormat="false" ht="15" hidden="false" customHeight="true" outlineLevel="0" collapsed="false">
      <c r="A222" s="107" t="str">
        <f aca="false">IF(B222="","","CTD"&amp;TEXT(ROW()-209,"00000"))</f>
        <v/>
      </c>
      <c r="B222" s="113"/>
      <c r="C222" s="113"/>
      <c r="D222" s="113"/>
      <c r="E222" s="113"/>
      <c r="F222" s="113"/>
      <c r="G222" s="113"/>
      <c r="H222" s="113"/>
      <c r="I222" s="113"/>
      <c r="J222" s="113"/>
    </row>
    <row r="223" customFormat="false" ht="15" hidden="false" customHeight="true" outlineLevel="0" collapsed="false">
      <c r="A223" s="107" t="str">
        <f aca="false">IF(B223="","","CTD"&amp;TEXT(ROW()-209,"00000"))</f>
        <v/>
      </c>
      <c r="B223" s="113"/>
      <c r="C223" s="113"/>
      <c r="D223" s="113"/>
      <c r="E223" s="113"/>
      <c r="F223" s="113"/>
      <c r="G223" s="113"/>
      <c r="H223" s="113"/>
      <c r="I223" s="113"/>
      <c r="J223" s="113"/>
    </row>
    <row r="224" customFormat="false" ht="15" hidden="false" customHeight="true" outlineLevel="0" collapsed="false">
      <c r="A224" s="107" t="str">
        <f aca="false">IF(B224="","","CTD"&amp;TEXT(ROW()-209,"00000"))</f>
        <v/>
      </c>
      <c r="B224" s="113"/>
      <c r="C224" s="113"/>
      <c r="D224" s="113"/>
      <c r="E224" s="113"/>
      <c r="F224" s="113"/>
      <c r="G224" s="113"/>
      <c r="H224" s="113"/>
      <c r="I224" s="113"/>
      <c r="J224" s="113"/>
    </row>
    <row r="225" customFormat="false" ht="15" hidden="false" customHeight="true" outlineLevel="0" collapsed="false">
      <c r="A225" s="107" t="str">
        <f aca="false">IF(B225="","","CTD"&amp;TEXT(ROW()-209,"00000"))</f>
        <v/>
      </c>
      <c r="B225" s="113"/>
      <c r="C225" s="113"/>
      <c r="D225" s="113"/>
      <c r="E225" s="113"/>
      <c r="F225" s="113"/>
      <c r="G225" s="113"/>
      <c r="H225" s="113"/>
      <c r="I225" s="113"/>
      <c r="J225" s="113"/>
    </row>
    <row r="226" customFormat="false" ht="15" hidden="false" customHeight="true" outlineLevel="0" collapsed="false">
      <c r="A226" s="107" t="str">
        <f aca="false">IF(B226="","","CTD"&amp;TEXT(ROW()-209,"00000"))</f>
        <v/>
      </c>
      <c r="B226" s="113"/>
      <c r="C226" s="113"/>
      <c r="D226" s="113"/>
      <c r="E226" s="113"/>
      <c r="F226" s="113"/>
      <c r="G226" s="113"/>
      <c r="H226" s="113"/>
      <c r="I226" s="113"/>
      <c r="J226" s="113"/>
    </row>
    <row r="227" customFormat="false" ht="15" hidden="false" customHeight="true" outlineLevel="0" collapsed="false">
      <c r="A227" s="107" t="str">
        <f aca="false">IF(B227="","","CTD"&amp;TEXT(ROW()-209,"00000"))</f>
        <v/>
      </c>
      <c r="B227" s="113"/>
      <c r="C227" s="113"/>
      <c r="D227" s="113"/>
      <c r="E227" s="113"/>
      <c r="F227" s="113"/>
      <c r="G227" s="113"/>
      <c r="H227" s="113"/>
      <c r="I227" s="113"/>
      <c r="J227" s="113"/>
    </row>
    <row r="228" customFormat="false" ht="15" hidden="false" customHeight="true" outlineLevel="0" collapsed="false">
      <c r="A228" s="107" t="str">
        <f aca="false">IF(B228="","","CTD"&amp;TEXT(ROW()-209,"00000"))</f>
        <v/>
      </c>
      <c r="B228" s="113"/>
      <c r="C228" s="113"/>
      <c r="D228" s="113"/>
      <c r="E228" s="113"/>
      <c r="F228" s="113"/>
      <c r="G228" s="113"/>
      <c r="H228" s="113"/>
      <c r="I228" s="113"/>
      <c r="J228" s="113"/>
    </row>
    <row r="229" customFormat="false" ht="15" hidden="false" customHeight="true" outlineLevel="0" collapsed="false">
      <c r="A229" s="107" t="str">
        <f aca="false">IF(B229="","","CTD"&amp;TEXT(ROW()-209,"00000"))</f>
        <v/>
      </c>
      <c r="B229" s="113"/>
      <c r="C229" s="113"/>
      <c r="D229" s="113"/>
      <c r="E229" s="113"/>
      <c r="F229" s="113"/>
      <c r="G229" s="113"/>
      <c r="H229" s="113"/>
      <c r="I229" s="113"/>
      <c r="J229" s="113"/>
    </row>
    <row r="230" customFormat="false" ht="15" hidden="false" customHeight="true" outlineLevel="0" collapsed="false">
      <c r="A230" s="107" t="str">
        <f aca="false">IF(B230="","","CTD"&amp;TEXT(ROW()-209,"00000"))</f>
        <v/>
      </c>
      <c r="B230" s="113"/>
      <c r="C230" s="113"/>
      <c r="D230" s="113"/>
      <c r="E230" s="113"/>
      <c r="F230" s="113"/>
      <c r="G230" s="113"/>
      <c r="H230" s="113"/>
      <c r="I230" s="113"/>
      <c r="J230" s="113"/>
    </row>
    <row r="231" customFormat="false" ht="15" hidden="false" customHeight="true" outlineLevel="0" collapsed="false">
      <c r="A231" s="107" t="str">
        <f aca="false">IF(B231="","","CTD"&amp;TEXT(ROW()-209,"00000"))</f>
        <v/>
      </c>
      <c r="B231" s="113"/>
      <c r="C231" s="113"/>
      <c r="D231" s="113"/>
      <c r="E231" s="113"/>
      <c r="F231" s="113"/>
      <c r="G231" s="113"/>
      <c r="H231" s="113"/>
      <c r="I231" s="113"/>
      <c r="J231" s="113"/>
    </row>
    <row r="232" customFormat="false" ht="15" hidden="false" customHeight="true" outlineLevel="0" collapsed="false">
      <c r="A232" s="107" t="str">
        <f aca="false">IF(B232="","","CTD"&amp;TEXT(ROW()-209,"00000"))</f>
        <v/>
      </c>
      <c r="B232" s="113"/>
      <c r="C232" s="113"/>
      <c r="D232" s="113"/>
      <c r="E232" s="113"/>
      <c r="F232" s="113"/>
      <c r="G232" s="113"/>
      <c r="H232" s="113"/>
      <c r="I232" s="113"/>
      <c r="J232" s="113"/>
    </row>
    <row r="233" customFormat="false" ht="15" hidden="false" customHeight="true" outlineLevel="0" collapsed="false">
      <c r="A233" s="107" t="str">
        <f aca="false">IF(B233="","","CTD"&amp;TEXT(ROW()-209,"00000"))</f>
        <v/>
      </c>
      <c r="B233" s="113"/>
      <c r="C233" s="113"/>
      <c r="D233" s="113"/>
      <c r="E233" s="113"/>
      <c r="F233" s="113"/>
      <c r="G233" s="113"/>
      <c r="H233" s="113"/>
      <c r="I233" s="113"/>
      <c r="J233" s="113"/>
    </row>
    <row r="234" customFormat="false" ht="15" hidden="false" customHeight="true" outlineLevel="0" collapsed="false">
      <c r="A234" s="107" t="str">
        <f aca="false">IF(B234="","","CTD"&amp;TEXT(ROW()-209,"00000"))</f>
        <v/>
      </c>
      <c r="B234" s="113"/>
      <c r="C234" s="113"/>
      <c r="D234" s="113"/>
      <c r="E234" s="113"/>
      <c r="F234" s="113"/>
      <c r="G234" s="113"/>
      <c r="H234" s="113"/>
      <c r="I234" s="113"/>
      <c r="J234" s="113"/>
    </row>
    <row r="235" customFormat="false" ht="15" hidden="false" customHeight="true" outlineLevel="0" collapsed="false">
      <c r="A235" s="107" t="str">
        <f aca="false">IF(B235="","","CTD"&amp;TEXT(ROW()-209,"00000"))</f>
        <v/>
      </c>
      <c r="B235" s="113"/>
      <c r="C235" s="113"/>
      <c r="D235" s="113"/>
      <c r="E235" s="113"/>
      <c r="F235" s="113"/>
      <c r="G235" s="113"/>
      <c r="H235" s="113"/>
      <c r="I235" s="113"/>
      <c r="J235" s="113"/>
    </row>
    <row r="236" customFormat="false" ht="15" hidden="false" customHeight="true" outlineLevel="0" collapsed="false">
      <c r="A236" s="107" t="str">
        <f aca="false">IF(B236="","","CTD"&amp;TEXT(ROW()-209,"00000"))</f>
        <v/>
      </c>
      <c r="B236" s="113"/>
      <c r="C236" s="113"/>
      <c r="D236" s="113"/>
      <c r="E236" s="113"/>
      <c r="F236" s="113"/>
      <c r="G236" s="113"/>
      <c r="H236" s="113"/>
      <c r="I236" s="113"/>
      <c r="J236" s="113"/>
    </row>
    <row r="237" customFormat="false" ht="15" hidden="false" customHeight="true" outlineLevel="0" collapsed="false">
      <c r="A237" s="107" t="str">
        <f aca="false">IF(B237="","","CTD"&amp;TEXT(ROW()-209,"00000"))</f>
        <v/>
      </c>
      <c r="B237" s="113"/>
      <c r="C237" s="113"/>
      <c r="D237" s="113"/>
      <c r="E237" s="113"/>
      <c r="F237" s="113"/>
      <c r="G237" s="113"/>
      <c r="H237" s="113"/>
      <c r="I237" s="113"/>
      <c r="J237" s="113"/>
    </row>
    <row r="238" customFormat="false" ht="15" hidden="false" customHeight="true" outlineLevel="0" collapsed="false">
      <c r="A238" s="107" t="str">
        <f aca="false">IF(B238="","","CTD"&amp;TEXT(ROW()-209,"00000"))</f>
        <v/>
      </c>
      <c r="B238" s="113"/>
      <c r="C238" s="113"/>
      <c r="D238" s="113"/>
      <c r="E238" s="113"/>
      <c r="F238" s="113"/>
      <c r="G238" s="113"/>
      <c r="H238" s="113"/>
      <c r="I238" s="113"/>
      <c r="J238" s="113"/>
    </row>
    <row r="239" customFormat="false" ht="15" hidden="false" customHeight="true" outlineLevel="0" collapsed="false">
      <c r="A239" s="107" t="str">
        <f aca="false">IF(B239="","","CTD"&amp;TEXT(ROW()-209,"00000"))</f>
        <v/>
      </c>
      <c r="B239" s="113"/>
      <c r="C239" s="113"/>
      <c r="D239" s="113"/>
      <c r="E239" s="113"/>
      <c r="F239" s="113"/>
      <c r="G239" s="113"/>
      <c r="H239" s="113"/>
      <c r="I239" s="113"/>
      <c r="J239" s="113"/>
    </row>
    <row r="242" customFormat="false" ht="19.5" hidden="false" customHeight="true" outlineLevel="0" collapsed="false">
      <c r="A242" s="55" t="s">
        <v>1936</v>
      </c>
      <c r="B242" s="55"/>
      <c r="C242" s="55"/>
      <c r="D242" s="55"/>
      <c r="E242" s="55"/>
      <c r="F242" s="55"/>
      <c r="G242" s="55"/>
      <c r="H242" s="55"/>
      <c r="I242" s="55"/>
      <c r="J242" s="55"/>
      <c r="K242" s="55"/>
      <c r="L242" s="55"/>
      <c r="M242" s="55"/>
      <c r="N242" s="55"/>
      <c r="O242" s="55"/>
      <c r="P242" s="55"/>
      <c r="Q242" s="55"/>
      <c r="R242" s="55"/>
      <c r="S242" s="55"/>
      <c r="T242" s="55"/>
      <c r="U242" s="55"/>
      <c r="V242" s="55"/>
      <c r="W242" s="55"/>
      <c r="X242" s="55"/>
    </row>
    <row r="243" customFormat="false" ht="25.5" hidden="false" customHeight="true" outlineLevel="0" collapsed="false">
      <c r="A243" s="112" t="s">
        <v>1937</v>
      </c>
      <c r="B243" s="112" t="s">
        <v>1909</v>
      </c>
      <c r="C243" s="112" t="s">
        <v>1938</v>
      </c>
      <c r="D243" s="112" t="s">
        <v>1939</v>
      </c>
      <c r="E243" s="112" t="s">
        <v>143</v>
      </c>
      <c r="F243" s="112" t="s">
        <v>1327</v>
      </c>
      <c r="G243" s="112" t="s">
        <v>1940</v>
      </c>
      <c r="H243" s="112" t="s">
        <v>1354</v>
      </c>
      <c r="I243" s="112" t="s">
        <v>1941</v>
      </c>
      <c r="J243" s="112" t="s">
        <v>1942</v>
      </c>
      <c r="K243" s="112" t="s">
        <v>1368</v>
      </c>
      <c r="L243" s="112" t="s">
        <v>1943</v>
      </c>
      <c r="M243" s="112" t="s">
        <v>1944</v>
      </c>
      <c r="N243" s="112" t="s">
        <v>1945</v>
      </c>
      <c r="O243" s="112" t="s">
        <v>1946</v>
      </c>
      <c r="P243" s="112" t="s">
        <v>1947</v>
      </c>
      <c r="Q243" s="112" t="s">
        <v>1948</v>
      </c>
      <c r="R243" s="112" t="s">
        <v>1949</v>
      </c>
      <c r="S243" s="112" t="s">
        <v>1767</v>
      </c>
      <c r="T243" s="112" t="s">
        <v>1950</v>
      </c>
      <c r="U243" s="112" t="s">
        <v>1951</v>
      </c>
      <c r="V243" s="112" t="s">
        <v>1952</v>
      </c>
      <c r="W243" s="112" t="s">
        <v>1335</v>
      </c>
      <c r="X243" s="112" t="s">
        <v>54</v>
      </c>
    </row>
    <row r="244" customFormat="false" ht="15" hidden="false" customHeight="true" outlineLevel="0" collapsed="false">
      <c r="A244" s="107" t="str">
        <f aca="false">IF(C244="","","OPP"&amp;TEXT(ROW()-243,"00000"))</f>
        <v/>
      </c>
      <c r="B244" s="113"/>
      <c r="C244" s="113"/>
      <c r="D244" s="113"/>
      <c r="E244" s="113"/>
      <c r="F244" s="113"/>
      <c r="G244" s="113"/>
      <c r="H244" s="113"/>
      <c r="I244" s="116"/>
      <c r="J244" s="116"/>
      <c r="K244" s="113"/>
      <c r="L244" s="117"/>
      <c r="M244" s="113"/>
      <c r="N244" s="114"/>
      <c r="O244" s="114"/>
      <c r="P244" s="113"/>
      <c r="Q244" s="113"/>
      <c r="R244" s="113"/>
      <c r="S244" s="107" t="str">
        <f aca="false">IF(R244="","",IF(R244&gt;=80,"Excellent",IF(R244&gt;=60,"Bon",IF(R244&gt;=40,"Moyen","Faible"))))</f>
        <v/>
      </c>
      <c r="T244" s="113"/>
      <c r="U244" s="113"/>
      <c r="V244" s="114"/>
      <c r="W244" s="113"/>
      <c r="X244" s="113"/>
    </row>
    <row r="245" customFormat="false" ht="15" hidden="false" customHeight="true" outlineLevel="0" collapsed="false">
      <c r="A245" s="107" t="str">
        <f aca="false">IF(C245="","","OPP"&amp;TEXT(ROW()-243,"00000"))</f>
        <v/>
      </c>
      <c r="B245" s="113"/>
      <c r="C245" s="113"/>
      <c r="D245" s="113"/>
      <c r="E245" s="113"/>
      <c r="F245" s="113"/>
      <c r="G245" s="113"/>
      <c r="H245" s="113"/>
      <c r="I245" s="116"/>
      <c r="J245" s="116"/>
      <c r="K245" s="113"/>
      <c r="L245" s="117"/>
      <c r="M245" s="113"/>
      <c r="N245" s="114"/>
      <c r="O245" s="114"/>
      <c r="P245" s="113"/>
      <c r="Q245" s="113"/>
      <c r="R245" s="113"/>
      <c r="S245" s="107" t="str">
        <f aca="false">IF(R245="","",IF(R245&gt;=80,"Excellent",IF(R245&gt;=60,"Bon",IF(R245&gt;=40,"Moyen","Faible"))))</f>
        <v/>
      </c>
      <c r="T245" s="113"/>
      <c r="U245" s="113"/>
      <c r="V245" s="114"/>
      <c r="W245" s="113"/>
      <c r="X245" s="113"/>
    </row>
    <row r="246" customFormat="false" ht="15" hidden="false" customHeight="true" outlineLevel="0" collapsed="false">
      <c r="A246" s="107" t="str">
        <f aca="false">IF(C246="","","OPP"&amp;TEXT(ROW()-243,"00000"))</f>
        <v/>
      </c>
      <c r="B246" s="113"/>
      <c r="C246" s="113"/>
      <c r="D246" s="113"/>
      <c r="E246" s="113"/>
      <c r="F246" s="113"/>
      <c r="G246" s="113"/>
      <c r="H246" s="113"/>
      <c r="I246" s="116"/>
      <c r="J246" s="116"/>
      <c r="K246" s="113"/>
      <c r="L246" s="117"/>
      <c r="M246" s="113"/>
      <c r="N246" s="114"/>
      <c r="O246" s="114"/>
      <c r="P246" s="113"/>
      <c r="Q246" s="113"/>
      <c r="R246" s="113"/>
      <c r="S246" s="107" t="str">
        <f aca="false">IF(R246="","",IF(R246&gt;=80,"Excellent",IF(R246&gt;=60,"Bon",IF(R246&gt;=40,"Moyen","Faible"))))</f>
        <v/>
      </c>
      <c r="T246" s="113"/>
      <c r="U246" s="113"/>
      <c r="V246" s="114"/>
      <c r="W246" s="113"/>
      <c r="X246" s="113"/>
    </row>
    <row r="247" customFormat="false" ht="15" hidden="false" customHeight="true" outlineLevel="0" collapsed="false">
      <c r="A247" s="107" t="str">
        <f aca="false">IF(C247="","","OPP"&amp;TEXT(ROW()-243,"00000"))</f>
        <v/>
      </c>
      <c r="B247" s="113"/>
      <c r="C247" s="113"/>
      <c r="D247" s="113"/>
      <c r="E247" s="113"/>
      <c r="F247" s="113"/>
      <c r="G247" s="113"/>
      <c r="H247" s="113"/>
      <c r="I247" s="116"/>
      <c r="J247" s="116"/>
      <c r="K247" s="113"/>
      <c r="L247" s="117"/>
      <c r="M247" s="113"/>
      <c r="N247" s="114"/>
      <c r="O247" s="114"/>
      <c r="P247" s="113"/>
      <c r="Q247" s="113"/>
      <c r="R247" s="113"/>
      <c r="S247" s="107" t="str">
        <f aca="false">IF(R247="","",IF(R247&gt;=80,"Excellent",IF(R247&gt;=60,"Bon",IF(R247&gt;=40,"Moyen","Faible"))))</f>
        <v/>
      </c>
      <c r="T247" s="113"/>
      <c r="U247" s="113"/>
      <c r="V247" s="114"/>
      <c r="W247" s="113"/>
      <c r="X247" s="113"/>
    </row>
    <row r="248" customFormat="false" ht="15" hidden="false" customHeight="true" outlineLevel="0" collapsed="false">
      <c r="A248" s="107" t="str">
        <f aca="false">IF(C248="","","OPP"&amp;TEXT(ROW()-243,"00000"))</f>
        <v/>
      </c>
      <c r="B248" s="113"/>
      <c r="C248" s="113"/>
      <c r="D248" s="113"/>
      <c r="E248" s="113"/>
      <c r="F248" s="113"/>
      <c r="G248" s="113"/>
      <c r="H248" s="113"/>
      <c r="I248" s="116"/>
      <c r="J248" s="116"/>
      <c r="K248" s="113"/>
      <c r="L248" s="117"/>
      <c r="M248" s="113"/>
      <c r="N248" s="114"/>
      <c r="O248" s="114"/>
      <c r="P248" s="113"/>
      <c r="Q248" s="113"/>
      <c r="R248" s="113"/>
      <c r="S248" s="107" t="str">
        <f aca="false">IF(R248="","",IF(R248&gt;=80,"Excellent",IF(R248&gt;=60,"Bon",IF(R248&gt;=40,"Moyen","Faible"))))</f>
        <v/>
      </c>
      <c r="T248" s="113"/>
      <c r="U248" s="113"/>
      <c r="V248" s="114"/>
      <c r="W248" s="113"/>
      <c r="X248" s="113"/>
    </row>
    <row r="249" customFormat="false" ht="15" hidden="false" customHeight="true" outlineLevel="0" collapsed="false">
      <c r="A249" s="107" t="str">
        <f aca="false">IF(C249="","","OPP"&amp;TEXT(ROW()-243,"00000"))</f>
        <v/>
      </c>
      <c r="B249" s="113"/>
      <c r="C249" s="113"/>
      <c r="D249" s="113"/>
      <c r="E249" s="113"/>
      <c r="F249" s="113"/>
      <c r="G249" s="113"/>
      <c r="H249" s="113"/>
      <c r="I249" s="116"/>
      <c r="J249" s="116"/>
      <c r="K249" s="113"/>
      <c r="L249" s="117"/>
      <c r="M249" s="113"/>
      <c r="N249" s="114"/>
      <c r="O249" s="114"/>
      <c r="P249" s="113"/>
      <c r="Q249" s="113"/>
      <c r="R249" s="113"/>
      <c r="S249" s="107" t="str">
        <f aca="false">IF(R249="","",IF(R249&gt;=80,"Excellent",IF(R249&gt;=60,"Bon",IF(R249&gt;=40,"Moyen","Faible"))))</f>
        <v/>
      </c>
      <c r="T249" s="113"/>
      <c r="U249" s="113"/>
      <c r="V249" s="114"/>
      <c r="W249" s="113"/>
      <c r="X249" s="113"/>
    </row>
    <row r="250" customFormat="false" ht="15" hidden="false" customHeight="true" outlineLevel="0" collapsed="false">
      <c r="A250" s="107" t="str">
        <f aca="false">IF(C250="","","OPP"&amp;TEXT(ROW()-243,"00000"))</f>
        <v/>
      </c>
      <c r="B250" s="113"/>
      <c r="C250" s="113"/>
      <c r="D250" s="113"/>
      <c r="E250" s="113"/>
      <c r="F250" s="113"/>
      <c r="G250" s="113"/>
      <c r="H250" s="113"/>
      <c r="I250" s="116"/>
      <c r="J250" s="116"/>
      <c r="K250" s="113"/>
      <c r="L250" s="117"/>
      <c r="M250" s="113"/>
      <c r="N250" s="114"/>
      <c r="O250" s="114"/>
      <c r="P250" s="113"/>
      <c r="Q250" s="113"/>
      <c r="R250" s="113"/>
      <c r="S250" s="107" t="str">
        <f aca="false">IF(R250="","",IF(R250&gt;=80,"Excellent",IF(R250&gt;=60,"Bon",IF(R250&gt;=40,"Moyen","Faible"))))</f>
        <v/>
      </c>
      <c r="T250" s="113"/>
      <c r="U250" s="113"/>
      <c r="V250" s="114"/>
      <c r="W250" s="113"/>
      <c r="X250" s="113"/>
    </row>
    <row r="251" customFormat="false" ht="15" hidden="false" customHeight="true" outlineLevel="0" collapsed="false">
      <c r="A251" s="107" t="str">
        <f aca="false">IF(C251="","","OPP"&amp;TEXT(ROW()-243,"00000"))</f>
        <v/>
      </c>
      <c r="B251" s="113"/>
      <c r="C251" s="113"/>
      <c r="D251" s="113"/>
      <c r="E251" s="113"/>
      <c r="F251" s="113"/>
      <c r="G251" s="113"/>
      <c r="H251" s="113"/>
      <c r="I251" s="116"/>
      <c r="J251" s="116"/>
      <c r="K251" s="113"/>
      <c r="L251" s="117"/>
      <c r="M251" s="113"/>
      <c r="N251" s="114"/>
      <c r="O251" s="114"/>
      <c r="P251" s="113"/>
      <c r="Q251" s="113"/>
      <c r="R251" s="113"/>
      <c r="S251" s="107" t="str">
        <f aca="false">IF(R251="","",IF(R251&gt;=80,"Excellent",IF(R251&gt;=60,"Bon",IF(R251&gt;=40,"Moyen","Faible"))))</f>
        <v/>
      </c>
      <c r="T251" s="113"/>
      <c r="U251" s="113"/>
      <c r="V251" s="114"/>
      <c r="W251" s="113"/>
      <c r="X251" s="113"/>
    </row>
    <row r="252" customFormat="false" ht="15" hidden="false" customHeight="true" outlineLevel="0" collapsed="false">
      <c r="A252" s="107" t="str">
        <f aca="false">IF(C252="","","OPP"&amp;TEXT(ROW()-243,"00000"))</f>
        <v/>
      </c>
      <c r="B252" s="113"/>
      <c r="C252" s="113"/>
      <c r="D252" s="113"/>
      <c r="E252" s="113"/>
      <c r="F252" s="113"/>
      <c r="G252" s="113"/>
      <c r="H252" s="113"/>
      <c r="I252" s="116"/>
      <c r="J252" s="116"/>
      <c r="K252" s="113"/>
      <c r="L252" s="117"/>
      <c r="M252" s="113"/>
      <c r="N252" s="114"/>
      <c r="O252" s="114"/>
      <c r="P252" s="113"/>
      <c r="Q252" s="113"/>
      <c r="R252" s="113"/>
      <c r="S252" s="107" t="str">
        <f aca="false">IF(R252="","",IF(R252&gt;=80,"Excellent",IF(R252&gt;=60,"Bon",IF(R252&gt;=40,"Moyen","Faible"))))</f>
        <v/>
      </c>
      <c r="T252" s="113"/>
      <c r="U252" s="113"/>
      <c r="V252" s="114"/>
      <c r="W252" s="113"/>
      <c r="X252" s="113"/>
    </row>
    <row r="253" customFormat="false" ht="15" hidden="false" customHeight="true" outlineLevel="0" collapsed="false">
      <c r="A253" s="107" t="str">
        <f aca="false">IF(C253="","","OPP"&amp;TEXT(ROW()-243,"00000"))</f>
        <v/>
      </c>
      <c r="B253" s="113"/>
      <c r="C253" s="113"/>
      <c r="D253" s="113"/>
      <c r="E253" s="113"/>
      <c r="F253" s="113"/>
      <c r="G253" s="113"/>
      <c r="H253" s="113"/>
      <c r="I253" s="116"/>
      <c r="J253" s="116"/>
      <c r="K253" s="113"/>
      <c r="L253" s="117"/>
      <c r="M253" s="113"/>
      <c r="N253" s="114"/>
      <c r="O253" s="114"/>
      <c r="P253" s="113"/>
      <c r="Q253" s="113"/>
      <c r="R253" s="113"/>
      <c r="S253" s="107" t="str">
        <f aca="false">IF(R253="","",IF(R253&gt;=80,"Excellent",IF(R253&gt;=60,"Bon",IF(R253&gt;=40,"Moyen","Faible"))))</f>
        <v/>
      </c>
      <c r="T253" s="113"/>
      <c r="U253" s="113"/>
      <c r="V253" s="114"/>
      <c r="W253" s="113"/>
      <c r="X253" s="113"/>
    </row>
    <row r="254" customFormat="false" ht="15" hidden="false" customHeight="true" outlineLevel="0" collapsed="false">
      <c r="A254" s="107" t="str">
        <f aca="false">IF(C254="","","OPP"&amp;TEXT(ROW()-243,"00000"))</f>
        <v/>
      </c>
      <c r="B254" s="113"/>
      <c r="C254" s="113"/>
      <c r="D254" s="113"/>
      <c r="E254" s="113"/>
      <c r="F254" s="113"/>
      <c r="G254" s="113"/>
      <c r="H254" s="113"/>
      <c r="I254" s="116"/>
      <c r="J254" s="116"/>
      <c r="K254" s="113"/>
      <c r="L254" s="117"/>
      <c r="M254" s="113"/>
      <c r="N254" s="114"/>
      <c r="O254" s="114"/>
      <c r="P254" s="113"/>
      <c r="Q254" s="113"/>
      <c r="R254" s="113"/>
      <c r="S254" s="107" t="str">
        <f aca="false">IF(R254="","",IF(R254&gt;=80,"Excellent",IF(R254&gt;=60,"Bon",IF(R254&gt;=40,"Moyen","Faible"))))</f>
        <v/>
      </c>
      <c r="T254" s="113"/>
      <c r="U254" s="113"/>
      <c r="V254" s="114"/>
      <c r="W254" s="113"/>
      <c r="X254" s="113"/>
    </row>
    <row r="255" customFormat="false" ht="15" hidden="false" customHeight="true" outlineLevel="0" collapsed="false">
      <c r="A255" s="107" t="str">
        <f aca="false">IF(C255="","","OPP"&amp;TEXT(ROW()-243,"00000"))</f>
        <v/>
      </c>
      <c r="B255" s="113"/>
      <c r="C255" s="113"/>
      <c r="D255" s="113"/>
      <c r="E255" s="113"/>
      <c r="F255" s="113"/>
      <c r="G255" s="113"/>
      <c r="H255" s="113"/>
      <c r="I255" s="116"/>
      <c r="J255" s="116"/>
      <c r="K255" s="113"/>
      <c r="L255" s="117"/>
      <c r="M255" s="113"/>
      <c r="N255" s="114"/>
      <c r="O255" s="114"/>
      <c r="P255" s="113"/>
      <c r="Q255" s="113"/>
      <c r="R255" s="113"/>
      <c r="S255" s="107" t="str">
        <f aca="false">IF(R255="","",IF(R255&gt;=80,"Excellent",IF(R255&gt;=60,"Bon",IF(R255&gt;=40,"Moyen","Faible"))))</f>
        <v/>
      </c>
      <c r="T255" s="113"/>
      <c r="U255" s="113"/>
      <c r="V255" s="114"/>
      <c r="W255" s="113"/>
      <c r="X255" s="113"/>
    </row>
    <row r="256" customFormat="false" ht="15" hidden="false" customHeight="true" outlineLevel="0" collapsed="false">
      <c r="A256" s="107" t="str">
        <f aca="false">IF(C256="","","OPP"&amp;TEXT(ROW()-243,"00000"))</f>
        <v/>
      </c>
      <c r="B256" s="113"/>
      <c r="C256" s="113"/>
      <c r="D256" s="113"/>
      <c r="E256" s="113"/>
      <c r="F256" s="113"/>
      <c r="G256" s="113"/>
      <c r="H256" s="113"/>
      <c r="I256" s="116"/>
      <c r="J256" s="116"/>
      <c r="K256" s="113"/>
      <c r="L256" s="117"/>
      <c r="M256" s="113"/>
      <c r="N256" s="114"/>
      <c r="O256" s="114"/>
      <c r="P256" s="113"/>
      <c r="Q256" s="113"/>
      <c r="R256" s="113"/>
      <c r="S256" s="107" t="str">
        <f aca="false">IF(R256="","",IF(R256&gt;=80,"Excellent",IF(R256&gt;=60,"Bon",IF(R256&gt;=40,"Moyen","Faible"))))</f>
        <v/>
      </c>
      <c r="T256" s="113"/>
      <c r="U256" s="113"/>
      <c r="V256" s="114"/>
      <c r="W256" s="113"/>
      <c r="X256" s="113"/>
    </row>
    <row r="257" customFormat="false" ht="15" hidden="false" customHeight="true" outlineLevel="0" collapsed="false">
      <c r="A257" s="107" t="str">
        <f aca="false">IF(C257="","","OPP"&amp;TEXT(ROW()-243,"00000"))</f>
        <v/>
      </c>
      <c r="B257" s="113"/>
      <c r="C257" s="113"/>
      <c r="D257" s="113"/>
      <c r="E257" s="113"/>
      <c r="F257" s="113"/>
      <c r="G257" s="113"/>
      <c r="H257" s="113"/>
      <c r="I257" s="116"/>
      <c r="J257" s="116"/>
      <c r="K257" s="113"/>
      <c r="L257" s="117"/>
      <c r="M257" s="113"/>
      <c r="N257" s="114"/>
      <c r="O257" s="114"/>
      <c r="P257" s="113"/>
      <c r="Q257" s="113"/>
      <c r="R257" s="113"/>
      <c r="S257" s="107" t="str">
        <f aca="false">IF(R257="","",IF(R257&gt;=80,"Excellent",IF(R257&gt;=60,"Bon",IF(R257&gt;=40,"Moyen","Faible"))))</f>
        <v/>
      </c>
      <c r="T257" s="113"/>
      <c r="U257" s="113"/>
      <c r="V257" s="114"/>
      <c r="W257" s="113"/>
      <c r="X257" s="113"/>
    </row>
    <row r="258" customFormat="false" ht="15" hidden="false" customHeight="true" outlineLevel="0" collapsed="false">
      <c r="A258" s="107" t="str">
        <f aca="false">IF(C258="","","OPP"&amp;TEXT(ROW()-243,"00000"))</f>
        <v/>
      </c>
      <c r="B258" s="113"/>
      <c r="C258" s="113"/>
      <c r="D258" s="113"/>
      <c r="E258" s="113"/>
      <c r="F258" s="113"/>
      <c r="G258" s="113"/>
      <c r="H258" s="113"/>
      <c r="I258" s="116"/>
      <c r="J258" s="116"/>
      <c r="K258" s="113"/>
      <c r="L258" s="117"/>
      <c r="M258" s="113"/>
      <c r="N258" s="114"/>
      <c r="O258" s="114"/>
      <c r="P258" s="113"/>
      <c r="Q258" s="113"/>
      <c r="R258" s="113"/>
      <c r="S258" s="107" t="str">
        <f aca="false">IF(R258="","",IF(R258&gt;=80,"Excellent",IF(R258&gt;=60,"Bon",IF(R258&gt;=40,"Moyen","Faible"))))</f>
        <v/>
      </c>
      <c r="T258" s="113"/>
      <c r="U258" s="113"/>
      <c r="V258" s="114"/>
      <c r="W258" s="113"/>
      <c r="X258" s="113"/>
    </row>
    <row r="259" customFormat="false" ht="15" hidden="false" customHeight="true" outlineLevel="0" collapsed="false">
      <c r="A259" s="107" t="str">
        <f aca="false">IF(C259="","","OPP"&amp;TEXT(ROW()-243,"00000"))</f>
        <v/>
      </c>
      <c r="B259" s="113"/>
      <c r="C259" s="113"/>
      <c r="D259" s="113"/>
      <c r="E259" s="113"/>
      <c r="F259" s="113"/>
      <c r="G259" s="113"/>
      <c r="H259" s="113"/>
      <c r="I259" s="116"/>
      <c r="J259" s="116"/>
      <c r="K259" s="113"/>
      <c r="L259" s="117"/>
      <c r="M259" s="113"/>
      <c r="N259" s="114"/>
      <c r="O259" s="114"/>
      <c r="P259" s="113"/>
      <c r="Q259" s="113"/>
      <c r="R259" s="113"/>
      <c r="S259" s="107" t="str">
        <f aca="false">IF(R259="","",IF(R259&gt;=80,"Excellent",IF(R259&gt;=60,"Bon",IF(R259&gt;=40,"Moyen","Faible"))))</f>
        <v/>
      </c>
      <c r="T259" s="113"/>
      <c r="U259" s="113"/>
      <c r="V259" s="114"/>
      <c r="W259" s="113"/>
      <c r="X259" s="113"/>
    </row>
    <row r="260" customFormat="false" ht="15" hidden="false" customHeight="true" outlineLevel="0" collapsed="false">
      <c r="A260" s="107" t="str">
        <f aca="false">IF(C260="","","OPP"&amp;TEXT(ROW()-243,"00000"))</f>
        <v/>
      </c>
      <c r="B260" s="113"/>
      <c r="C260" s="113"/>
      <c r="D260" s="113"/>
      <c r="E260" s="113"/>
      <c r="F260" s="113"/>
      <c r="G260" s="113"/>
      <c r="H260" s="113"/>
      <c r="I260" s="116"/>
      <c r="J260" s="116"/>
      <c r="K260" s="113"/>
      <c r="L260" s="117"/>
      <c r="M260" s="113"/>
      <c r="N260" s="114"/>
      <c r="O260" s="114"/>
      <c r="P260" s="113"/>
      <c r="Q260" s="113"/>
      <c r="R260" s="113"/>
      <c r="S260" s="107" t="str">
        <f aca="false">IF(R260="","",IF(R260&gt;=80,"Excellent",IF(R260&gt;=60,"Bon",IF(R260&gt;=40,"Moyen","Faible"))))</f>
        <v/>
      </c>
      <c r="T260" s="113"/>
      <c r="U260" s="113"/>
      <c r="V260" s="114"/>
      <c r="W260" s="113"/>
      <c r="X260" s="113"/>
    </row>
    <row r="261" customFormat="false" ht="15" hidden="false" customHeight="true" outlineLevel="0" collapsed="false">
      <c r="A261" s="107" t="str">
        <f aca="false">IF(C261="","","OPP"&amp;TEXT(ROW()-243,"00000"))</f>
        <v/>
      </c>
      <c r="B261" s="113"/>
      <c r="C261" s="113"/>
      <c r="D261" s="113"/>
      <c r="E261" s="113"/>
      <c r="F261" s="113"/>
      <c r="G261" s="113"/>
      <c r="H261" s="113"/>
      <c r="I261" s="116"/>
      <c r="J261" s="116"/>
      <c r="K261" s="113"/>
      <c r="L261" s="117"/>
      <c r="M261" s="113"/>
      <c r="N261" s="114"/>
      <c r="O261" s="114"/>
      <c r="P261" s="113"/>
      <c r="Q261" s="113"/>
      <c r="R261" s="113"/>
      <c r="S261" s="107" t="str">
        <f aca="false">IF(R261="","",IF(R261&gt;=80,"Excellent",IF(R261&gt;=60,"Bon",IF(R261&gt;=40,"Moyen","Faible"))))</f>
        <v/>
      </c>
      <c r="T261" s="113"/>
      <c r="U261" s="113"/>
      <c r="V261" s="114"/>
      <c r="W261" s="113"/>
      <c r="X261" s="113"/>
    </row>
    <row r="262" customFormat="false" ht="15" hidden="false" customHeight="true" outlineLevel="0" collapsed="false">
      <c r="A262" s="107" t="str">
        <f aca="false">IF(C262="","","OPP"&amp;TEXT(ROW()-243,"00000"))</f>
        <v/>
      </c>
      <c r="B262" s="113"/>
      <c r="C262" s="113"/>
      <c r="D262" s="113"/>
      <c r="E262" s="113"/>
      <c r="F262" s="113"/>
      <c r="G262" s="113"/>
      <c r="H262" s="113"/>
      <c r="I262" s="116"/>
      <c r="J262" s="116"/>
      <c r="K262" s="113"/>
      <c r="L262" s="117"/>
      <c r="M262" s="113"/>
      <c r="N262" s="114"/>
      <c r="O262" s="114"/>
      <c r="P262" s="113"/>
      <c r="Q262" s="113"/>
      <c r="R262" s="113"/>
      <c r="S262" s="107" t="str">
        <f aca="false">IF(R262="","",IF(R262&gt;=80,"Excellent",IF(R262&gt;=60,"Bon",IF(R262&gt;=40,"Moyen","Faible"))))</f>
        <v/>
      </c>
      <c r="T262" s="113"/>
      <c r="U262" s="113"/>
      <c r="V262" s="114"/>
      <c r="W262" s="113"/>
      <c r="X262" s="113"/>
    </row>
    <row r="263" customFormat="false" ht="15" hidden="false" customHeight="true" outlineLevel="0" collapsed="false">
      <c r="A263" s="107" t="str">
        <f aca="false">IF(C263="","","OPP"&amp;TEXT(ROW()-243,"00000"))</f>
        <v/>
      </c>
      <c r="B263" s="113"/>
      <c r="C263" s="113"/>
      <c r="D263" s="113"/>
      <c r="E263" s="113"/>
      <c r="F263" s="113"/>
      <c r="G263" s="113"/>
      <c r="H263" s="113"/>
      <c r="I263" s="116"/>
      <c r="J263" s="116"/>
      <c r="K263" s="113"/>
      <c r="L263" s="117"/>
      <c r="M263" s="113"/>
      <c r="N263" s="114"/>
      <c r="O263" s="114"/>
      <c r="P263" s="113"/>
      <c r="Q263" s="113"/>
      <c r="R263" s="113"/>
      <c r="S263" s="107" t="str">
        <f aca="false">IF(R263="","",IF(R263&gt;=80,"Excellent",IF(R263&gt;=60,"Bon",IF(R263&gt;=40,"Moyen","Faible"))))</f>
        <v/>
      </c>
      <c r="T263" s="113"/>
      <c r="U263" s="113"/>
      <c r="V263" s="114"/>
      <c r="W263" s="113"/>
      <c r="X263" s="113"/>
    </row>
    <row r="264" customFormat="false" ht="15" hidden="false" customHeight="true" outlineLevel="0" collapsed="false">
      <c r="A264" s="107" t="str">
        <f aca="false">IF(C264="","","OPP"&amp;TEXT(ROW()-243,"00000"))</f>
        <v/>
      </c>
      <c r="B264" s="113"/>
      <c r="C264" s="113"/>
      <c r="D264" s="113"/>
      <c r="E264" s="113"/>
      <c r="F264" s="113"/>
      <c r="G264" s="113"/>
      <c r="H264" s="113"/>
      <c r="I264" s="116"/>
      <c r="J264" s="116"/>
      <c r="K264" s="113"/>
      <c r="L264" s="117"/>
      <c r="M264" s="113"/>
      <c r="N264" s="114"/>
      <c r="O264" s="114"/>
      <c r="P264" s="113"/>
      <c r="Q264" s="113"/>
      <c r="R264" s="113"/>
      <c r="S264" s="107" t="str">
        <f aca="false">IF(R264="","",IF(R264&gt;=80,"Excellent",IF(R264&gt;=60,"Bon",IF(R264&gt;=40,"Moyen","Faible"))))</f>
        <v/>
      </c>
      <c r="T264" s="113"/>
      <c r="U264" s="113"/>
      <c r="V264" s="114"/>
      <c r="W264" s="113"/>
      <c r="X264" s="113"/>
    </row>
    <row r="265" customFormat="false" ht="15" hidden="false" customHeight="true" outlineLevel="0" collapsed="false">
      <c r="A265" s="107" t="str">
        <f aca="false">IF(C265="","","OPP"&amp;TEXT(ROW()-243,"00000"))</f>
        <v/>
      </c>
      <c r="B265" s="113"/>
      <c r="C265" s="113"/>
      <c r="D265" s="113"/>
      <c r="E265" s="113"/>
      <c r="F265" s="113"/>
      <c r="G265" s="113"/>
      <c r="H265" s="113"/>
      <c r="I265" s="116"/>
      <c r="J265" s="116"/>
      <c r="K265" s="113"/>
      <c r="L265" s="117"/>
      <c r="M265" s="113"/>
      <c r="N265" s="114"/>
      <c r="O265" s="114"/>
      <c r="P265" s="113"/>
      <c r="Q265" s="113"/>
      <c r="R265" s="113"/>
      <c r="S265" s="107" t="str">
        <f aca="false">IF(R265="","",IF(R265&gt;=80,"Excellent",IF(R265&gt;=60,"Bon",IF(R265&gt;=40,"Moyen","Faible"))))</f>
        <v/>
      </c>
      <c r="T265" s="113"/>
      <c r="U265" s="113"/>
      <c r="V265" s="114"/>
      <c r="W265" s="113"/>
      <c r="X265" s="113"/>
    </row>
    <row r="266" customFormat="false" ht="15" hidden="false" customHeight="true" outlineLevel="0" collapsed="false">
      <c r="A266" s="107" t="str">
        <f aca="false">IF(C266="","","OPP"&amp;TEXT(ROW()-243,"00000"))</f>
        <v/>
      </c>
      <c r="B266" s="113"/>
      <c r="C266" s="113"/>
      <c r="D266" s="113"/>
      <c r="E266" s="113"/>
      <c r="F266" s="113"/>
      <c r="G266" s="113"/>
      <c r="H266" s="113"/>
      <c r="I266" s="116"/>
      <c r="J266" s="116"/>
      <c r="K266" s="113"/>
      <c r="L266" s="117"/>
      <c r="M266" s="113"/>
      <c r="N266" s="114"/>
      <c r="O266" s="114"/>
      <c r="P266" s="113"/>
      <c r="Q266" s="113"/>
      <c r="R266" s="113"/>
      <c r="S266" s="107" t="str">
        <f aca="false">IF(R266="","",IF(R266&gt;=80,"Excellent",IF(R266&gt;=60,"Bon",IF(R266&gt;=40,"Moyen","Faible"))))</f>
        <v/>
      </c>
      <c r="T266" s="113"/>
      <c r="U266" s="113"/>
      <c r="V266" s="114"/>
      <c r="W266" s="113"/>
      <c r="X266" s="113"/>
    </row>
    <row r="267" customFormat="false" ht="15" hidden="false" customHeight="true" outlineLevel="0" collapsed="false">
      <c r="A267" s="107" t="str">
        <f aca="false">IF(C267="","","OPP"&amp;TEXT(ROW()-243,"00000"))</f>
        <v/>
      </c>
      <c r="B267" s="113"/>
      <c r="C267" s="113"/>
      <c r="D267" s="113"/>
      <c r="E267" s="113"/>
      <c r="F267" s="113"/>
      <c r="G267" s="113"/>
      <c r="H267" s="113"/>
      <c r="I267" s="116"/>
      <c r="J267" s="116"/>
      <c r="K267" s="113"/>
      <c r="L267" s="117"/>
      <c r="M267" s="113"/>
      <c r="N267" s="114"/>
      <c r="O267" s="114"/>
      <c r="P267" s="113"/>
      <c r="Q267" s="113"/>
      <c r="R267" s="113"/>
      <c r="S267" s="107" t="str">
        <f aca="false">IF(R267="","",IF(R267&gt;=80,"Excellent",IF(R267&gt;=60,"Bon",IF(R267&gt;=40,"Moyen","Faible"))))</f>
        <v/>
      </c>
      <c r="T267" s="113"/>
      <c r="U267" s="113"/>
      <c r="V267" s="114"/>
      <c r="W267" s="113"/>
      <c r="X267" s="113"/>
    </row>
    <row r="268" customFormat="false" ht="15" hidden="false" customHeight="true" outlineLevel="0" collapsed="false">
      <c r="A268" s="107" t="str">
        <f aca="false">IF(C268="","","OPP"&amp;TEXT(ROW()-243,"00000"))</f>
        <v/>
      </c>
      <c r="B268" s="113"/>
      <c r="C268" s="113"/>
      <c r="D268" s="113"/>
      <c r="E268" s="113"/>
      <c r="F268" s="113"/>
      <c r="G268" s="113"/>
      <c r="H268" s="113"/>
      <c r="I268" s="116"/>
      <c r="J268" s="116"/>
      <c r="K268" s="113"/>
      <c r="L268" s="117"/>
      <c r="M268" s="113"/>
      <c r="N268" s="114"/>
      <c r="O268" s="114"/>
      <c r="P268" s="113"/>
      <c r="Q268" s="113"/>
      <c r="R268" s="113"/>
      <c r="S268" s="107" t="str">
        <f aca="false">IF(R268="","",IF(R268&gt;=80,"Excellent",IF(R268&gt;=60,"Bon",IF(R268&gt;=40,"Moyen","Faible"))))</f>
        <v/>
      </c>
      <c r="T268" s="113"/>
      <c r="U268" s="113"/>
      <c r="V268" s="114"/>
      <c r="W268" s="113"/>
      <c r="X268" s="113"/>
    </row>
    <row r="269" customFormat="false" ht="15" hidden="false" customHeight="true" outlineLevel="0" collapsed="false">
      <c r="A269" s="107" t="str">
        <f aca="false">IF(C269="","","OPP"&amp;TEXT(ROW()-243,"00000"))</f>
        <v/>
      </c>
      <c r="B269" s="113"/>
      <c r="C269" s="113"/>
      <c r="D269" s="113"/>
      <c r="E269" s="113"/>
      <c r="F269" s="113"/>
      <c r="G269" s="113"/>
      <c r="H269" s="113"/>
      <c r="I269" s="116"/>
      <c r="J269" s="116"/>
      <c r="K269" s="113"/>
      <c r="L269" s="117"/>
      <c r="M269" s="113"/>
      <c r="N269" s="114"/>
      <c r="O269" s="114"/>
      <c r="P269" s="113"/>
      <c r="Q269" s="113"/>
      <c r="R269" s="113"/>
      <c r="S269" s="107" t="str">
        <f aca="false">IF(R269="","",IF(R269&gt;=80,"Excellent",IF(R269&gt;=60,"Bon",IF(R269&gt;=40,"Moyen","Faible"))))</f>
        <v/>
      </c>
      <c r="T269" s="113"/>
      <c r="U269" s="113"/>
      <c r="V269" s="114"/>
      <c r="W269" s="113"/>
      <c r="X269" s="113"/>
    </row>
    <row r="270" customFormat="false" ht="15" hidden="false" customHeight="true" outlineLevel="0" collapsed="false">
      <c r="A270" s="107" t="str">
        <f aca="false">IF(C270="","","OPP"&amp;TEXT(ROW()-243,"00000"))</f>
        <v/>
      </c>
      <c r="B270" s="113"/>
      <c r="C270" s="113"/>
      <c r="D270" s="113"/>
      <c r="E270" s="113"/>
      <c r="F270" s="113"/>
      <c r="G270" s="113"/>
      <c r="H270" s="113"/>
      <c r="I270" s="116"/>
      <c r="J270" s="116"/>
      <c r="K270" s="113"/>
      <c r="L270" s="117"/>
      <c r="M270" s="113"/>
      <c r="N270" s="114"/>
      <c r="O270" s="114"/>
      <c r="P270" s="113"/>
      <c r="Q270" s="113"/>
      <c r="R270" s="113"/>
      <c r="S270" s="107" t="str">
        <f aca="false">IF(R270="","",IF(R270&gt;=80,"Excellent",IF(R270&gt;=60,"Bon",IF(R270&gt;=40,"Moyen","Faible"))))</f>
        <v/>
      </c>
      <c r="T270" s="113"/>
      <c r="U270" s="113"/>
      <c r="V270" s="114"/>
      <c r="W270" s="113"/>
      <c r="X270" s="113"/>
    </row>
    <row r="271" customFormat="false" ht="15" hidden="false" customHeight="true" outlineLevel="0" collapsed="false">
      <c r="A271" s="107" t="str">
        <f aca="false">IF(C271="","","OPP"&amp;TEXT(ROW()-243,"00000"))</f>
        <v/>
      </c>
      <c r="B271" s="113"/>
      <c r="C271" s="113"/>
      <c r="D271" s="113"/>
      <c r="E271" s="113"/>
      <c r="F271" s="113"/>
      <c r="G271" s="113"/>
      <c r="H271" s="113"/>
      <c r="I271" s="116"/>
      <c r="J271" s="116"/>
      <c r="K271" s="113"/>
      <c r="L271" s="117"/>
      <c r="M271" s="113"/>
      <c r="N271" s="114"/>
      <c r="O271" s="114"/>
      <c r="P271" s="113"/>
      <c r="Q271" s="113"/>
      <c r="R271" s="113"/>
      <c r="S271" s="107" t="str">
        <f aca="false">IF(R271="","",IF(R271&gt;=80,"Excellent",IF(R271&gt;=60,"Bon",IF(R271&gt;=40,"Moyen","Faible"))))</f>
        <v/>
      </c>
      <c r="T271" s="113"/>
      <c r="U271" s="113"/>
      <c r="V271" s="114"/>
      <c r="W271" s="113"/>
      <c r="X271" s="113"/>
    </row>
    <row r="272" customFormat="false" ht="15" hidden="false" customHeight="true" outlineLevel="0" collapsed="false">
      <c r="A272" s="107" t="str">
        <f aca="false">IF(C272="","","OPP"&amp;TEXT(ROW()-243,"00000"))</f>
        <v/>
      </c>
      <c r="B272" s="113"/>
      <c r="C272" s="113"/>
      <c r="D272" s="113"/>
      <c r="E272" s="113"/>
      <c r="F272" s="113"/>
      <c r="G272" s="113"/>
      <c r="H272" s="113"/>
      <c r="I272" s="116"/>
      <c r="J272" s="116"/>
      <c r="K272" s="113"/>
      <c r="L272" s="117"/>
      <c r="M272" s="113"/>
      <c r="N272" s="114"/>
      <c r="O272" s="114"/>
      <c r="P272" s="113"/>
      <c r="Q272" s="113"/>
      <c r="R272" s="113"/>
      <c r="S272" s="107" t="str">
        <f aca="false">IF(R272="","",IF(R272&gt;=80,"Excellent",IF(R272&gt;=60,"Bon",IF(R272&gt;=40,"Moyen","Faible"))))</f>
        <v/>
      </c>
      <c r="T272" s="113"/>
      <c r="U272" s="113"/>
      <c r="V272" s="114"/>
      <c r="W272" s="113"/>
      <c r="X272" s="113"/>
    </row>
    <row r="273" customFormat="false" ht="15" hidden="false" customHeight="true" outlineLevel="0" collapsed="false">
      <c r="A273" s="107" t="str">
        <f aca="false">IF(C273="","","OPP"&amp;TEXT(ROW()-243,"00000"))</f>
        <v/>
      </c>
      <c r="B273" s="113"/>
      <c r="C273" s="113"/>
      <c r="D273" s="113"/>
      <c r="E273" s="113"/>
      <c r="F273" s="113"/>
      <c r="G273" s="113"/>
      <c r="H273" s="113"/>
      <c r="I273" s="116"/>
      <c r="J273" s="116"/>
      <c r="K273" s="113"/>
      <c r="L273" s="117"/>
      <c r="M273" s="113"/>
      <c r="N273" s="114"/>
      <c r="O273" s="114"/>
      <c r="P273" s="113"/>
      <c r="Q273" s="113"/>
      <c r="R273" s="113"/>
      <c r="S273" s="107" t="str">
        <f aca="false">IF(R273="","",IF(R273&gt;=80,"Excellent",IF(R273&gt;=60,"Bon",IF(R273&gt;=40,"Moyen","Faible"))))</f>
        <v/>
      </c>
      <c r="T273" s="113"/>
      <c r="U273" s="113"/>
      <c r="V273" s="114"/>
      <c r="W273" s="113"/>
      <c r="X273" s="113"/>
    </row>
    <row r="274" customFormat="false" ht="15" hidden="false" customHeight="true" outlineLevel="0" collapsed="false">
      <c r="A274" s="107" t="str">
        <f aca="false">IF(C274="","","OPP"&amp;TEXT(ROW()-243,"00000"))</f>
        <v/>
      </c>
      <c r="B274" s="113"/>
      <c r="C274" s="113"/>
      <c r="D274" s="113"/>
      <c r="E274" s="113"/>
      <c r="F274" s="113"/>
      <c r="G274" s="113"/>
      <c r="H274" s="113"/>
      <c r="I274" s="116"/>
      <c r="J274" s="116"/>
      <c r="K274" s="113"/>
      <c r="L274" s="117"/>
      <c r="M274" s="113"/>
      <c r="N274" s="114"/>
      <c r="O274" s="114"/>
      <c r="P274" s="113"/>
      <c r="Q274" s="113"/>
      <c r="R274" s="113"/>
      <c r="S274" s="107" t="str">
        <f aca="false">IF(R274="","",IF(R274&gt;=80,"Excellent",IF(R274&gt;=60,"Bon",IF(R274&gt;=40,"Moyen","Faible"))))</f>
        <v/>
      </c>
      <c r="T274" s="113"/>
      <c r="U274" s="113"/>
      <c r="V274" s="114"/>
      <c r="W274" s="113"/>
      <c r="X274" s="113"/>
    </row>
    <row r="275" customFormat="false" ht="15" hidden="false" customHeight="true" outlineLevel="0" collapsed="false">
      <c r="A275" s="107" t="str">
        <f aca="false">IF(C275="","","OPP"&amp;TEXT(ROW()-243,"00000"))</f>
        <v/>
      </c>
      <c r="B275" s="113"/>
      <c r="C275" s="113"/>
      <c r="D275" s="113"/>
      <c r="E275" s="113"/>
      <c r="F275" s="113"/>
      <c r="G275" s="113"/>
      <c r="H275" s="113"/>
      <c r="I275" s="116"/>
      <c r="J275" s="116"/>
      <c r="K275" s="113"/>
      <c r="L275" s="117"/>
      <c r="M275" s="113"/>
      <c r="N275" s="114"/>
      <c r="O275" s="114"/>
      <c r="P275" s="113"/>
      <c r="Q275" s="113"/>
      <c r="R275" s="113"/>
      <c r="S275" s="107" t="str">
        <f aca="false">IF(R275="","",IF(R275&gt;=80,"Excellent",IF(R275&gt;=60,"Bon",IF(R275&gt;=40,"Moyen","Faible"))))</f>
        <v/>
      </c>
      <c r="T275" s="113"/>
      <c r="U275" s="113"/>
      <c r="V275" s="114"/>
      <c r="W275" s="113"/>
      <c r="X275" s="113"/>
    </row>
    <row r="276" customFormat="false" ht="15" hidden="false" customHeight="true" outlineLevel="0" collapsed="false">
      <c r="A276" s="107" t="str">
        <f aca="false">IF(C276="","","OPP"&amp;TEXT(ROW()-243,"00000"))</f>
        <v/>
      </c>
      <c r="B276" s="113"/>
      <c r="C276" s="113"/>
      <c r="D276" s="113"/>
      <c r="E276" s="113"/>
      <c r="F276" s="113"/>
      <c r="G276" s="113"/>
      <c r="H276" s="113"/>
      <c r="I276" s="116"/>
      <c r="J276" s="116"/>
      <c r="K276" s="113"/>
      <c r="L276" s="117"/>
      <c r="M276" s="113"/>
      <c r="N276" s="114"/>
      <c r="O276" s="114"/>
      <c r="P276" s="113"/>
      <c r="Q276" s="113"/>
      <c r="R276" s="113"/>
      <c r="S276" s="107" t="str">
        <f aca="false">IF(R276="","",IF(R276&gt;=80,"Excellent",IF(R276&gt;=60,"Bon",IF(R276&gt;=40,"Moyen","Faible"))))</f>
        <v/>
      </c>
      <c r="T276" s="113"/>
      <c r="U276" s="113"/>
      <c r="V276" s="114"/>
      <c r="W276" s="113"/>
      <c r="X276" s="113"/>
    </row>
    <row r="277" customFormat="false" ht="15" hidden="false" customHeight="true" outlineLevel="0" collapsed="false">
      <c r="A277" s="107" t="str">
        <f aca="false">IF(C277="","","OPP"&amp;TEXT(ROW()-243,"00000"))</f>
        <v/>
      </c>
      <c r="B277" s="113"/>
      <c r="C277" s="113"/>
      <c r="D277" s="113"/>
      <c r="E277" s="113"/>
      <c r="F277" s="113"/>
      <c r="G277" s="113"/>
      <c r="H277" s="113"/>
      <c r="I277" s="116"/>
      <c r="J277" s="116"/>
      <c r="K277" s="113"/>
      <c r="L277" s="117"/>
      <c r="M277" s="113"/>
      <c r="N277" s="114"/>
      <c r="O277" s="114"/>
      <c r="P277" s="113"/>
      <c r="Q277" s="113"/>
      <c r="R277" s="113"/>
      <c r="S277" s="107" t="str">
        <f aca="false">IF(R277="","",IF(R277&gt;=80,"Excellent",IF(R277&gt;=60,"Bon",IF(R277&gt;=40,"Moyen","Faible"))))</f>
        <v/>
      </c>
      <c r="T277" s="113"/>
      <c r="U277" s="113"/>
      <c r="V277" s="114"/>
      <c r="W277" s="113"/>
      <c r="X277" s="113"/>
    </row>
    <row r="278" customFormat="false" ht="15" hidden="false" customHeight="true" outlineLevel="0" collapsed="false">
      <c r="A278" s="107" t="str">
        <f aca="false">IF(C278="","","OPP"&amp;TEXT(ROW()-243,"00000"))</f>
        <v/>
      </c>
      <c r="B278" s="113"/>
      <c r="C278" s="113"/>
      <c r="D278" s="113"/>
      <c r="E278" s="113"/>
      <c r="F278" s="113"/>
      <c r="G278" s="113"/>
      <c r="H278" s="113"/>
      <c r="I278" s="116"/>
      <c r="J278" s="116"/>
      <c r="K278" s="113"/>
      <c r="L278" s="117"/>
      <c r="M278" s="113"/>
      <c r="N278" s="114"/>
      <c r="O278" s="114"/>
      <c r="P278" s="113"/>
      <c r="Q278" s="113"/>
      <c r="R278" s="113"/>
      <c r="S278" s="107" t="str">
        <f aca="false">IF(R278="","",IF(R278&gt;=80,"Excellent",IF(R278&gt;=60,"Bon",IF(R278&gt;=40,"Moyen","Faible"))))</f>
        <v/>
      </c>
      <c r="T278" s="113"/>
      <c r="U278" s="113"/>
      <c r="V278" s="114"/>
      <c r="W278" s="113"/>
      <c r="X278" s="113"/>
    </row>
    <row r="279" customFormat="false" ht="15" hidden="false" customHeight="true" outlineLevel="0" collapsed="false">
      <c r="A279" s="107" t="str">
        <f aca="false">IF(C279="","","OPP"&amp;TEXT(ROW()-243,"00000"))</f>
        <v/>
      </c>
      <c r="B279" s="113"/>
      <c r="C279" s="113"/>
      <c r="D279" s="113"/>
      <c r="E279" s="113"/>
      <c r="F279" s="113"/>
      <c r="G279" s="113"/>
      <c r="H279" s="113"/>
      <c r="I279" s="116"/>
      <c r="J279" s="116"/>
      <c r="K279" s="113"/>
      <c r="L279" s="117"/>
      <c r="M279" s="113"/>
      <c r="N279" s="114"/>
      <c r="O279" s="114"/>
      <c r="P279" s="113"/>
      <c r="Q279" s="113"/>
      <c r="R279" s="113"/>
      <c r="S279" s="107" t="str">
        <f aca="false">IF(R279="","",IF(R279&gt;=80,"Excellent",IF(R279&gt;=60,"Bon",IF(R279&gt;=40,"Moyen","Faible"))))</f>
        <v/>
      </c>
      <c r="T279" s="113"/>
      <c r="U279" s="113"/>
      <c r="V279" s="114"/>
      <c r="W279" s="113"/>
      <c r="X279" s="113"/>
    </row>
    <row r="280" customFormat="false" ht="15" hidden="false" customHeight="true" outlineLevel="0" collapsed="false">
      <c r="A280" s="107" t="str">
        <f aca="false">IF(C280="","","OPP"&amp;TEXT(ROW()-243,"00000"))</f>
        <v/>
      </c>
      <c r="B280" s="113"/>
      <c r="C280" s="113"/>
      <c r="D280" s="113"/>
      <c r="E280" s="113"/>
      <c r="F280" s="113"/>
      <c r="G280" s="113"/>
      <c r="H280" s="113"/>
      <c r="I280" s="116"/>
      <c r="J280" s="116"/>
      <c r="K280" s="113"/>
      <c r="L280" s="117"/>
      <c r="M280" s="113"/>
      <c r="N280" s="114"/>
      <c r="O280" s="114"/>
      <c r="P280" s="113"/>
      <c r="Q280" s="113"/>
      <c r="R280" s="113"/>
      <c r="S280" s="107" t="str">
        <f aca="false">IF(R280="","",IF(R280&gt;=80,"Excellent",IF(R280&gt;=60,"Bon",IF(R280&gt;=40,"Moyen","Faible"))))</f>
        <v/>
      </c>
      <c r="T280" s="113"/>
      <c r="U280" s="113"/>
      <c r="V280" s="114"/>
      <c r="W280" s="113"/>
      <c r="X280" s="113"/>
    </row>
    <row r="281" customFormat="false" ht="15" hidden="false" customHeight="true" outlineLevel="0" collapsed="false">
      <c r="A281" s="107" t="str">
        <f aca="false">IF(C281="","","OPP"&amp;TEXT(ROW()-243,"00000"))</f>
        <v/>
      </c>
      <c r="B281" s="113"/>
      <c r="C281" s="113"/>
      <c r="D281" s="113"/>
      <c r="E281" s="113"/>
      <c r="F281" s="113"/>
      <c r="G281" s="113"/>
      <c r="H281" s="113"/>
      <c r="I281" s="116"/>
      <c r="J281" s="116"/>
      <c r="K281" s="113"/>
      <c r="L281" s="117"/>
      <c r="M281" s="113"/>
      <c r="N281" s="114"/>
      <c r="O281" s="114"/>
      <c r="P281" s="113"/>
      <c r="Q281" s="113"/>
      <c r="R281" s="113"/>
      <c r="S281" s="107" t="str">
        <f aca="false">IF(R281="","",IF(R281&gt;=80,"Excellent",IF(R281&gt;=60,"Bon",IF(R281&gt;=40,"Moyen","Faible"))))</f>
        <v/>
      </c>
      <c r="T281" s="113"/>
      <c r="U281" s="113"/>
      <c r="V281" s="114"/>
      <c r="W281" s="113"/>
      <c r="X281" s="113"/>
    </row>
    <row r="282" customFormat="false" ht="15" hidden="false" customHeight="true" outlineLevel="0" collapsed="false">
      <c r="A282" s="107" t="str">
        <f aca="false">IF(C282="","","OPP"&amp;TEXT(ROW()-243,"00000"))</f>
        <v/>
      </c>
      <c r="B282" s="113"/>
      <c r="C282" s="113"/>
      <c r="D282" s="113"/>
      <c r="E282" s="113"/>
      <c r="F282" s="113"/>
      <c r="G282" s="113"/>
      <c r="H282" s="113"/>
      <c r="I282" s="116"/>
      <c r="J282" s="116"/>
      <c r="K282" s="113"/>
      <c r="L282" s="117"/>
      <c r="M282" s="113"/>
      <c r="N282" s="114"/>
      <c r="O282" s="114"/>
      <c r="P282" s="113"/>
      <c r="Q282" s="113"/>
      <c r="R282" s="113"/>
      <c r="S282" s="107" t="str">
        <f aca="false">IF(R282="","",IF(R282&gt;=80,"Excellent",IF(R282&gt;=60,"Bon",IF(R282&gt;=40,"Moyen","Faible"))))</f>
        <v/>
      </c>
      <c r="T282" s="113"/>
      <c r="U282" s="113"/>
      <c r="V282" s="114"/>
      <c r="W282" s="113"/>
      <c r="X282" s="113"/>
    </row>
    <row r="283" customFormat="false" ht="15" hidden="false" customHeight="true" outlineLevel="0" collapsed="false">
      <c r="A283" s="107" t="str">
        <f aca="false">IF(C283="","","OPP"&amp;TEXT(ROW()-243,"00000"))</f>
        <v/>
      </c>
      <c r="B283" s="113"/>
      <c r="C283" s="113"/>
      <c r="D283" s="113"/>
      <c r="E283" s="113"/>
      <c r="F283" s="113"/>
      <c r="G283" s="113"/>
      <c r="H283" s="113"/>
      <c r="I283" s="116"/>
      <c r="J283" s="116"/>
      <c r="K283" s="113"/>
      <c r="L283" s="117"/>
      <c r="M283" s="113"/>
      <c r="N283" s="114"/>
      <c r="O283" s="114"/>
      <c r="P283" s="113"/>
      <c r="Q283" s="113"/>
      <c r="R283" s="113"/>
      <c r="S283" s="107" t="str">
        <f aca="false">IF(R283="","",IF(R283&gt;=80,"Excellent",IF(R283&gt;=60,"Bon",IF(R283&gt;=40,"Moyen","Faible"))))</f>
        <v/>
      </c>
      <c r="T283" s="113"/>
      <c r="U283" s="113"/>
      <c r="V283" s="114"/>
      <c r="W283" s="113"/>
      <c r="X283" s="113"/>
    </row>
    <row r="284" customFormat="false" ht="15" hidden="false" customHeight="true" outlineLevel="0" collapsed="false">
      <c r="A284" s="107" t="str">
        <f aca="false">IF(C284="","","OPP"&amp;TEXT(ROW()-243,"00000"))</f>
        <v/>
      </c>
      <c r="B284" s="113"/>
      <c r="C284" s="113"/>
      <c r="D284" s="113"/>
      <c r="E284" s="113"/>
      <c r="F284" s="113"/>
      <c r="G284" s="113"/>
      <c r="H284" s="113"/>
      <c r="I284" s="116"/>
      <c r="J284" s="116"/>
      <c r="K284" s="113"/>
      <c r="L284" s="117"/>
      <c r="M284" s="113"/>
      <c r="N284" s="114"/>
      <c r="O284" s="114"/>
      <c r="P284" s="113"/>
      <c r="Q284" s="113"/>
      <c r="R284" s="113"/>
      <c r="S284" s="107" t="str">
        <f aca="false">IF(R284="","",IF(R284&gt;=80,"Excellent",IF(R284&gt;=60,"Bon",IF(R284&gt;=40,"Moyen","Faible"))))</f>
        <v/>
      </c>
      <c r="T284" s="113"/>
      <c r="U284" s="113"/>
      <c r="V284" s="114"/>
      <c r="W284" s="113"/>
      <c r="X284" s="113"/>
    </row>
    <row r="285" customFormat="false" ht="15" hidden="false" customHeight="true" outlineLevel="0" collapsed="false">
      <c r="A285" s="107" t="str">
        <f aca="false">IF(C285="","","OPP"&amp;TEXT(ROW()-243,"00000"))</f>
        <v/>
      </c>
      <c r="B285" s="113"/>
      <c r="C285" s="113"/>
      <c r="D285" s="113"/>
      <c r="E285" s="113"/>
      <c r="F285" s="113"/>
      <c r="G285" s="113"/>
      <c r="H285" s="113"/>
      <c r="I285" s="116"/>
      <c r="J285" s="116"/>
      <c r="K285" s="113"/>
      <c r="L285" s="117"/>
      <c r="M285" s="113"/>
      <c r="N285" s="114"/>
      <c r="O285" s="114"/>
      <c r="P285" s="113"/>
      <c r="Q285" s="113"/>
      <c r="R285" s="113"/>
      <c r="S285" s="107" t="str">
        <f aca="false">IF(R285="","",IF(R285&gt;=80,"Excellent",IF(R285&gt;=60,"Bon",IF(R285&gt;=40,"Moyen","Faible"))))</f>
        <v/>
      </c>
      <c r="T285" s="113"/>
      <c r="U285" s="113"/>
      <c r="V285" s="114"/>
      <c r="W285" s="113"/>
      <c r="X285" s="113"/>
    </row>
    <row r="286" customFormat="false" ht="15" hidden="false" customHeight="true" outlineLevel="0" collapsed="false">
      <c r="A286" s="107" t="str">
        <f aca="false">IF(C286="","","OPP"&amp;TEXT(ROW()-243,"00000"))</f>
        <v/>
      </c>
      <c r="B286" s="113"/>
      <c r="C286" s="113"/>
      <c r="D286" s="113"/>
      <c r="E286" s="113"/>
      <c r="F286" s="113"/>
      <c r="G286" s="113"/>
      <c r="H286" s="113"/>
      <c r="I286" s="116"/>
      <c r="J286" s="116"/>
      <c r="K286" s="113"/>
      <c r="L286" s="117"/>
      <c r="M286" s="113"/>
      <c r="N286" s="114"/>
      <c r="O286" s="114"/>
      <c r="P286" s="113"/>
      <c r="Q286" s="113"/>
      <c r="R286" s="113"/>
      <c r="S286" s="107" t="str">
        <f aca="false">IF(R286="","",IF(R286&gt;=80,"Excellent",IF(R286&gt;=60,"Bon",IF(R286&gt;=40,"Moyen","Faible"))))</f>
        <v/>
      </c>
      <c r="T286" s="113"/>
      <c r="U286" s="113"/>
      <c r="V286" s="114"/>
      <c r="W286" s="113"/>
      <c r="X286" s="113"/>
    </row>
    <row r="287" customFormat="false" ht="15" hidden="false" customHeight="true" outlineLevel="0" collapsed="false">
      <c r="A287" s="107" t="str">
        <f aca="false">IF(C287="","","OPP"&amp;TEXT(ROW()-243,"00000"))</f>
        <v/>
      </c>
      <c r="B287" s="113"/>
      <c r="C287" s="113"/>
      <c r="D287" s="113"/>
      <c r="E287" s="113"/>
      <c r="F287" s="113"/>
      <c r="G287" s="113"/>
      <c r="H287" s="113"/>
      <c r="I287" s="116"/>
      <c r="J287" s="116"/>
      <c r="K287" s="113"/>
      <c r="L287" s="117"/>
      <c r="M287" s="113"/>
      <c r="N287" s="114"/>
      <c r="O287" s="114"/>
      <c r="P287" s="113"/>
      <c r="Q287" s="113"/>
      <c r="R287" s="113"/>
      <c r="S287" s="107" t="str">
        <f aca="false">IF(R287="","",IF(R287&gt;=80,"Excellent",IF(R287&gt;=60,"Bon",IF(R287&gt;=40,"Moyen","Faible"))))</f>
        <v/>
      </c>
      <c r="T287" s="113"/>
      <c r="U287" s="113"/>
      <c r="V287" s="114"/>
      <c r="W287" s="113"/>
      <c r="X287" s="113"/>
    </row>
    <row r="288" customFormat="false" ht="15" hidden="false" customHeight="true" outlineLevel="0" collapsed="false">
      <c r="A288" s="107" t="str">
        <f aca="false">IF(C288="","","OPP"&amp;TEXT(ROW()-243,"00000"))</f>
        <v/>
      </c>
      <c r="B288" s="113"/>
      <c r="C288" s="113"/>
      <c r="D288" s="113"/>
      <c r="E288" s="113"/>
      <c r="F288" s="113"/>
      <c r="G288" s="113"/>
      <c r="H288" s="113"/>
      <c r="I288" s="116"/>
      <c r="J288" s="116"/>
      <c r="K288" s="113"/>
      <c r="L288" s="117"/>
      <c r="M288" s="113"/>
      <c r="N288" s="114"/>
      <c r="O288" s="114"/>
      <c r="P288" s="113"/>
      <c r="Q288" s="113"/>
      <c r="R288" s="113"/>
      <c r="S288" s="107" t="str">
        <f aca="false">IF(R288="","",IF(R288&gt;=80,"Excellent",IF(R288&gt;=60,"Bon",IF(R288&gt;=40,"Moyen","Faible"))))</f>
        <v/>
      </c>
      <c r="T288" s="113"/>
      <c r="U288" s="113"/>
      <c r="V288" s="114"/>
      <c r="W288" s="113"/>
      <c r="X288" s="113"/>
    </row>
    <row r="289" customFormat="false" ht="15" hidden="false" customHeight="true" outlineLevel="0" collapsed="false">
      <c r="A289" s="107" t="str">
        <f aca="false">IF(C289="","","OPP"&amp;TEXT(ROW()-243,"00000"))</f>
        <v/>
      </c>
      <c r="B289" s="113"/>
      <c r="C289" s="113"/>
      <c r="D289" s="113"/>
      <c r="E289" s="113"/>
      <c r="F289" s="113"/>
      <c r="G289" s="113"/>
      <c r="H289" s="113"/>
      <c r="I289" s="116"/>
      <c r="J289" s="116"/>
      <c r="K289" s="113"/>
      <c r="L289" s="117"/>
      <c r="M289" s="113"/>
      <c r="N289" s="114"/>
      <c r="O289" s="114"/>
      <c r="P289" s="113"/>
      <c r="Q289" s="113"/>
      <c r="R289" s="113"/>
      <c r="S289" s="107" t="str">
        <f aca="false">IF(R289="","",IF(R289&gt;=80,"Excellent",IF(R289&gt;=60,"Bon",IF(R289&gt;=40,"Moyen","Faible"))))</f>
        <v/>
      </c>
      <c r="T289" s="113"/>
      <c r="U289" s="113"/>
      <c r="V289" s="114"/>
      <c r="W289" s="113"/>
      <c r="X289" s="113"/>
    </row>
    <row r="290" customFormat="false" ht="15" hidden="false" customHeight="true" outlineLevel="0" collapsed="false">
      <c r="A290" s="107" t="str">
        <f aca="false">IF(C290="","","OPP"&amp;TEXT(ROW()-243,"00000"))</f>
        <v/>
      </c>
      <c r="B290" s="113"/>
      <c r="C290" s="113"/>
      <c r="D290" s="113"/>
      <c r="E290" s="113"/>
      <c r="F290" s="113"/>
      <c r="G290" s="113"/>
      <c r="H290" s="113"/>
      <c r="I290" s="116"/>
      <c r="J290" s="116"/>
      <c r="K290" s="113"/>
      <c r="L290" s="117"/>
      <c r="M290" s="113"/>
      <c r="N290" s="114"/>
      <c r="O290" s="114"/>
      <c r="P290" s="113"/>
      <c r="Q290" s="113"/>
      <c r="R290" s="113"/>
      <c r="S290" s="107" t="str">
        <f aca="false">IF(R290="","",IF(R290&gt;=80,"Excellent",IF(R290&gt;=60,"Bon",IF(R290&gt;=40,"Moyen","Faible"))))</f>
        <v/>
      </c>
      <c r="T290" s="113"/>
      <c r="U290" s="113"/>
      <c r="V290" s="114"/>
      <c r="W290" s="113"/>
      <c r="X290" s="113"/>
    </row>
    <row r="291" customFormat="false" ht="15" hidden="false" customHeight="true" outlineLevel="0" collapsed="false">
      <c r="A291" s="107" t="str">
        <f aca="false">IF(C291="","","OPP"&amp;TEXT(ROW()-243,"00000"))</f>
        <v/>
      </c>
      <c r="B291" s="113"/>
      <c r="C291" s="113"/>
      <c r="D291" s="113"/>
      <c r="E291" s="113"/>
      <c r="F291" s="113"/>
      <c r="G291" s="113"/>
      <c r="H291" s="113"/>
      <c r="I291" s="116"/>
      <c r="J291" s="116"/>
      <c r="K291" s="113"/>
      <c r="L291" s="117"/>
      <c r="M291" s="113"/>
      <c r="N291" s="114"/>
      <c r="O291" s="114"/>
      <c r="P291" s="113"/>
      <c r="Q291" s="113"/>
      <c r="R291" s="113"/>
      <c r="S291" s="107" t="str">
        <f aca="false">IF(R291="","",IF(R291&gt;=80,"Excellent",IF(R291&gt;=60,"Bon",IF(R291&gt;=40,"Moyen","Faible"))))</f>
        <v/>
      </c>
      <c r="T291" s="113"/>
      <c r="U291" s="113"/>
      <c r="V291" s="114"/>
      <c r="W291" s="113"/>
      <c r="X291" s="113"/>
    </row>
    <row r="292" customFormat="false" ht="15" hidden="false" customHeight="true" outlineLevel="0" collapsed="false">
      <c r="A292" s="107" t="str">
        <f aca="false">IF(C292="","","OPP"&amp;TEXT(ROW()-243,"00000"))</f>
        <v/>
      </c>
      <c r="B292" s="113"/>
      <c r="C292" s="113"/>
      <c r="D292" s="113"/>
      <c r="E292" s="113"/>
      <c r="F292" s="113"/>
      <c r="G292" s="113"/>
      <c r="H292" s="113"/>
      <c r="I292" s="116"/>
      <c r="J292" s="116"/>
      <c r="K292" s="113"/>
      <c r="L292" s="117"/>
      <c r="M292" s="113"/>
      <c r="N292" s="114"/>
      <c r="O292" s="114"/>
      <c r="P292" s="113"/>
      <c r="Q292" s="113"/>
      <c r="R292" s="113"/>
      <c r="S292" s="107" t="str">
        <f aca="false">IF(R292="","",IF(R292&gt;=80,"Excellent",IF(R292&gt;=60,"Bon",IF(R292&gt;=40,"Moyen","Faible"))))</f>
        <v/>
      </c>
      <c r="T292" s="113"/>
      <c r="U292" s="113"/>
      <c r="V292" s="114"/>
      <c r="W292" s="113"/>
      <c r="X292" s="113"/>
    </row>
    <row r="293" customFormat="false" ht="15" hidden="false" customHeight="true" outlineLevel="0" collapsed="false">
      <c r="A293" s="107" t="str">
        <f aca="false">IF(C293="","","OPP"&amp;TEXT(ROW()-243,"00000"))</f>
        <v/>
      </c>
      <c r="B293" s="113"/>
      <c r="C293" s="113"/>
      <c r="D293" s="113"/>
      <c r="E293" s="113"/>
      <c r="F293" s="113"/>
      <c r="G293" s="113"/>
      <c r="H293" s="113"/>
      <c r="I293" s="116"/>
      <c r="J293" s="116"/>
      <c r="K293" s="113"/>
      <c r="L293" s="117"/>
      <c r="M293" s="113"/>
      <c r="N293" s="114"/>
      <c r="O293" s="114"/>
      <c r="P293" s="113"/>
      <c r="Q293" s="113"/>
      <c r="R293" s="113"/>
      <c r="S293" s="107" t="str">
        <f aca="false">IF(R293="","",IF(R293&gt;=80,"Excellent",IF(R293&gt;=60,"Bon",IF(R293&gt;=40,"Moyen","Faible"))))</f>
        <v/>
      </c>
      <c r="T293" s="113"/>
      <c r="U293" s="113"/>
      <c r="V293" s="114"/>
      <c r="W293" s="113"/>
      <c r="X293" s="113"/>
    </row>
    <row r="294" customFormat="false" ht="15" hidden="false" customHeight="true" outlineLevel="0" collapsed="false">
      <c r="A294" s="107" t="str">
        <f aca="false">IF(C294="","","OPP"&amp;TEXT(ROW()-243,"00000"))</f>
        <v/>
      </c>
      <c r="B294" s="113"/>
      <c r="C294" s="113"/>
      <c r="D294" s="113"/>
      <c r="E294" s="113"/>
      <c r="F294" s="113"/>
      <c r="G294" s="113"/>
      <c r="H294" s="113"/>
      <c r="I294" s="116"/>
      <c r="J294" s="116"/>
      <c r="K294" s="113"/>
      <c r="L294" s="117"/>
      <c r="M294" s="113"/>
      <c r="N294" s="114"/>
      <c r="O294" s="114"/>
      <c r="P294" s="113"/>
      <c r="Q294" s="113"/>
      <c r="R294" s="113"/>
      <c r="S294" s="107" t="str">
        <f aca="false">IF(R294="","",IF(R294&gt;=80,"Excellent",IF(R294&gt;=60,"Bon",IF(R294&gt;=40,"Moyen","Faible"))))</f>
        <v/>
      </c>
      <c r="T294" s="113"/>
      <c r="U294" s="113"/>
      <c r="V294" s="114"/>
      <c r="W294" s="113"/>
      <c r="X294" s="113"/>
    </row>
    <row r="295" customFormat="false" ht="15" hidden="false" customHeight="true" outlineLevel="0" collapsed="false">
      <c r="A295" s="107" t="str">
        <f aca="false">IF(C295="","","OPP"&amp;TEXT(ROW()-243,"00000"))</f>
        <v/>
      </c>
      <c r="B295" s="113"/>
      <c r="C295" s="113"/>
      <c r="D295" s="113"/>
      <c r="E295" s="113"/>
      <c r="F295" s="113"/>
      <c r="G295" s="113"/>
      <c r="H295" s="113"/>
      <c r="I295" s="116"/>
      <c r="J295" s="116"/>
      <c r="K295" s="113"/>
      <c r="L295" s="117"/>
      <c r="M295" s="113"/>
      <c r="N295" s="114"/>
      <c r="O295" s="114"/>
      <c r="P295" s="113"/>
      <c r="Q295" s="113"/>
      <c r="R295" s="113"/>
      <c r="S295" s="107" t="str">
        <f aca="false">IF(R295="","",IF(R295&gt;=80,"Excellent",IF(R295&gt;=60,"Bon",IF(R295&gt;=40,"Moyen","Faible"))))</f>
        <v/>
      </c>
      <c r="T295" s="113"/>
      <c r="U295" s="113"/>
      <c r="V295" s="114"/>
      <c r="W295" s="113"/>
      <c r="X295" s="113"/>
    </row>
    <row r="296" customFormat="false" ht="15" hidden="false" customHeight="true" outlineLevel="0" collapsed="false">
      <c r="A296" s="107" t="str">
        <f aca="false">IF(C296="","","OPP"&amp;TEXT(ROW()-243,"00000"))</f>
        <v/>
      </c>
      <c r="B296" s="113"/>
      <c r="C296" s="113"/>
      <c r="D296" s="113"/>
      <c r="E296" s="113"/>
      <c r="F296" s="113"/>
      <c r="G296" s="113"/>
      <c r="H296" s="113"/>
      <c r="I296" s="116"/>
      <c r="J296" s="116"/>
      <c r="K296" s="113"/>
      <c r="L296" s="117"/>
      <c r="M296" s="113"/>
      <c r="N296" s="114"/>
      <c r="O296" s="114"/>
      <c r="P296" s="113"/>
      <c r="Q296" s="113"/>
      <c r="R296" s="113"/>
      <c r="S296" s="107" t="str">
        <f aca="false">IF(R296="","",IF(R296&gt;=80,"Excellent",IF(R296&gt;=60,"Bon",IF(R296&gt;=40,"Moyen","Faible"))))</f>
        <v/>
      </c>
      <c r="T296" s="113"/>
      <c r="U296" s="113"/>
      <c r="V296" s="114"/>
      <c r="W296" s="113"/>
      <c r="X296" s="113"/>
    </row>
    <row r="297" customFormat="false" ht="15" hidden="false" customHeight="true" outlineLevel="0" collapsed="false">
      <c r="A297" s="107" t="str">
        <f aca="false">IF(C297="","","OPP"&amp;TEXT(ROW()-243,"00000"))</f>
        <v/>
      </c>
      <c r="B297" s="113"/>
      <c r="C297" s="113"/>
      <c r="D297" s="113"/>
      <c r="E297" s="113"/>
      <c r="F297" s="113"/>
      <c r="G297" s="113"/>
      <c r="H297" s="113"/>
      <c r="I297" s="116"/>
      <c r="J297" s="116"/>
      <c r="K297" s="113"/>
      <c r="L297" s="117"/>
      <c r="M297" s="113"/>
      <c r="N297" s="114"/>
      <c r="O297" s="114"/>
      <c r="P297" s="113"/>
      <c r="Q297" s="113"/>
      <c r="R297" s="113"/>
      <c r="S297" s="107" t="str">
        <f aca="false">IF(R297="","",IF(R297&gt;=80,"Excellent",IF(R297&gt;=60,"Bon",IF(R297&gt;=40,"Moyen","Faible"))))</f>
        <v/>
      </c>
      <c r="T297" s="113"/>
      <c r="U297" s="113"/>
      <c r="V297" s="114"/>
      <c r="W297" s="113"/>
      <c r="X297" s="113"/>
    </row>
    <row r="298" customFormat="false" ht="15" hidden="false" customHeight="true" outlineLevel="0" collapsed="false">
      <c r="A298" s="107" t="str">
        <f aca="false">IF(C298="","","OPP"&amp;TEXT(ROW()-243,"00000"))</f>
        <v/>
      </c>
      <c r="B298" s="113"/>
      <c r="C298" s="113"/>
      <c r="D298" s="113"/>
      <c r="E298" s="113"/>
      <c r="F298" s="113"/>
      <c r="G298" s="113"/>
      <c r="H298" s="113"/>
      <c r="I298" s="116"/>
      <c r="J298" s="116"/>
      <c r="K298" s="113"/>
      <c r="L298" s="117"/>
      <c r="M298" s="113"/>
      <c r="N298" s="114"/>
      <c r="O298" s="114"/>
      <c r="P298" s="113"/>
      <c r="Q298" s="113"/>
      <c r="R298" s="113"/>
      <c r="S298" s="107" t="str">
        <f aca="false">IF(R298="","",IF(R298&gt;=80,"Excellent",IF(R298&gt;=60,"Bon",IF(R298&gt;=40,"Moyen","Faible"))))</f>
        <v/>
      </c>
      <c r="T298" s="113"/>
      <c r="U298" s="113"/>
      <c r="V298" s="114"/>
      <c r="W298" s="113"/>
      <c r="X298" s="113"/>
    </row>
    <row r="299" customFormat="false" ht="15" hidden="false" customHeight="true" outlineLevel="0" collapsed="false">
      <c r="A299" s="107" t="str">
        <f aca="false">IF(C299="","","OPP"&amp;TEXT(ROW()-243,"00000"))</f>
        <v/>
      </c>
      <c r="B299" s="113"/>
      <c r="C299" s="113"/>
      <c r="D299" s="113"/>
      <c r="E299" s="113"/>
      <c r="F299" s="113"/>
      <c r="G299" s="113"/>
      <c r="H299" s="113"/>
      <c r="I299" s="116"/>
      <c r="J299" s="116"/>
      <c r="K299" s="113"/>
      <c r="L299" s="117"/>
      <c r="M299" s="113"/>
      <c r="N299" s="114"/>
      <c r="O299" s="114"/>
      <c r="P299" s="113"/>
      <c r="Q299" s="113"/>
      <c r="R299" s="113"/>
      <c r="S299" s="107" t="str">
        <f aca="false">IF(R299="","",IF(R299&gt;=80,"Excellent",IF(R299&gt;=60,"Bon",IF(R299&gt;=40,"Moyen","Faible"))))</f>
        <v/>
      </c>
      <c r="T299" s="113"/>
      <c r="U299" s="113"/>
      <c r="V299" s="114"/>
      <c r="W299" s="113"/>
      <c r="X299" s="113"/>
    </row>
    <row r="300" customFormat="false" ht="15" hidden="false" customHeight="true" outlineLevel="0" collapsed="false">
      <c r="A300" s="107" t="str">
        <f aca="false">IF(C300="","","OPP"&amp;TEXT(ROW()-243,"00000"))</f>
        <v/>
      </c>
      <c r="B300" s="113"/>
      <c r="C300" s="113"/>
      <c r="D300" s="113"/>
      <c r="E300" s="113"/>
      <c r="F300" s="113"/>
      <c r="G300" s="113"/>
      <c r="H300" s="113"/>
      <c r="I300" s="116"/>
      <c r="J300" s="116"/>
      <c r="K300" s="113"/>
      <c r="L300" s="117"/>
      <c r="M300" s="113"/>
      <c r="N300" s="114"/>
      <c r="O300" s="114"/>
      <c r="P300" s="113"/>
      <c r="Q300" s="113"/>
      <c r="R300" s="113"/>
      <c r="S300" s="107" t="str">
        <f aca="false">IF(R300="","",IF(R300&gt;=80,"Excellent",IF(R300&gt;=60,"Bon",IF(R300&gt;=40,"Moyen","Faible"))))</f>
        <v/>
      </c>
      <c r="T300" s="113"/>
      <c r="U300" s="113"/>
      <c r="V300" s="114"/>
      <c r="W300" s="113"/>
      <c r="X300" s="113"/>
    </row>
    <row r="301" customFormat="false" ht="15" hidden="false" customHeight="true" outlineLevel="0" collapsed="false">
      <c r="A301" s="107" t="str">
        <f aca="false">IF(C301="","","OPP"&amp;TEXT(ROW()-243,"00000"))</f>
        <v/>
      </c>
      <c r="B301" s="113"/>
      <c r="C301" s="113"/>
      <c r="D301" s="113"/>
      <c r="E301" s="113"/>
      <c r="F301" s="113"/>
      <c r="G301" s="113"/>
      <c r="H301" s="113"/>
      <c r="I301" s="116"/>
      <c r="J301" s="116"/>
      <c r="K301" s="113"/>
      <c r="L301" s="117"/>
      <c r="M301" s="113"/>
      <c r="N301" s="114"/>
      <c r="O301" s="114"/>
      <c r="P301" s="113"/>
      <c r="Q301" s="113"/>
      <c r="R301" s="113"/>
      <c r="S301" s="107" t="str">
        <f aca="false">IF(R301="","",IF(R301&gt;=80,"Excellent",IF(R301&gt;=60,"Bon",IF(R301&gt;=40,"Moyen","Faible"))))</f>
        <v/>
      </c>
      <c r="T301" s="113"/>
      <c r="U301" s="113"/>
      <c r="V301" s="114"/>
      <c r="W301" s="113"/>
      <c r="X301" s="113"/>
    </row>
    <row r="302" customFormat="false" ht="15" hidden="false" customHeight="true" outlineLevel="0" collapsed="false">
      <c r="A302" s="107" t="str">
        <f aca="false">IF(C302="","","OPP"&amp;TEXT(ROW()-243,"00000"))</f>
        <v/>
      </c>
      <c r="B302" s="113"/>
      <c r="C302" s="113"/>
      <c r="D302" s="113"/>
      <c r="E302" s="113"/>
      <c r="F302" s="113"/>
      <c r="G302" s="113"/>
      <c r="H302" s="113"/>
      <c r="I302" s="116"/>
      <c r="J302" s="116"/>
      <c r="K302" s="113"/>
      <c r="L302" s="117"/>
      <c r="M302" s="113"/>
      <c r="N302" s="114"/>
      <c r="O302" s="114"/>
      <c r="P302" s="113"/>
      <c r="Q302" s="113"/>
      <c r="R302" s="113"/>
      <c r="S302" s="107" t="str">
        <f aca="false">IF(R302="","",IF(R302&gt;=80,"Excellent",IF(R302&gt;=60,"Bon",IF(R302&gt;=40,"Moyen","Faible"))))</f>
        <v/>
      </c>
      <c r="T302" s="113"/>
      <c r="U302" s="113"/>
      <c r="V302" s="114"/>
      <c r="W302" s="113"/>
      <c r="X302" s="113"/>
    </row>
    <row r="303" customFormat="false" ht="15" hidden="false" customHeight="true" outlineLevel="0" collapsed="false">
      <c r="A303" s="107" t="str">
        <f aca="false">IF(C303="","","OPP"&amp;TEXT(ROW()-243,"00000"))</f>
        <v/>
      </c>
      <c r="B303" s="113"/>
      <c r="C303" s="113"/>
      <c r="D303" s="113"/>
      <c r="E303" s="113"/>
      <c r="F303" s="113"/>
      <c r="G303" s="113"/>
      <c r="H303" s="113"/>
      <c r="I303" s="116"/>
      <c r="J303" s="116"/>
      <c r="K303" s="113"/>
      <c r="L303" s="117"/>
      <c r="M303" s="113"/>
      <c r="N303" s="114"/>
      <c r="O303" s="114"/>
      <c r="P303" s="113"/>
      <c r="Q303" s="113"/>
      <c r="R303" s="113"/>
      <c r="S303" s="107" t="str">
        <f aca="false">IF(R303="","",IF(R303&gt;=80,"Excellent",IF(R303&gt;=60,"Bon",IF(R303&gt;=40,"Moyen","Faible"))))</f>
        <v/>
      </c>
      <c r="T303" s="113"/>
      <c r="U303" s="113"/>
      <c r="V303" s="114"/>
      <c r="W303" s="113"/>
      <c r="X303" s="113"/>
    </row>
    <row r="306" customFormat="false" ht="19.5" hidden="false" customHeight="true" outlineLevel="0" collapsed="false">
      <c r="A306" s="55" t="s">
        <v>1953</v>
      </c>
      <c r="B306" s="55"/>
      <c r="C306" s="55"/>
      <c r="D306" s="55"/>
      <c r="E306" s="55"/>
      <c r="F306" s="55"/>
      <c r="G306" s="55"/>
      <c r="H306" s="55"/>
      <c r="I306" s="55"/>
      <c r="J306" s="55"/>
      <c r="K306" s="55"/>
      <c r="L306" s="55"/>
      <c r="M306" s="55"/>
      <c r="N306" s="55"/>
      <c r="O306" s="55"/>
      <c r="P306" s="55"/>
    </row>
    <row r="307" customFormat="false" ht="25.5" hidden="false" customHeight="true" outlineLevel="0" collapsed="false">
      <c r="A307" s="112" t="s">
        <v>1954</v>
      </c>
      <c r="B307" s="112" t="s">
        <v>1937</v>
      </c>
      <c r="C307" s="112" t="s">
        <v>1909</v>
      </c>
      <c r="D307" s="112" t="s">
        <v>805</v>
      </c>
      <c r="E307" s="112" t="s">
        <v>1657</v>
      </c>
      <c r="F307" s="112" t="s">
        <v>1368</v>
      </c>
      <c r="G307" s="112" t="s">
        <v>1955</v>
      </c>
      <c r="H307" s="112" t="s">
        <v>1956</v>
      </c>
      <c r="I307" s="112" t="s">
        <v>1335</v>
      </c>
      <c r="J307" s="112" t="s">
        <v>54</v>
      </c>
      <c r="K307" s="112" t="s">
        <v>1658</v>
      </c>
      <c r="L307" s="112" t="s">
        <v>1659</v>
      </c>
      <c r="M307" s="112" t="s">
        <v>1952</v>
      </c>
      <c r="N307" s="112" t="s">
        <v>1957</v>
      </c>
      <c r="O307" s="112" t="s">
        <v>1958</v>
      </c>
      <c r="P307" s="112" t="s">
        <v>1959</v>
      </c>
    </row>
    <row r="308" customFormat="false" ht="15" hidden="false" customHeight="true" outlineLevel="0" collapsed="false">
      <c r="A308" s="107" t="str">
        <f aca="false">IF(D308="","","DEM"&amp;TEXT(ROW()-307,"00000"))</f>
        <v/>
      </c>
      <c r="B308" s="113"/>
      <c r="C308" s="113"/>
      <c r="D308" s="113"/>
      <c r="E308" s="116"/>
      <c r="F308" s="113"/>
      <c r="G308" s="114"/>
      <c r="H308" s="114"/>
      <c r="I308" s="113"/>
      <c r="J308" s="113"/>
      <c r="K308" s="116"/>
      <c r="L308" s="116"/>
      <c r="M308" s="114"/>
      <c r="N308" s="114"/>
      <c r="O308" s="113"/>
      <c r="P308" s="113"/>
    </row>
    <row r="309" customFormat="false" ht="15" hidden="false" customHeight="true" outlineLevel="0" collapsed="false">
      <c r="A309" s="107" t="str">
        <f aca="false">IF(D309="","","DEM"&amp;TEXT(ROW()-307,"00000"))</f>
        <v/>
      </c>
      <c r="B309" s="113"/>
      <c r="C309" s="113"/>
      <c r="D309" s="113"/>
      <c r="E309" s="116"/>
      <c r="F309" s="113"/>
      <c r="G309" s="114"/>
      <c r="H309" s="114"/>
      <c r="I309" s="113"/>
      <c r="J309" s="113"/>
      <c r="K309" s="116"/>
      <c r="L309" s="116"/>
      <c r="M309" s="114"/>
      <c r="N309" s="114"/>
      <c r="O309" s="113"/>
      <c r="P309" s="113"/>
    </row>
    <row r="310" customFormat="false" ht="15" hidden="false" customHeight="true" outlineLevel="0" collapsed="false">
      <c r="A310" s="107" t="str">
        <f aca="false">IF(D310="","","DEM"&amp;TEXT(ROW()-307,"00000"))</f>
        <v/>
      </c>
      <c r="B310" s="113"/>
      <c r="C310" s="113"/>
      <c r="D310" s="113"/>
      <c r="E310" s="116"/>
      <c r="F310" s="113"/>
      <c r="G310" s="114"/>
      <c r="H310" s="114"/>
      <c r="I310" s="113"/>
      <c r="J310" s="113"/>
      <c r="K310" s="116"/>
      <c r="L310" s="116"/>
      <c r="M310" s="114"/>
      <c r="N310" s="114"/>
      <c r="O310" s="113"/>
      <c r="P310" s="113"/>
    </row>
    <row r="311" customFormat="false" ht="15" hidden="false" customHeight="true" outlineLevel="0" collapsed="false">
      <c r="A311" s="107" t="str">
        <f aca="false">IF(D311="","","DEM"&amp;TEXT(ROW()-307,"00000"))</f>
        <v/>
      </c>
      <c r="B311" s="113"/>
      <c r="C311" s="113"/>
      <c r="D311" s="113"/>
      <c r="E311" s="116"/>
      <c r="F311" s="113"/>
      <c r="G311" s="114"/>
      <c r="H311" s="114"/>
      <c r="I311" s="113"/>
      <c r="J311" s="113"/>
      <c r="K311" s="116"/>
      <c r="L311" s="116"/>
      <c r="M311" s="114"/>
      <c r="N311" s="114"/>
      <c r="O311" s="113"/>
      <c r="P311" s="113"/>
    </row>
    <row r="312" customFormat="false" ht="15" hidden="false" customHeight="true" outlineLevel="0" collapsed="false">
      <c r="A312" s="107" t="str">
        <f aca="false">IF(D312="","","DEM"&amp;TEXT(ROW()-307,"00000"))</f>
        <v/>
      </c>
      <c r="B312" s="113"/>
      <c r="C312" s="113"/>
      <c r="D312" s="113"/>
      <c r="E312" s="116"/>
      <c r="F312" s="113"/>
      <c r="G312" s="114"/>
      <c r="H312" s="114"/>
      <c r="I312" s="113"/>
      <c r="J312" s="113"/>
      <c r="K312" s="116"/>
      <c r="L312" s="116"/>
      <c r="M312" s="114"/>
      <c r="N312" s="114"/>
      <c r="O312" s="113"/>
      <c r="P312" s="113"/>
    </row>
    <row r="313" customFormat="false" ht="15" hidden="false" customHeight="true" outlineLevel="0" collapsed="false">
      <c r="A313" s="107" t="str">
        <f aca="false">IF(D313="","","DEM"&amp;TEXT(ROW()-307,"00000"))</f>
        <v/>
      </c>
      <c r="B313" s="113"/>
      <c r="C313" s="113"/>
      <c r="D313" s="113"/>
      <c r="E313" s="116"/>
      <c r="F313" s="113"/>
      <c r="G313" s="114"/>
      <c r="H313" s="114"/>
      <c r="I313" s="113"/>
      <c r="J313" s="113"/>
      <c r="K313" s="116"/>
      <c r="L313" s="116"/>
      <c r="M313" s="114"/>
      <c r="N313" s="114"/>
      <c r="O313" s="113"/>
      <c r="P313" s="113"/>
    </row>
    <row r="314" customFormat="false" ht="15" hidden="false" customHeight="true" outlineLevel="0" collapsed="false">
      <c r="A314" s="107" t="str">
        <f aca="false">IF(D314="","","DEM"&amp;TEXT(ROW()-307,"00000"))</f>
        <v/>
      </c>
      <c r="B314" s="113"/>
      <c r="C314" s="113"/>
      <c r="D314" s="113"/>
      <c r="E314" s="116"/>
      <c r="F314" s="113"/>
      <c r="G314" s="114"/>
      <c r="H314" s="114"/>
      <c r="I314" s="113"/>
      <c r="J314" s="113"/>
      <c r="K314" s="116"/>
      <c r="L314" s="116"/>
      <c r="M314" s="114"/>
      <c r="N314" s="114"/>
      <c r="O314" s="113"/>
      <c r="P314" s="113"/>
    </row>
    <row r="315" customFormat="false" ht="15" hidden="false" customHeight="true" outlineLevel="0" collapsed="false">
      <c r="A315" s="107" t="str">
        <f aca="false">IF(D315="","","DEM"&amp;TEXT(ROW()-307,"00000"))</f>
        <v/>
      </c>
      <c r="B315" s="113"/>
      <c r="C315" s="113"/>
      <c r="D315" s="113"/>
      <c r="E315" s="116"/>
      <c r="F315" s="113"/>
      <c r="G315" s="114"/>
      <c r="H315" s="114"/>
      <c r="I315" s="113"/>
      <c r="J315" s="113"/>
      <c r="K315" s="116"/>
      <c r="L315" s="116"/>
      <c r="M315" s="114"/>
      <c r="N315" s="114"/>
      <c r="O315" s="113"/>
      <c r="P315" s="113"/>
    </row>
    <row r="316" customFormat="false" ht="15" hidden="false" customHeight="true" outlineLevel="0" collapsed="false">
      <c r="A316" s="107" t="str">
        <f aca="false">IF(D316="","","DEM"&amp;TEXT(ROW()-307,"00000"))</f>
        <v/>
      </c>
      <c r="B316" s="113"/>
      <c r="C316" s="113"/>
      <c r="D316" s="113"/>
      <c r="E316" s="116"/>
      <c r="F316" s="113"/>
      <c r="G316" s="114"/>
      <c r="H316" s="114"/>
      <c r="I316" s="113"/>
      <c r="J316" s="113"/>
      <c r="K316" s="116"/>
      <c r="L316" s="116"/>
      <c r="M316" s="114"/>
      <c r="N316" s="114"/>
      <c r="O316" s="113"/>
      <c r="P316" s="113"/>
    </row>
    <row r="317" customFormat="false" ht="15" hidden="false" customHeight="true" outlineLevel="0" collapsed="false">
      <c r="A317" s="107" t="str">
        <f aca="false">IF(D317="","","DEM"&amp;TEXT(ROW()-307,"00000"))</f>
        <v/>
      </c>
      <c r="B317" s="113"/>
      <c r="C317" s="113"/>
      <c r="D317" s="113"/>
      <c r="E317" s="116"/>
      <c r="F317" s="113"/>
      <c r="G317" s="114"/>
      <c r="H317" s="114"/>
      <c r="I317" s="113"/>
      <c r="J317" s="113"/>
      <c r="K317" s="116"/>
      <c r="L317" s="116"/>
      <c r="M317" s="114"/>
      <c r="N317" s="114"/>
      <c r="O317" s="113"/>
      <c r="P317" s="113"/>
    </row>
    <row r="318" customFormat="false" ht="15" hidden="false" customHeight="true" outlineLevel="0" collapsed="false">
      <c r="A318" s="107" t="str">
        <f aca="false">IF(D318="","","DEM"&amp;TEXT(ROW()-307,"00000"))</f>
        <v/>
      </c>
      <c r="B318" s="113"/>
      <c r="C318" s="113"/>
      <c r="D318" s="113"/>
      <c r="E318" s="116"/>
      <c r="F318" s="113"/>
      <c r="G318" s="114"/>
      <c r="H318" s="114"/>
      <c r="I318" s="113"/>
      <c r="J318" s="113"/>
      <c r="K318" s="116"/>
      <c r="L318" s="116"/>
      <c r="M318" s="114"/>
      <c r="N318" s="114"/>
      <c r="O318" s="113"/>
      <c r="P318" s="113"/>
    </row>
    <row r="319" customFormat="false" ht="15" hidden="false" customHeight="true" outlineLevel="0" collapsed="false">
      <c r="A319" s="107" t="str">
        <f aca="false">IF(D319="","","DEM"&amp;TEXT(ROW()-307,"00000"))</f>
        <v/>
      </c>
      <c r="B319" s="113"/>
      <c r="C319" s="113"/>
      <c r="D319" s="113"/>
      <c r="E319" s="116"/>
      <c r="F319" s="113"/>
      <c r="G319" s="114"/>
      <c r="H319" s="114"/>
      <c r="I319" s="113"/>
      <c r="J319" s="113"/>
      <c r="K319" s="116"/>
      <c r="L319" s="116"/>
      <c r="M319" s="114"/>
      <c r="N319" s="114"/>
      <c r="O319" s="113"/>
      <c r="P319" s="113"/>
    </row>
    <row r="320" customFormat="false" ht="15" hidden="false" customHeight="true" outlineLevel="0" collapsed="false">
      <c r="A320" s="107" t="str">
        <f aca="false">IF(D320="","","DEM"&amp;TEXT(ROW()-307,"00000"))</f>
        <v/>
      </c>
      <c r="B320" s="113"/>
      <c r="C320" s="113"/>
      <c r="D320" s="113"/>
      <c r="E320" s="116"/>
      <c r="F320" s="113"/>
      <c r="G320" s="114"/>
      <c r="H320" s="114"/>
      <c r="I320" s="113"/>
      <c r="J320" s="113"/>
      <c r="K320" s="116"/>
      <c r="L320" s="116"/>
      <c r="M320" s="114"/>
      <c r="N320" s="114"/>
      <c r="O320" s="113"/>
      <c r="P320" s="113"/>
    </row>
    <row r="321" customFormat="false" ht="15" hidden="false" customHeight="true" outlineLevel="0" collapsed="false">
      <c r="A321" s="107" t="str">
        <f aca="false">IF(D321="","","DEM"&amp;TEXT(ROW()-307,"00000"))</f>
        <v/>
      </c>
      <c r="B321" s="113"/>
      <c r="C321" s="113"/>
      <c r="D321" s="113"/>
      <c r="E321" s="116"/>
      <c r="F321" s="113"/>
      <c r="G321" s="114"/>
      <c r="H321" s="114"/>
      <c r="I321" s="113"/>
      <c r="J321" s="113"/>
      <c r="K321" s="116"/>
      <c r="L321" s="116"/>
      <c r="M321" s="114"/>
      <c r="N321" s="114"/>
      <c r="O321" s="113"/>
      <c r="P321" s="113"/>
    </row>
    <row r="322" customFormat="false" ht="15" hidden="false" customHeight="true" outlineLevel="0" collapsed="false">
      <c r="A322" s="107" t="str">
        <f aca="false">IF(D322="","","DEM"&amp;TEXT(ROW()-307,"00000"))</f>
        <v/>
      </c>
      <c r="B322" s="113"/>
      <c r="C322" s="113"/>
      <c r="D322" s="113"/>
      <c r="E322" s="116"/>
      <c r="F322" s="113"/>
      <c r="G322" s="114"/>
      <c r="H322" s="114"/>
      <c r="I322" s="113"/>
      <c r="J322" s="113"/>
      <c r="K322" s="116"/>
      <c r="L322" s="116"/>
      <c r="M322" s="114"/>
      <c r="N322" s="114"/>
      <c r="O322" s="113"/>
      <c r="P322" s="113"/>
    </row>
    <row r="323" customFormat="false" ht="15" hidden="false" customHeight="true" outlineLevel="0" collapsed="false">
      <c r="A323" s="107" t="str">
        <f aca="false">IF(D323="","","DEM"&amp;TEXT(ROW()-307,"00000"))</f>
        <v/>
      </c>
      <c r="B323" s="113"/>
      <c r="C323" s="113"/>
      <c r="D323" s="113"/>
      <c r="E323" s="116"/>
      <c r="F323" s="113"/>
      <c r="G323" s="114"/>
      <c r="H323" s="114"/>
      <c r="I323" s="113"/>
      <c r="J323" s="113"/>
      <c r="K323" s="116"/>
      <c r="L323" s="116"/>
      <c r="M323" s="114"/>
      <c r="N323" s="114"/>
      <c r="O323" s="113"/>
      <c r="P323" s="113"/>
    </row>
    <row r="324" customFormat="false" ht="15" hidden="false" customHeight="true" outlineLevel="0" collapsed="false">
      <c r="A324" s="107" t="str">
        <f aca="false">IF(D324="","","DEM"&amp;TEXT(ROW()-307,"00000"))</f>
        <v/>
      </c>
      <c r="B324" s="113"/>
      <c r="C324" s="113"/>
      <c r="D324" s="113"/>
      <c r="E324" s="116"/>
      <c r="F324" s="113"/>
      <c r="G324" s="114"/>
      <c r="H324" s="114"/>
      <c r="I324" s="113"/>
      <c r="J324" s="113"/>
      <c r="K324" s="116"/>
      <c r="L324" s="116"/>
      <c r="M324" s="114"/>
      <c r="N324" s="114"/>
      <c r="O324" s="113"/>
      <c r="P324" s="113"/>
    </row>
    <row r="325" customFormat="false" ht="15" hidden="false" customHeight="true" outlineLevel="0" collapsed="false">
      <c r="A325" s="107" t="str">
        <f aca="false">IF(D325="","","DEM"&amp;TEXT(ROW()-307,"00000"))</f>
        <v/>
      </c>
      <c r="B325" s="113"/>
      <c r="C325" s="113"/>
      <c r="D325" s="113"/>
      <c r="E325" s="116"/>
      <c r="F325" s="113"/>
      <c r="G325" s="114"/>
      <c r="H325" s="114"/>
      <c r="I325" s="113"/>
      <c r="J325" s="113"/>
      <c r="K325" s="116"/>
      <c r="L325" s="116"/>
      <c r="M325" s="114"/>
      <c r="N325" s="114"/>
      <c r="O325" s="113"/>
      <c r="P325" s="113"/>
    </row>
    <row r="326" customFormat="false" ht="15" hidden="false" customHeight="true" outlineLevel="0" collapsed="false">
      <c r="A326" s="107" t="str">
        <f aca="false">IF(D326="","","DEM"&amp;TEXT(ROW()-307,"00000"))</f>
        <v/>
      </c>
      <c r="B326" s="113"/>
      <c r="C326" s="113"/>
      <c r="D326" s="113"/>
      <c r="E326" s="116"/>
      <c r="F326" s="113"/>
      <c r="G326" s="114"/>
      <c r="H326" s="114"/>
      <c r="I326" s="113"/>
      <c r="J326" s="113"/>
      <c r="K326" s="116"/>
      <c r="L326" s="116"/>
      <c r="M326" s="114"/>
      <c r="N326" s="114"/>
      <c r="O326" s="113"/>
      <c r="P326" s="113"/>
    </row>
    <row r="327" customFormat="false" ht="15" hidden="false" customHeight="true" outlineLevel="0" collapsed="false">
      <c r="A327" s="107" t="str">
        <f aca="false">IF(D327="","","DEM"&amp;TEXT(ROW()-307,"00000"))</f>
        <v/>
      </c>
      <c r="B327" s="113"/>
      <c r="C327" s="113"/>
      <c r="D327" s="113"/>
      <c r="E327" s="116"/>
      <c r="F327" s="113"/>
      <c r="G327" s="114"/>
      <c r="H327" s="114"/>
      <c r="I327" s="113"/>
      <c r="J327" s="113"/>
      <c r="K327" s="116"/>
      <c r="L327" s="116"/>
      <c r="M327" s="114"/>
      <c r="N327" s="114"/>
      <c r="O327" s="113"/>
      <c r="P327" s="113"/>
    </row>
    <row r="328" customFormat="false" ht="15" hidden="false" customHeight="true" outlineLevel="0" collapsed="false">
      <c r="A328" s="107" t="str">
        <f aca="false">IF(D328="","","DEM"&amp;TEXT(ROW()-307,"00000"))</f>
        <v/>
      </c>
      <c r="B328" s="113"/>
      <c r="C328" s="113"/>
      <c r="D328" s="113"/>
      <c r="E328" s="116"/>
      <c r="F328" s="113"/>
      <c r="G328" s="114"/>
      <c r="H328" s="114"/>
      <c r="I328" s="113"/>
      <c r="J328" s="113"/>
      <c r="K328" s="116"/>
      <c r="L328" s="116"/>
      <c r="M328" s="114"/>
      <c r="N328" s="114"/>
      <c r="O328" s="113"/>
      <c r="P328" s="113"/>
    </row>
    <row r="329" customFormat="false" ht="15" hidden="false" customHeight="true" outlineLevel="0" collapsed="false">
      <c r="A329" s="107" t="str">
        <f aca="false">IF(D329="","","DEM"&amp;TEXT(ROW()-307,"00000"))</f>
        <v/>
      </c>
      <c r="B329" s="113"/>
      <c r="C329" s="113"/>
      <c r="D329" s="113"/>
      <c r="E329" s="116"/>
      <c r="F329" s="113"/>
      <c r="G329" s="114"/>
      <c r="H329" s="114"/>
      <c r="I329" s="113"/>
      <c r="J329" s="113"/>
      <c r="K329" s="116"/>
      <c r="L329" s="116"/>
      <c r="M329" s="114"/>
      <c r="N329" s="114"/>
      <c r="O329" s="113"/>
      <c r="P329" s="113"/>
    </row>
    <row r="330" customFormat="false" ht="15" hidden="false" customHeight="true" outlineLevel="0" collapsed="false">
      <c r="A330" s="107" t="str">
        <f aca="false">IF(D330="","","DEM"&amp;TEXT(ROW()-307,"00000"))</f>
        <v/>
      </c>
      <c r="B330" s="113"/>
      <c r="C330" s="113"/>
      <c r="D330" s="113"/>
      <c r="E330" s="116"/>
      <c r="F330" s="113"/>
      <c r="G330" s="114"/>
      <c r="H330" s="114"/>
      <c r="I330" s="113"/>
      <c r="J330" s="113"/>
      <c r="K330" s="116"/>
      <c r="L330" s="116"/>
      <c r="M330" s="114"/>
      <c r="N330" s="114"/>
      <c r="O330" s="113"/>
      <c r="P330" s="113"/>
    </row>
    <row r="331" customFormat="false" ht="15" hidden="false" customHeight="true" outlineLevel="0" collapsed="false">
      <c r="A331" s="107" t="str">
        <f aca="false">IF(D331="","","DEM"&amp;TEXT(ROW()-307,"00000"))</f>
        <v/>
      </c>
      <c r="B331" s="113"/>
      <c r="C331" s="113"/>
      <c r="D331" s="113"/>
      <c r="E331" s="116"/>
      <c r="F331" s="113"/>
      <c r="G331" s="114"/>
      <c r="H331" s="114"/>
      <c r="I331" s="113"/>
      <c r="J331" s="113"/>
      <c r="K331" s="116"/>
      <c r="L331" s="116"/>
      <c r="M331" s="114"/>
      <c r="N331" s="114"/>
      <c r="O331" s="113"/>
      <c r="P331" s="113"/>
    </row>
    <row r="332" customFormat="false" ht="15" hidden="false" customHeight="true" outlineLevel="0" collapsed="false">
      <c r="A332" s="107" t="str">
        <f aca="false">IF(D332="","","DEM"&amp;TEXT(ROW()-307,"00000"))</f>
        <v/>
      </c>
      <c r="B332" s="113"/>
      <c r="C332" s="113"/>
      <c r="D332" s="113"/>
      <c r="E332" s="116"/>
      <c r="F332" s="113"/>
      <c r="G332" s="114"/>
      <c r="H332" s="114"/>
      <c r="I332" s="113"/>
      <c r="J332" s="113"/>
      <c r="K332" s="116"/>
      <c r="L332" s="116"/>
      <c r="M332" s="114"/>
      <c r="N332" s="114"/>
      <c r="O332" s="113"/>
      <c r="P332" s="113"/>
    </row>
    <row r="333" customFormat="false" ht="15" hidden="false" customHeight="true" outlineLevel="0" collapsed="false">
      <c r="A333" s="107" t="str">
        <f aca="false">IF(D333="","","DEM"&amp;TEXT(ROW()-307,"00000"))</f>
        <v/>
      </c>
      <c r="B333" s="113"/>
      <c r="C333" s="113"/>
      <c r="D333" s="113"/>
      <c r="E333" s="116"/>
      <c r="F333" s="113"/>
      <c r="G333" s="114"/>
      <c r="H333" s="114"/>
      <c r="I333" s="113"/>
      <c r="J333" s="113"/>
      <c r="K333" s="116"/>
      <c r="L333" s="116"/>
      <c r="M333" s="114"/>
      <c r="N333" s="114"/>
      <c r="O333" s="113"/>
      <c r="P333" s="113"/>
    </row>
    <row r="334" customFormat="false" ht="15" hidden="false" customHeight="true" outlineLevel="0" collapsed="false">
      <c r="A334" s="107" t="str">
        <f aca="false">IF(D334="","","DEM"&amp;TEXT(ROW()-307,"00000"))</f>
        <v/>
      </c>
      <c r="B334" s="113"/>
      <c r="C334" s="113"/>
      <c r="D334" s="113"/>
      <c r="E334" s="116"/>
      <c r="F334" s="113"/>
      <c r="G334" s="114"/>
      <c r="H334" s="114"/>
      <c r="I334" s="113"/>
      <c r="J334" s="113"/>
      <c r="K334" s="116"/>
      <c r="L334" s="116"/>
      <c r="M334" s="114"/>
      <c r="N334" s="114"/>
      <c r="O334" s="113"/>
      <c r="P334" s="113"/>
    </row>
    <row r="335" customFormat="false" ht="15" hidden="false" customHeight="true" outlineLevel="0" collapsed="false">
      <c r="A335" s="107" t="str">
        <f aca="false">IF(D335="","","DEM"&amp;TEXT(ROW()-307,"00000"))</f>
        <v/>
      </c>
      <c r="B335" s="113"/>
      <c r="C335" s="113"/>
      <c r="D335" s="113"/>
      <c r="E335" s="116"/>
      <c r="F335" s="113"/>
      <c r="G335" s="114"/>
      <c r="H335" s="114"/>
      <c r="I335" s="113"/>
      <c r="J335" s="113"/>
      <c r="K335" s="116"/>
      <c r="L335" s="116"/>
      <c r="M335" s="114"/>
      <c r="N335" s="114"/>
      <c r="O335" s="113"/>
      <c r="P335" s="113"/>
    </row>
    <row r="336" customFormat="false" ht="15" hidden="false" customHeight="true" outlineLevel="0" collapsed="false">
      <c r="A336" s="107" t="str">
        <f aca="false">IF(D336="","","DEM"&amp;TEXT(ROW()-307,"00000"))</f>
        <v/>
      </c>
      <c r="B336" s="113"/>
      <c r="C336" s="113"/>
      <c r="D336" s="113"/>
      <c r="E336" s="116"/>
      <c r="F336" s="113"/>
      <c r="G336" s="114"/>
      <c r="H336" s="114"/>
      <c r="I336" s="113"/>
      <c r="J336" s="113"/>
      <c r="K336" s="116"/>
      <c r="L336" s="116"/>
      <c r="M336" s="114"/>
      <c r="N336" s="114"/>
      <c r="O336" s="113"/>
      <c r="P336" s="113"/>
    </row>
    <row r="337" customFormat="false" ht="15" hidden="false" customHeight="true" outlineLevel="0" collapsed="false">
      <c r="A337" s="107" t="str">
        <f aca="false">IF(D337="","","DEM"&amp;TEXT(ROW()-307,"00000"))</f>
        <v/>
      </c>
      <c r="B337" s="113"/>
      <c r="C337" s="113"/>
      <c r="D337" s="113"/>
      <c r="E337" s="116"/>
      <c r="F337" s="113"/>
      <c r="G337" s="114"/>
      <c r="H337" s="114"/>
      <c r="I337" s="113"/>
      <c r="J337" s="113"/>
      <c r="K337" s="116"/>
      <c r="L337" s="116"/>
      <c r="M337" s="114"/>
      <c r="N337" s="114"/>
      <c r="O337" s="113"/>
      <c r="P337" s="113"/>
    </row>
    <row r="338" customFormat="false" ht="15" hidden="false" customHeight="true" outlineLevel="0" collapsed="false">
      <c r="A338" s="107" t="str">
        <f aca="false">IF(D338="","","DEM"&amp;TEXT(ROW()-307,"00000"))</f>
        <v/>
      </c>
      <c r="B338" s="113"/>
      <c r="C338" s="113"/>
      <c r="D338" s="113"/>
      <c r="E338" s="116"/>
      <c r="F338" s="113"/>
      <c r="G338" s="114"/>
      <c r="H338" s="114"/>
      <c r="I338" s="113"/>
      <c r="J338" s="113"/>
      <c r="K338" s="116"/>
      <c r="L338" s="116"/>
      <c r="M338" s="114"/>
      <c r="N338" s="114"/>
      <c r="O338" s="113"/>
      <c r="P338" s="113"/>
    </row>
    <row r="339" customFormat="false" ht="15" hidden="false" customHeight="true" outlineLevel="0" collapsed="false">
      <c r="A339" s="107" t="str">
        <f aca="false">IF(D339="","","DEM"&amp;TEXT(ROW()-307,"00000"))</f>
        <v/>
      </c>
      <c r="B339" s="113"/>
      <c r="C339" s="113"/>
      <c r="D339" s="113"/>
      <c r="E339" s="116"/>
      <c r="F339" s="113"/>
      <c r="G339" s="114"/>
      <c r="H339" s="114"/>
      <c r="I339" s="113"/>
      <c r="J339" s="113"/>
      <c r="K339" s="116"/>
      <c r="L339" s="116"/>
      <c r="M339" s="114"/>
      <c r="N339" s="114"/>
      <c r="O339" s="113"/>
      <c r="P339" s="113"/>
    </row>
    <row r="340" customFormat="false" ht="15" hidden="false" customHeight="true" outlineLevel="0" collapsed="false">
      <c r="A340" s="107" t="str">
        <f aca="false">IF(D340="","","DEM"&amp;TEXT(ROW()-307,"00000"))</f>
        <v/>
      </c>
      <c r="B340" s="113"/>
      <c r="C340" s="113"/>
      <c r="D340" s="113"/>
      <c r="E340" s="116"/>
      <c r="F340" s="113"/>
      <c r="G340" s="114"/>
      <c r="H340" s="114"/>
      <c r="I340" s="113"/>
      <c r="J340" s="113"/>
      <c r="K340" s="116"/>
      <c r="L340" s="116"/>
      <c r="M340" s="114"/>
      <c r="N340" s="114"/>
      <c r="O340" s="113"/>
      <c r="P340" s="113"/>
    </row>
    <row r="341" customFormat="false" ht="15" hidden="false" customHeight="true" outlineLevel="0" collapsed="false">
      <c r="A341" s="107" t="str">
        <f aca="false">IF(D341="","","DEM"&amp;TEXT(ROW()-307,"00000"))</f>
        <v/>
      </c>
      <c r="B341" s="113"/>
      <c r="C341" s="113"/>
      <c r="D341" s="113"/>
      <c r="E341" s="116"/>
      <c r="F341" s="113"/>
      <c r="G341" s="114"/>
      <c r="H341" s="114"/>
      <c r="I341" s="113"/>
      <c r="J341" s="113"/>
      <c r="K341" s="116"/>
      <c r="L341" s="116"/>
      <c r="M341" s="114"/>
      <c r="N341" s="114"/>
      <c r="O341" s="113"/>
      <c r="P341" s="113"/>
    </row>
    <row r="342" customFormat="false" ht="15" hidden="false" customHeight="true" outlineLevel="0" collapsed="false">
      <c r="A342" s="107" t="str">
        <f aca="false">IF(D342="","","DEM"&amp;TEXT(ROW()-307,"00000"))</f>
        <v/>
      </c>
      <c r="B342" s="113"/>
      <c r="C342" s="113"/>
      <c r="D342" s="113"/>
      <c r="E342" s="116"/>
      <c r="F342" s="113"/>
      <c r="G342" s="114"/>
      <c r="H342" s="114"/>
      <c r="I342" s="113"/>
      <c r="J342" s="113"/>
      <c r="K342" s="116"/>
      <c r="L342" s="116"/>
      <c r="M342" s="114"/>
      <c r="N342" s="114"/>
      <c r="O342" s="113"/>
      <c r="P342" s="113"/>
    </row>
    <row r="343" customFormat="false" ht="15" hidden="false" customHeight="true" outlineLevel="0" collapsed="false">
      <c r="A343" s="107" t="str">
        <f aca="false">IF(D343="","","DEM"&amp;TEXT(ROW()-307,"00000"))</f>
        <v/>
      </c>
      <c r="B343" s="113"/>
      <c r="C343" s="113"/>
      <c r="D343" s="113"/>
      <c r="E343" s="116"/>
      <c r="F343" s="113"/>
      <c r="G343" s="114"/>
      <c r="H343" s="114"/>
      <c r="I343" s="113"/>
      <c r="J343" s="113"/>
      <c r="K343" s="116"/>
      <c r="L343" s="116"/>
      <c r="M343" s="114"/>
      <c r="N343" s="114"/>
      <c r="O343" s="113"/>
      <c r="P343" s="113"/>
    </row>
    <row r="344" customFormat="false" ht="15" hidden="false" customHeight="true" outlineLevel="0" collapsed="false">
      <c r="A344" s="107" t="str">
        <f aca="false">IF(D344="","","DEM"&amp;TEXT(ROW()-307,"00000"))</f>
        <v/>
      </c>
      <c r="B344" s="113"/>
      <c r="C344" s="113"/>
      <c r="D344" s="113"/>
      <c r="E344" s="116"/>
      <c r="F344" s="113"/>
      <c r="G344" s="114"/>
      <c r="H344" s="114"/>
      <c r="I344" s="113"/>
      <c r="J344" s="113"/>
      <c r="K344" s="116"/>
      <c r="L344" s="116"/>
      <c r="M344" s="114"/>
      <c r="N344" s="114"/>
      <c r="O344" s="113"/>
      <c r="P344" s="113"/>
    </row>
    <row r="345" customFormat="false" ht="15" hidden="false" customHeight="true" outlineLevel="0" collapsed="false">
      <c r="A345" s="107" t="str">
        <f aca="false">IF(D345="","","DEM"&amp;TEXT(ROW()-307,"00000"))</f>
        <v/>
      </c>
      <c r="B345" s="113"/>
      <c r="C345" s="113"/>
      <c r="D345" s="113"/>
      <c r="E345" s="116"/>
      <c r="F345" s="113"/>
      <c r="G345" s="114"/>
      <c r="H345" s="114"/>
      <c r="I345" s="113"/>
      <c r="J345" s="113"/>
      <c r="K345" s="116"/>
      <c r="L345" s="116"/>
      <c r="M345" s="114"/>
      <c r="N345" s="114"/>
      <c r="O345" s="113"/>
      <c r="P345" s="113"/>
    </row>
    <row r="346" customFormat="false" ht="15" hidden="false" customHeight="true" outlineLevel="0" collapsed="false">
      <c r="A346" s="107" t="str">
        <f aca="false">IF(D346="","","DEM"&amp;TEXT(ROW()-307,"00000"))</f>
        <v/>
      </c>
      <c r="B346" s="113"/>
      <c r="C346" s="113"/>
      <c r="D346" s="113"/>
      <c r="E346" s="116"/>
      <c r="F346" s="113"/>
      <c r="G346" s="114"/>
      <c r="H346" s="114"/>
      <c r="I346" s="113"/>
      <c r="J346" s="113"/>
      <c r="K346" s="116"/>
      <c r="L346" s="116"/>
      <c r="M346" s="114"/>
      <c r="N346" s="114"/>
      <c r="O346" s="113"/>
      <c r="P346" s="113"/>
    </row>
    <row r="347" customFormat="false" ht="15" hidden="false" customHeight="true" outlineLevel="0" collapsed="false">
      <c r="A347" s="107" t="str">
        <f aca="false">IF(D347="","","DEM"&amp;TEXT(ROW()-307,"00000"))</f>
        <v/>
      </c>
      <c r="B347" s="113"/>
      <c r="C347" s="113"/>
      <c r="D347" s="113"/>
      <c r="E347" s="116"/>
      <c r="F347" s="113"/>
      <c r="G347" s="114"/>
      <c r="H347" s="114"/>
      <c r="I347" s="113"/>
      <c r="J347" s="113"/>
      <c r="K347" s="116"/>
      <c r="L347" s="116"/>
      <c r="M347" s="114"/>
      <c r="N347" s="114"/>
      <c r="O347" s="113"/>
      <c r="P347" s="113"/>
    </row>
    <row r="348" customFormat="false" ht="15" hidden="false" customHeight="true" outlineLevel="0" collapsed="false">
      <c r="A348" s="107" t="str">
        <f aca="false">IF(D348="","","DEM"&amp;TEXT(ROW()-307,"00000"))</f>
        <v/>
      </c>
      <c r="B348" s="113"/>
      <c r="C348" s="113"/>
      <c r="D348" s="113"/>
      <c r="E348" s="116"/>
      <c r="F348" s="113"/>
      <c r="G348" s="114"/>
      <c r="H348" s="114"/>
      <c r="I348" s="113"/>
      <c r="J348" s="113"/>
      <c r="K348" s="116"/>
      <c r="L348" s="116"/>
      <c r="M348" s="114"/>
      <c r="N348" s="114"/>
      <c r="O348" s="113"/>
      <c r="P348" s="113"/>
    </row>
    <row r="349" customFormat="false" ht="15" hidden="false" customHeight="true" outlineLevel="0" collapsed="false">
      <c r="A349" s="107" t="str">
        <f aca="false">IF(D349="","","DEM"&amp;TEXT(ROW()-307,"00000"))</f>
        <v/>
      </c>
      <c r="B349" s="113"/>
      <c r="C349" s="113"/>
      <c r="D349" s="113"/>
      <c r="E349" s="116"/>
      <c r="F349" s="113"/>
      <c r="G349" s="114"/>
      <c r="H349" s="114"/>
      <c r="I349" s="113"/>
      <c r="J349" s="113"/>
      <c r="K349" s="116"/>
      <c r="L349" s="116"/>
      <c r="M349" s="114"/>
      <c r="N349" s="114"/>
      <c r="O349" s="113"/>
      <c r="P349" s="113"/>
    </row>
    <row r="350" customFormat="false" ht="15" hidden="false" customHeight="true" outlineLevel="0" collapsed="false">
      <c r="A350" s="107" t="str">
        <f aca="false">IF(D350="","","DEM"&amp;TEXT(ROW()-307,"00000"))</f>
        <v/>
      </c>
      <c r="B350" s="113"/>
      <c r="C350" s="113"/>
      <c r="D350" s="113"/>
      <c r="E350" s="116"/>
      <c r="F350" s="113"/>
      <c r="G350" s="114"/>
      <c r="H350" s="114"/>
      <c r="I350" s="113"/>
      <c r="J350" s="113"/>
      <c r="K350" s="116"/>
      <c r="L350" s="116"/>
      <c r="M350" s="114"/>
      <c r="N350" s="114"/>
      <c r="O350" s="113"/>
      <c r="P350" s="113"/>
    </row>
    <row r="351" customFormat="false" ht="15" hidden="false" customHeight="true" outlineLevel="0" collapsed="false">
      <c r="A351" s="107" t="str">
        <f aca="false">IF(D351="","","DEM"&amp;TEXT(ROW()-307,"00000"))</f>
        <v/>
      </c>
      <c r="B351" s="113"/>
      <c r="C351" s="113"/>
      <c r="D351" s="113"/>
      <c r="E351" s="116"/>
      <c r="F351" s="113"/>
      <c r="G351" s="114"/>
      <c r="H351" s="114"/>
      <c r="I351" s="113"/>
      <c r="J351" s="113"/>
      <c r="K351" s="116"/>
      <c r="L351" s="116"/>
      <c r="M351" s="114"/>
      <c r="N351" s="114"/>
      <c r="O351" s="113"/>
      <c r="P351" s="113"/>
    </row>
    <row r="352" customFormat="false" ht="15" hidden="false" customHeight="true" outlineLevel="0" collapsed="false">
      <c r="A352" s="107" t="str">
        <f aca="false">IF(D352="","","DEM"&amp;TEXT(ROW()-307,"00000"))</f>
        <v/>
      </c>
      <c r="B352" s="113"/>
      <c r="C352" s="113"/>
      <c r="D352" s="113"/>
      <c r="E352" s="116"/>
      <c r="F352" s="113"/>
      <c r="G352" s="114"/>
      <c r="H352" s="114"/>
      <c r="I352" s="113"/>
      <c r="J352" s="113"/>
      <c r="K352" s="116"/>
      <c r="L352" s="116"/>
      <c r="M352" s="114"/>
      <c r="N352" s="114"/>
      <c r="O352" s="113"/>
      <c r="P352" s="113"/>
    </row>
    <row r="353" customFormat="false" ht="15" hidden="false" customHeight="true" outlineLevel="0" collapsed="false">
      <c r="A353" s="107" t="str">
        <f aca="false">IF(D353="","","DEM"&amp;TEXT(ROW()-307,"00000"))</f>
        <v/>
      </c>
      <c r="B353" s="113"/>
      <c r="C353" s="113"/>
      <c r="D353" s="113"/>
      <c r="E353" s="116"/>
      <c r="F353" s="113"/>
      <c r="G353" s="114"/>
      <c r="H353" s="114"/>
      <c r="I353" s="113"/>
      <c r="J353" s="113"/>
      <c r="K353" s="116"/>
      <c r="L353" s="116"/>
      <c r="M353" s="114"/>
      <c r="N353" s="114"/>
      <c r="O353" s="113"/>
      <c r="P353" s="113"/>
    </row>
    <row r="354" customFormat="false" ht="15" hidden="false" customHeight="true" outlineLevel="0" collapsed="false">
      <c r="A354" s="107" t="str">
        <f aca="false">IF(D354="","","DEM"&amp;TEXT(ROW()-307,"00000"))</f>
        <v/>
      </c>
      <c r="B354" s="113"/>
      <c r="C354" s="113"/>
      <c r="D354" s="113"/>
      <c r="E354" s="116"/>
      <c r="F354" s="113"/>
      <c r="G354" s="114"/>
      <c r="H354" s="114"/>
      <c r="I354" s="113"/>
      <c r="J354" s="113"/>
      <c r="K354" s="116"/>
      <c r="L354" s="116"/>
      <c r="M354" s="114"/>
      <c r="N354" s="114"/>
      <c r="O354" s="113"/>
      <c r="P354" s="113"/>
    </row>
    <row r="355" customFormat="false" ht="15" hidden="false" customHeight="true" outlineLevel="0" collapsed="false">
      <c r="A355" s="107" t="str">
        <f aca="false">IF(D355="","","DEM"&amp;TEXT(ROW()-307,"00000"))</f>
        <v/>
      </c>
      <c r="B355" s="113"/>
      <c r="C355" s="113"/>
      <c r="D355" s="113"/>
      <c r="E355" s="116"/>
      <c r="F355" s="113"/>
      <c r="G355" s="114"/>
      <c r="H355" s="114"/>
      <c r="I355" s="113"/>
      <c r="J355" s="113"/>
      <c r="K355" s="116"/>
      <c r="L355" s="116"/>
      <c r="M355" s="114"/>
      <c r="N355" s="114"/>
      <c r="O355" s="113"/>
      <c r="P355" s="113"/>
    </row>
    <row r="356" customFormat="false" ht="15" hidden="false" customHeight="true" outlineLevel="0" collapsed="false">
      <c r="A356" s="107" t="str">
        <f aca="false">IF(D356="","","DEM"&amp;TEXT(ROW()-307,"00000"))</f>
        <v/>
      </c>
      <c r="B356" s="113"/>
      <c r="C356" s="113"/>
      <c r="D356" s="113"/>
      <c r="E356" s="116"/>
      <c r="F356" s="113"/>
      <c r="G356" s="114"/>
      <c r="H356" s="114"/>
      <c r="I356" s="113"/>
      <c r="J356" s="113"/>
      <c r="K356" s="116"/>
      <c r="L356" s="116"/>
      <c r="M356" s="114"/>
      <c r="N356" s="114"/>
      <c r="O356" s="113"/>
      <c r="P356" s="113"/>
    </row>
    <row r="357" customFormat="false" ht="15" hidden="false" customHeight="true" outlineLevel="0" collapsed="false">
      <c r="A357" s="107" t="str">
        <f aca="false">IF(D357="","","DEM"&amp;TEXT(ROW()-307,"00000"))</f>
        <v/>
      </c>
      <c r="B357" s="113"/>
      <c r="C357" s="113"/>
      <c r="D357" s="113"/>
      <c r="E357" s="116"/>
      <c r="F357" s="113"/>
      <c r="G357" s="114"/>
      <c r="H357" s="114"/>
      <c r="I357" s="113"/>
      <c r="J357" s="113"/>
      <c r="K357" s="116"/>
      <c r="L357" s="116"/>
      <c r="M357" s="114"/>
      <c r="N357" s="114"/>
      <c r="O357" s="113"/>
      <c r="P357" s="113"/>
    </row>
    <row r="358" customFormat="false" ht="15" hidden="false" customHeight="true" outlineLevel="0" collapsed="false">
      <c r="A358" s="107" t="str">
        <f aca="false">IF(D358="","","DEM"&amp;TEXT(ROW()-307,"00000"))</f>
        <v/>
      </c>
      <c r="B358" s="113"/>
      <c r="C358" s="113"/>
      <c r="D358" s="113"/>
      <c r="E358" s="116"/>
      <c r="F358" s="113"/>
      <c r="G358" s="114"/>
      <c r="H358" s="114"/>
      <c r="I358" s="113"/>
      <c r="J358" s="113"/>
      <c r="K358" s="116"/>
      <c r="L358" s="116"/>
      <c r="M358" s="114"/>
      <c r="N358" s="114"/>
      <c r="O358" s="113"/>
      <c r="P358" s="113"/>
    </row>
    <row r="359" customFormat="false" ht="15" hidden="false" customHeight="true" outlineLevel="0" collapsed="false">
      <c r="A359" s="107" t="str">
        <f aca="false">IF(D359="","","DEM"&amp;TEXT(ROW()-307,"00000"))</f>
        <v/>
      </c>
      <c r="B359" s="113"/>
      <c r="C359" s="113"/>
      <c r="D359" s="113"/>
      <c r="E359" s="116"/>
      <c r="F359" s="113"/>
      <c r="G359" s="114"/>
      <c r="H359" s="114"/>
      <c r="I359" s="113"/>
      <c r="J359" s="113"/>
      <c r="K359" s="116"/>
      <c r="L359" s="116"/>
      <c r="M359" s="114"/>
      <c r="N359" s="114"/>
      <c r="O359" s="113"/>
      <c r="P359" s="113"/>
    </row>
    <row r="360" customFormat="false" ht="15" hidden="false" customHeight="true" outlineLevel="0" collapsed="false">
      <c r="A360" s="107" t="str">
        <f aca="false">IF(D360="","","DEM"&amp;TEXT(ROW()-307,"00000"))</f>
        <v/>
      </c>
      <c r="B360" s="113"/>
      <c r="C360" s="113"/>
      <c r="D360" s="113"/>
      <c r="E360" s="116"/>
      <c r="F360" s="113"/>
      <c r="G360" s="114"/>
      <c r="H360" s="114"/>
      <c r="I360" s="113"/>
      <c r="J360" s="113"/>
      <c r="K360" s="116"/>
      <c r="L360" s="116"/>
      <c r="M360" s="114"/>
      <c r="N360" s="114"/>
      <c r="O360" s="113"/>
      <c r="P360" s="113"/>
    </row>
    <row r="361" customFormat="false" ht="15" hidden="false" customHeight="true" outlineLevel="0" collapsed="false">
      <c r="A361" s="107" t="str">
        <f aca="false">IF(D361="","","DEM"&amp;TEXT(ROW()-307,"00000"))</f>
        <v/>
      </c>
      <c r="B361" s="113"/>
      <c r="C361" s="113"/>
      <c r="D361" s="113"/>
      <c r="E361" s="116"/>
      <c r="F361" s="113"/>
      <c r="G361" s="114"/>
      <c r="H361" s="114"/>
      <c r="I361" s="113"/>
      <c r="J361" s="113"/>
      <c r="K361" s="116"/>
      <c r="L361" s="116"/>
      <c r="M361" s="114"/>
      <c r="N361" s="114"/>
      <c r="O361" s="113"/>
      <c r="P361" s="113"/>
    </row>
    <row r="362" customFormat="false" ht="15" hidden="false" customHeight="true" outlineLevel="0" collapsed="false">
      <c r="A362" s="107" t="str">
        <f aca="false">IF(D362="","","DEM"&amp;TEXT(ROW()-307,"00000"))</f>
        <v/>
      </c>
      <c r="B362" s="113"/>
      <c r="C362" s="113"/>
      <c r="D362" s="113"/>
      <c r="E362" s="116"/>
      <c r="F362" s="113"/>
      <c r="G362" s="114"/>
      <c r="H362" s="114"/>
      <c r="I362" s="113"/>
      <c r="J362" s="113"/>
      <c r="K362" s="116"/>
      <c r="L362" s="116"/>
      <c r="M362" s="114"/>
      <c r="N362" s="114"/>
      <c r="O362" s="113"/>
      <c r="P362" s="113"/>
    </row>
    <row r="363" customFormat="false" ht="15" hidden="false" customHeight="true" outlineLevel="0" collapsed="false">
      <c r="A363" s="107" t="str">
        <f aca="false">IF(D363="","","DEM"&amp;TEXT(ROW()-307,"00000"))</f>
        <v/>
      </c>
      <c r="B363" s="113"/>
      <c r="C363" s="113"/>
      <c r="D363" s="113"/>
      <c r="E363" s="116"/>
      <c r="F363" s="113"/>
      <c r="G363" s="114"/>
      <c r="H363" s="114"/>
      <c r="I363" s="113"/>
      <c r="J363" s="113"/>
      <c r="K363" s="116"/>
      <c r="L363" s="116"/>
      <c r="M363" s="114"/>
      <c r="N363" s="114"/>
      <c r="O363" s="113"/>
      <c r="P363" s="113"/>
    </row>
    <row r="364" customFormat="false" ht="15" hidden="false" customHeight="true" outlineLevel="0" collapsed="false">
      <c r="A364" s="107" t="str">
        <f aca="false">IF(D364="","","DEM"&amp;TEXT(ROW()-307,"00000"))</f>
        <v/>
      </c>
      <c r="B364" s="113"/>
      <c r="C364" s="113"/>
      <c r="D364" s="113"/>
      <c r="E364" s="116"/>
      <c r="F364" s="113"/>
      <c r="G364" s="114"/>
      <c r="H364" s="114"/>
      <c r="I364" s="113"/>
      <c r="J364" s="113"/>
      <c r="K364" s="116"/>
      <c r="L364" s="116"/>
      <c r="M364" s="114"/>
      <c r="N364" s="114"/>
      <c r="O364" s="113"/>
      <c r="P364" s="113"/>
    </row>
    <row r="365" customFormat="false" ht="15" hidden="false" customHeight="true" outlineLevel="0" collapsed="false">
      <c r="A365" s="107" t="str">
        <f aca="false">IF(D365="","","DEM"&amp;TEXT(ROW()-307,"00000"))</f>
        <v/>
      </c>
      <c r="B365" s="113"/>
      <c r="C365" s="113"/>
      <c r="D365" s="113"/>
      <c r="E365" s="116"/>
      <c r="F365" s="113"/>
      <c r="G365" s="114"/>
      <c r="H365" s="114"/>
      <c r="I365" s="113"/>
      <c r="J365" s="113"/>
      <c r="K365" s="116"/>
      <c r="L365" s="116"/>
      <c r="M365" s="114"/>
      <c r="N365" s="114"/>
      <c r="O365" s="113"/>
      <c r="P365" s="113"/>
    </row>
    <row r="366" customFormat="false" ht="15" hidden="false" customHeight="true" outlineLevel="0" collapsed="false">
      <c r="A366" s="107" t="str">
        <f aca="false">IF(D366="","","DEM"&amp;TEXT(ROW()-307,"00000"))</f>
        <v/>
      </c>
      <c r="B366" s="113"/>
      <c r="C366" s="113"/>
      <c r="D366" s="113"/>
      <c r="E366" s="116"/>
      <c r="F366" s="113"/>
      <c r="G366" s="114"/>
      <c r="H366" s="114"/>
      <c r="I366" s="113"/>
      <c r="J366" s="113"/>
      <c r="K366" s="116"/>
      <c r="L366" s="116"/>
      <c r="M366" s="114"/>
      <c r="N366" s="114"/>
      <c r="O366" s="113"/>
      <c r="P366" s="113"/>
    </row>
    <row r="367" customFormat="false" ht="15" hidden="false" customHeight="true" outlineLevel="0" collapsed="false">
      <c r="A367" s="107" t="str">
        <f aca="false">IF(D367="","","DEM"&amp;TEXT(ROW()-307,"00000"))</f>
        <v/>
      </c>
      <c r="B367" s="113"/>
      <c r="C367" s="113"/>
      <c r="D367" s="113"/>
      <c r="E367" s="116"/>
      <c r="F367" s="113"/>
      <c r="G367" s="114"/>
      <c r="H367" s="114"/>
      <c r="I367" s="113"/>
      <c r="J367" s="113"/>
      <c r="K367" s="116"/>
      <c r="L367" s="116"/>
      <c r="M367" s="114"/>
      <c r="N367" s="114"/>
      <c r="O367" s="113"/>
      <c r="P367" s="113"/>
    </row>
    <row r="370" customFormat="false" ht="19.5" hidden="false" customHeight="true" outlineLevel="0" collapsed="false">
      <c r="A370" s="55" t="s">
        <v>1960</v>
      </c>
      <c r="B370" s="55"/>
      <c r="C370" s="55"/>
      <c r="D370" s="55"/>
      <c r="E370" s="55"/>
      <c r="F370" s="55"/>
      <c r="G370" s="55"/>
      <c r="H370" s="55"/>
      <c r="I370" s="55"/>
    </row>
    <row r="371" customFormat="false" ht="25.5" hidden="false" customHeight="true" outlineLevel="0" collapsed="false">
      <c r="A371" s="112" t="s">
        <v>1961</v>
      </c>
      <c r="B371" s="112" t="s">
        <v>1909</v>
      </c>
      <c r="C371" s="112" t="s">
        <v>1954</v>
      </c>
      <c r="D371" s="112" t="s">
        <v>805</v>
      </c>
      <c r="E371" s="112" t="s">
        <v>1667</v>
      </c>
      <c r="F371" s="112" t="s">
        <v>1962</v>
      </c>
      <c r="G371" s="112" t="s">
        <v>1963</v>
      </c>
      <c r="H371" s="112" t="s">
        <v>1659</v>
      </c>
      <c r="I371" s="112" t="s">
        <v>54</v>
      </c>
    </row>
    <row r="372" customFormat="false" ht="15" hidden="false" customHeight="true" outlineLevel="0" collapsed="false">
      <c r="A372" s="107" t="str">
        <f aca="false">IF(B372="","","DEC"&amp;TEXT(ROW()-371,"00000"))</f>
        <v/>
      </c>
      <c r="B372" s="113"/>
      <c r="C372" s="113"/>
      <c r="D372" s="113"/>
      <c r="E372" s="114"/>
      <c r="F372" s="114"/>
      <c r="G372" s="116"/>
      <c r="H372" s="116"/>
      <c r="I372" s="113"/>
    </row>
    <row r="373" customFormat="false" ht="15" hidden="false" customHeight="true" outlineLevel="0" collapsed="false">
      <c r="A373" s="107" t="str">
        <f aca="false">IF(B373="","","DEC"&amp;TEXT(ROW()-371,"00000"))</f>
        <v/>
      </c>
      <c r="B373" s="113"/>
      <c r="C373" s="113"/>
      <c r="D373" s="113"/>
      <c r="E373" s="114"/>
      <c r="F373" s="114"/>
      <c r="G373" s="116"/>
      <c r="H373" s="116"/>
      <c r="I373" s="113"/>
    </row>
    <row r="374" customFormat="false" ht="15" hidden="false" customHeight="true" outlineLevel="0" collapsed="false">
      <c r="A374" s="107" t="str">
        <f aca="false">IF(B374="","","DEC"&amp;TEXT(ROW()-371,"00000"))</f>
        <v/>
      </c>
      <c r="B374" s="113"/>
      <c r="C374" s="113"/>
      <c r="D374" s="113"/>
      <c r="E374" s="114"/>
      <c r="F374" s="114"/>
      <c r="G374" s="116"/>
      <c r="H374" s="116"/>
      <c r="I374" s="113"/>
    </row>
    <row r="375" customFormat="false" ht="15" hidden="false" customHeight="true" outlineLevel="0" collapsed="false">
      <c r="A375" s="107" t="str">
        <f aca="false">IF(B375="","","DEC"&amp;TEXT(ROW()-371,"00000"))</f>
        <v/>
      </c>
      <c r="B375" s="113"/>
      <c r="C375" s="113"/>
      <c r="D375" s="113"/>
      <c r="E375" s="114"/>
      <c r="F375" s="114"/>
      <c r="G375" s="116"/>
      <c r="H375" s="116"/>
      <c r="I375" s="113"/>
    </row>
    <row r="376" customFormat="false" ht="15" hidden="false" customHeight="true" outlineLevel="0" collapsed="false">
      <c r="A376" s="107" t="str">
        <f aca="false">IF(B376="","","DEC"&amp;TEXT(ROW()-371,"00000"))</f>
        <v/>
      </c>
      <c r="B376" s="113"/>
      <c r="C376" s="113"/>
      <c r="D376" s="113"/>
      <c r="E376" s="114"/>
      <c r="F376" s="114"/>
      <c r="G376" s="116"/>
      <c r="H376" s="116"/>
      <c r="I376" s="113"/>
    </row>
    <row r="377" customFormat="false" ht="15" hidden="false" customHeight="true" outlineLevel="0" collapsed="false">
      <c r="A377" s="107" t="str">
        <f aca="false">IF(B377="","","DEC"&amp;TEXT(ROW()-371,"00000"))</f>
        <v/>
      </c>
      <c r="B377" s="113"/>
      <c r="C377" s="113"/>
      <c r="D377" s="113"/>
      <c r="E377" s="114"/>
      <c r="F377" s="114"/>
      <c r="G377" s="116"/>
      <c r="H377" s="116"/>
      <c r="I377" s="113"/>
    </row>
    <row r="378" customFormat="false" ht="15" hidden="false" customHeight="true" outlineLevel="0" collapsed="false">
      <c r="A378" s="107" t="str">
        <f aca="false">IF(B378="","","DEC"&amp;TEXT(ROW()-371,"00000"))</f>
        <v/>
      </c>
      <c r="B378" s="113"/>
      <c r="C378" s="113"/>
      <c r="D378" s="113"/>
      <c r="E378" s="114"/>
      <c r="F378" s="114"/>
      <c r="G378" s="116"/>
      <c r="H378" s="116"/>
      <c r="I378" s="113"/>
    </row>
    <row r="379" customFormat="false" ht="15" hidden="false" customHeight="true" outlineLevel="0" collapsed="false">
      <c r="A379" s="107" t="str">
        <f aca="false">IF(B379="","","DEC"&amp;TEXT(ROW()-371,"00000"))</f>
        <v/>
      </c>
      <c r="B379" s="113"/>
      <c r="C379" s="113"/>
      <c r="D379" s="113"/>
      <c r="E379" s="114"/>
      <c r="F379" s="114"/>
      <c r="G379" s="116"/>
      <c r="H379" s="116"/>
      <c r="I379" s="113"/>
    </row>
    <row r="380" customFormat="false" ht="15" hidden="false" customHeight="true" outlineLevel="0" collapsed="false">
      <c r="A380" s="107" t="str">
        <f aca="false">IF(B380="","","DEC"&amp;TEXT(ROW()-371,"00000"))</f>
        <v/>
      </c>
      <c r="B380" s="113"/>
      <c r="C380" s="113"/>
      <c r="D380" s="113"/>
      <c r="E380" s="114"/>
      <c r="F380" s="114"/>
      <c r="G380" s="116"/>
      <c r="H380" s="116"/>
      <c r="I380" s="113"/>
    </row>
    <row r="381" customFormat="false" ht="15" hidden="false" customHeight="true" outlineLevel="0" collapsed="false">
      <c r="A381" s="107" t="str">
        <f aca="false">IF(B381="","","DEC"&amp;TEXT(ROW()-371,"00000"))</f>
        <v/>
      </c>
      <c r="B381" s="113"/>
      <c r="C381" s="113"/>
      <c r="D381" s="113"/>
      <c r="E381" s="114"/>
      <c r="F381" s="114"/>
      <c r="G381" s="116"/>
      <c r="H381" s="116"/>
      <c r="I381" s="113"/>
    </row>
    <row r="382" customFormat="false" ht="15" hidden="false" customHeight="true" outlineLevel="0" collapsed="false">
      <c r="A382" s="107" t="str">
        <f aca="false">IF(B382="","","DEC"&amp;TEXT(ROW()-371,"00000"))</f>
        <v/>
      </c>
      <c r="B382" s="113"/>
      <c r="C382" s="113"/>
      <c r="D382" s="113"/>
      <c r="E382" s="114"/>
      <c r="F382" s="114"/>
      <c r="G382" s="116"/>
      <c r="H382" s="116"/>
      <c r="I382" s="113"/>
    </row>
    <row r="383" customFormat="false" ht="15" hidden="false" customHeight="true" outlineLevel="0" collapsed="false">
      <c r="A383" s="107" t="str">
        <f aca="false">IF(B383="","","DEC"&amp;TEXT(ROW()-371,"00000"))</f>
        <v/>
      </c>
      <c r="B383" s="113"/>
      <c r="C383" s="113"/>
      <c r="D383" s="113"/>
      <c r="E383" s="114"/>
      <c r="F383" s="114"/>
      <c r="G383" s="116"/>
      <c r="H383" s="116"/>
      <c r="I383" s="113"/>
    </row>
    <row r="384" customFormat="false" ht="15" hidden="false" customHeight="true" outlineLevel="0" collapsed="false">
      <c r="A384" s="107" t="str">
        <f aca="false">IF(B384="","","DEC"&amp;TEXT(ROW()-371,"00000"))</f>
        <v/>
      </c>
      <c r="B384" s="113"/>
      <c r="C384" s="113"/>
      <c r="D384" s="113"/>
      <c r="E384" s="114"/>
      <c r="F384" s="114"/>
      <c r="G384" s="116"/>
      <c r="H384" s="116"/>
      <c r="I384" s="113"/>
    </row>
    <row r="385" customFormat="false" ht="15" hidden="false" customHeight="true" outlineLevel="0" collapsed="false">
      <c r="A385" s="107" t="str">
        <f aca="false">IF(B385="","","DEC"&amp;TEXT(ROW()-371,"00000"))</f>
        <v/>
      </c>
      <c r="B385" s="113"/>
      <c r="C385" s="113"/>
      <c r="D385" s="113"/>
      <c r="E385" s="114"/>
      <c r="F385" s="114"/>
      <c r="G385" s="116"/>
      <c r="H385" s="116"/>
      <c r="I385" s="113"/>
    </row>
    <row r="386" customFormat="false" ht="15" hidden="false" customHeight="true" outlineLevel="0" collapsed="false">
      <c r="A386" s="107" t="str">
        <f aca="false">IF(B386="","","DEC"&amp;TEXT(ROW()-371,"00000"))</f>
        <v/>
      </c>
      <c r="B386" s="113"/>
      <c r="C386" s="113"/>
      <c r="D386" s="113"/>
      <c r="E386" s="114"/>
      <c r="F386" s="114"/>
      <c r="G386" s="116"/>
      <c r="H386" s="116"/>
      <c r="I386" s="113"/>
    </row>
    <row r="387" customFormat="false" ht="15" hidden="false" customHeight="true" outlineLevel="0" collapsed="false">
      <c r="A387" s="107" t="str">
        <f aca="false">IF(B387="","","DEC"&amp;TEXT(ROW()-371,"00000"))</f>
        <v/>
      </c>
      <c r="B387" s="113"/>
      <c r="C387" s="113"/>
      <c r="D387" s="113"/>
      <c r="E387" s="114"/>
      <c r="F387" s="114"/>
      <c r="G387" s="116"/>
      <c r="H387" s="116"/>
      <c r="I387" s="113"/>
    </row>
    <row r="388" customFormat="false" ht="15" hidden="false" customHeight="true" outlineLevel="0" collapsed="false">
      <c r="A388" s="107" t="str">
        <f aca="false">IF(B388="","","DEC"&amp;TEXT(ROW()-371,"00000"))</f>
        <v/>
      </c>
      <c r="B388" s="113"/>
      <c r="C388" s="113"/>
      <c r="D388" s="113"/>
      <c r="E388" s="114"/>
      <c r="F388" s="114"/>
      <c r="G388" s="116"/>
      <c r="H388" s="116"/>
      <c r="I388" s="113"/>
    </row>
    <row r="389" customFormat="false" ht="15" hidden="false" customHeight="true" outlineLevel="0" collapsed="false">
      <c r="A389" s="107" t="str">
        <f aca="false">IF(B389="","","DEC"&amp;TEXT(ROW()-371,"00000"))</f>
        <v/>
      </c>
      <c r="B389" s="113"/>
      <c r="C389" s="113"/>
      <c r="D389" s="113"/>
      <c r="E389" s="114"/>
      <c r="F389" s="114"/>
      <c r="G389" s="116"/>
      <c r="H389" s="116"/>
      <c r="I389" s="113"/>
    </row>
    <row r="390" customFormat="false" ht="15" hidden="false" customHeight="true" outlineLevel="0" collapsed="false">
      <c r="A390" s="107" t="str">
        <f aca="false">IF(B390="","","DEC"&amp;TEXT(ROW()-371,"00000"))</f>
        <v/>
      </c>
      <c r="B390" s="113"/>
      <c r="C390" s="113"/>
      <c r="D390" s="113"/>
      <c r="E390" s="114"/>
      <c r="F390" s="114"/>
      <c r="G390" s="116"/>
      <c r="H390" s="116"/>
      <c r="I390" s="113"/>
    </row>
    <row r="391" customFormat="false" ht="15" hidden="false" customHeight="true" outlineLevel="0" collapsed="false">
      <c r="A391" s="107" t="str">
        <f aca="false">IF(B391="","","DEC"&amp;TEXT(ROW()-371,"00000"))</f>
        <v/>
      </c>
      <c r="B391" s="113"/>
      <c r="C391" s="113"/>
      <c r="D391" s="113"/>
      <c r="E391" s="114"/>
      <c r="F391" s="114"/>
      <c r="G391" s="116"/>
      <c r="H391" s="116"/>
      <c r="I391" s="113"/>
    </row>
    <row r="392" customFormat="false" ht="15" hidden="false" customHeight="true" outlineLevel="0" collapsed="false">
      <c r="A392" s="107" t="str">
        <f aca="false">IF(B392="","","DEC"&amp;TEXT(ROW()-371,"00000"))</f>
        <v/>
      </c>
      <c r="B392" s="113"/>
      <c r="C392" s="113"/>
      <c r="D392" s="113"/>
      <c r="E392" s="114"/>
      <c r="F392" s="114"/>
      <c r="G392" s="116"/>
      <c r="H392" s="116"/>
      <c r="I392" s="113"/>
    </row>
    <row r="393" customFormat="false" ht="15" hidden="false" customHeight="true" outlineLevel="0" collapsed="false">
      <c r="A393" s="107" t="str">
        <f aca="false">IF(B393="","","DEC"&amp;TEXT(ROW()-371,"00000"))</f>
        <v/>
      </c>
      <c r="B393" s="113"/>
      <c r="C393" s="113"/>
      <c r="D393" s="113"/>
      <c r="E393" s="114"/>
      <c r="F393" s="114"/>
      <c r="G393" s="116"/>
      <c r="H393" s="116"/>
      <c r="I393" s="113"/>
    </row>
    <row r="394" customFormat="false" ht="15" hidden="false" customHeight="true" outlineLevel="0" collapsed="false">
      <c r="A394" s="107" t="str">
        <f aca="false">IF(B394="","","DEC"&amp;TEXT(ROW()-371,"00000"))</f>
        <v/>
      </c>
      <c r="B394" s="113"/>
      <c r="C394" s="113"/>
      <c r="D394" s="113"/>
      <c r="E394" s="114"/>
      <c r="F394" s="114"/>
      <c r="G394" s="116"/>
      <c r="H394" s="116"/>
      <c r="I394" s="113"/>
    </row>
    <row r="395" customFormat="false" ht="15" hidden="false" customHeight="true" outlineLevel="0" collapsed="false">
      <c r="A395" s="107" t="str">
        <f aca="false">IF(B395="","","DEC"&amp;TEXT(ROW()-371,"00000"))</f>
        <v/>
      </c>
      <c r="B395" s="113"/>
      <c r="C395" s="113"/>
      <c r="D395" s="113"/>
      <c r="E395" s="114"/>
      <c r="F395" s="114"/>
      <c r="G395" s="116"/>
      <c r="H395" s="116"/>
      <c r="I395" s="113"/>
    </row>
    <row r="396" customFormat="false" ht="15" hidden="false" customHeight="true" outlineLevel="0" collapsed="false">
      <c r="A396" s="107" t="str">
        <f aca="false">IF(B396="","","DEC"&amp;TEXT(ROW()-371,"00000"))</f>
        <v/>
      </c>
      <c r="B396" s="113"/>
      <c r="C396" s="113"/>
      <c r="D396" s="113"/>
      <c r="E396" s="114"/>
      <c r="F396" s="114"/>
      <c r="G396" s="116"/>
      <c r="H396" s="116"/>
      <c r="I396" s="113"/>
    </row>
    <row r="397" customFormat="false" ht="15" hidden="false" customHeight="true" outlineLevel="0" collapsed="false">
      <c r="A397" s="107" t="str">
        <f aca="false">IF(B397="","","DEC"&amp;TEXT(ROW()-371,"00000"))</f>
        <v/>
      </c>
      <c r="B397" s="113"/>
      <c r="C397" s="113"/>
      <c r="D397" s="113"/>
      <c r="E397" s="114"/>
      <c r="F397" s="114"/>
      <c r="G397" s="116"/>
      <c r="H397" s="116"/>
      <c r="I397" s="113"/>
    </row>
    <row r="398" customFormat="false" ht="15" hidden="false" customHeight="true" outlineLevel="0" collapsed="false">
      <c r="A398" s="107" t="str">
        <f aca="false">IF(B398="","","DEC"&amp;TEXT(ROW()-371,"00000"))</f>
        <v/>
      </c>
      <c r="B398" s="113"/>
      <c r="C398" s="113"/>
      <c r="D398" s="113"/>
      <c r="E398" s="114"/>
      <c r="F398" s="114"/>
      <c r="G398" s="116"/>
      <c r="H398" s="116"/>
      <c r="I398" s="113"/>
    </row>
    <row r="399" customFormat="false" ht="15" hidden="false" customHeight="true" outlineLevel="0" collapsed="false">
      <c r="A399" s="107" t="str">
        <f aca="false">IF(B399="","","DEC"&amp;TEXT(ROW()-371,"00000"))</f>
        <v/>
      </c>
      <c r="B399" s="113"/>
      <c r="C399" s="113"/>
      <c r="D399" s="113"/>
      <c r="E399" s="114"/>
      <c r="F399" s="114"/>
      <c r="G399" s="116"/>
      <c r="H399" s="116"/>
      <c r="I399" s="113"/>
    </row>
    <row r="400" customFormat="false" ht="15" hidden="false" customHeight="true" outlineLevel="0" collapsed="false">
      <c r="A400" s="107" t="str">
        <f aca="false">IF(B400="","","DEC"&amp;TEXT(ROW()-371,"00000"))</f>
        <v/>
      </c>
      <c r="B400" s="113"/>
      <c r="C400" s="113"/>
      <c r="D400" s="113"/>
      <c r="E400" s="114"/>
      <c r="F400" s="114"/>
      <c r="G400" s="116"/>
      <c r="H400" s="116"/>
      <c r="I400" s="113"/>
    </row>
    <row r="401" customFormat="false" ht="15" hidden="false" customHeight="true" outlineLevel="0" collapsed="false">
      <c r="A401" s="107" t="str">
        <f aca="false">IF(B401="","","DEC"&amp;TEXT(ROW()-371,"00000"))</f>
        <v/>
      </c>
      <c r="B401" s="113"/>
      <c r="C401" s="113"/>
      <c r="D401" s="113"/>
      <c r="E401" s="114"/>
      <c r="F401" s="114"/>
      <c r="G401" s="116"/>
      <c r="H401" s="116"/>
      <c r="I401" s="113"/>
    </row>
    <row r="402" customFormat="false" ht="15" hidden="false" customHeight="true" outlineLevel="0" collapsed="false">
      <c r="A402" s="107" t="str">
        <f aca="false">IF(B402="","","DEC"&amp;TEXT(ROW()-371,"00000"))</f>
        <v/>
      </c>
      <c r="B402" s="113"/>
      <c r="C402" s="113"/>
      <c r="D402" s="113"/>
      <c r="E402" s="114"/>
      <c r="F402" s="114"/>
      <c r="G402" s="116"/>
      <c r="H402" s="116"/>
      <c r="I402" s="113"/>
    </row>
    <row r="403" customFormat="false" ht="15" hidden="false" customHeight="true" outlineLevel="0" collapsed="false">
      <c r="A403" s="107" t="str">
        <f aca="false">IF(B403="","","DEC"&amp;TEXT(ROW()-371,"00000"))</f>
        <v/>
      </c>
      <c r="B403" s="113"/>
      <c r="C403" s="113"/>
      <c r="D403" s="113"/>
      <c r="E403" s="114"/>
      <c r="F403" s="114"/>
      <c r="G403" s="116"/>
      <c r="H403" s="116"/>
      <c r="I403" s="113"/>
    </row>
    <row r="404" customFormat="false" ht="15" hidden="false" customHeight="true" outlineLevel="0" collapsed="false">
      <c r="A404" s="107" t="str">
        <f aca="false">IF(B404="","","DEC"&amp;TEXT(ROW()-371,"00000"))</f>
        <v/>
      </c>
      <c r="B404" s="113"/>
      <c r="C404" s="113"/>
      <c r="D404" s="113"/>
      <c r="E404" s="114"/>
      <c r="F404" s="114"/>
      <c r="G404" s="116"/>
      <c r="H404" s="116"/>
      <c r="I404" s="113"/>
    </row>
    <row r="405" customFormat="false" ht="15" hidden="false" customHeight="true" outlineLevel="0" collapsed="false">
      <c r="A405" s="107" t="str">
        <f aca="false">IF(B405="","","DEC"&amp;TEXT(ROW()-371,"00000"))</f>
        <v/>
      </c>
      <c r="B405" s="113"/>
      <c r="C405" s="113"/>
      <c r="D405" s="113"/>
      <c r="E405" s="114"/>
      <c r="F405" s="114"/>
      <c r="G405" s="116"/>
      <c r="H405" s="116"/>
      <c r="I405" s="113"/>
    </row>
    <row r="406" customFormat="false" ht="15" hidden="false" customHeight="true" outlineLevel="0" collapsed="false">
      <c r="A406" s="107" t="str">
        <f aca="false">IF(B406="","","DEC"&amp;TEXT(ROW()-371,"00000"))</f>
        <v/>
      </c>
      <c r="B406" s="113"/>
      <c r="C406" s="113"/>
      <c r="D406" s="113"/>
      <c r="E406" s="114"/>
      <c r="F406" s="114"/>
      <c r="G406" s="116"/>
      <c r="H406" s="116"/>
      <c r="I406" s="113"/>
    </row>
    <row r="407" customFormat="false" ht="15" hidden="false" customHeight="true" outlineLevel="0" collapsed="false">
      <c r="A407" s="107" t="str">
        <f aca="false">IF(B407="","","DEC"&amp;TEXT(ROW()-371,"00000"))</f>
        <v/>
      </c>
      <c r="B407" s="113"/>
      <c r="C407" s="113"/>
      <c r="D407" s="113"/>
      <c r="E407" s="114"/>
      <c r="F407" s="114"/>
      <c r="G407" s="116"/>
      <c r="H407" s="116"/>
      <c r="I407" s="113"/>
    </row>
    <row r="408" customFormat="false" ht="15" hidden="false" customHeight="true" outlineLevel="0" collapsed="false">
      <c r="A408" s="107" t="str">
        <f aca="false">IF(B408="","","DEC"&amp;TEXT(ROW()-371,"00000"))</f>
        <v/>
      </c>
      <c r="B408" s="113"/>
      <c r="C408" s="113"/>
      <c r="D408" s="113"/>
      <c r="E408" s="114"/>
      <c r="F408" s="114"/>
      <c r="G408" s="116"/>
      <c r="H408" s="116"/>
      <c r="I408" s="113"/>
    </row>
    <row r="409" customFormat="false" ht="15" hidden="false" customHeight="true" outlineLevel="0" collapsed="false">
      <c r="A409" s="107" t="str">
        <f aca="false">IF(B409="","","DEC"&amp;TEXT(ROW()-371,"00000"))</f>
        <v/>
      </c>
      <c r="B409" s="113"/>
      <c r="C409" s="113"/>
      <c r="D409" s="113"/>
      <c r="E409" s="114"/>
      <c r="F409" s="114"/>
      <c r="G409" s="116"/>
      <c r="H409" s="116"/>
      <c r="I409" s="113"/>
    </row>
    <row r="410" customFormat="false" ht="15" hidden="false" customHeight="true" outlineLevel="0" collapsed="false">
      <c r="A410" s="107" t="str">
        <f aca="false">IF(B410="","","DEC"&amp;TEXT(ROW()-371,"00000"))</f>
        <v/>
      </c>
      <c r="B410" s="113"/>
      <c r="C410" s="113"/>
      <c r="D410" s="113"/>
      <c r="E410" s="114"/>
      <c r="F410" s="114"/>
      <c r="G410" s="116"/>
      <c r="H410" s="116"/>
      <c r="I410" s="113"/>
    </row>
    <row r="411" customFormat="false" ht="15" hidden="false" customHeight="true" outlineLevel="0" collapsed="false">
      <c r="A411" s="107" t="str">
        <f aca="false">IF(B411="","","DEC"&amp;TEXT(ROW()-371,"00000"))</f>
        <v/>
      </c>
      <c r="B411" s="113"/>
      <c r="C411" s="113"/>
      <c r="D411" s="113"/>
      <c r="E411" s="114"/>
      <c r="F411" s="114"/>
      <c r="G411" s="116"/>
      <c r="H411" s="116"/>
      <c r="I411" s="113"/>
    </row>
    <row r="414" customFormat="false" ht="19.5" hidden="false" customHeight="true" outlineLevel="0" collapsed="false">
      <c r="A414" s="55" t="s">
        <v>1964</v>
      </c>
      <c r="B414" s="55"/>
      <c r="C414" s="55"/>
      <c r="D414" s="55"/>
      <c r="E414" s="55"/>
      <c r="F414" s="55"/>
      <c r="G414" s="55"/>
      <c r="H414" s="55"/>
      <c r="I414" s="55"/>
      <c r="J414" s="55"/>
      <c r="K414" s="55"/>
      <c r="L414" s="55"/>
    </row>
    <row r="415" customFormat="false" ht="25.5" hidden="false" customHeight="true" outlineLevel="0" collapsed="false">
      <c r="A415" s="112" t="s">
        <v>1909</v>
      </c>
      <c r="B415" s="112" t="s">
        <v>1965</v>
      </c>
      <c r="C415" s="112" t="s">
        <v>805</v>
      </c>
      <c r="D415" s="112" t="s">
        <v>1861</v>
      </c>
      <c r="E415" s="112" t="s">
        <v>1857</v>
      </c>
      <c r="F415" s="112" t="s">
        <v>1858</v>
      </c>
      <c r="G415" s="112" t="s">
        <v>1966</v>
      </c>
      <c r="H415" s="112" t="s">
        <v>1368</v>
      </c>
      <c r="I415" s="112" t="s">
        <v>1967</v>
      </c>
      <c r="J415" s="112" t="s">
        <v>1968</v>
      </c>
      <c r="K415" s="112" t="s">
        <v>54</v>
      </c>
      <c r="L415" s="112" t="s">
        <v>1862</v>
      </c>
    </row>
    <row r="416" customFormat="false" ht="15" hidden="false" customHeight="true" outlineLevel="0" collapsed="false">
      <c r="A416" s="113"/>
      <c r="B416" s="113"/>
      <c r="C416" s="113"/>
      <c r="D416" s="114"/>
      <c r="E416" s="114"/>
      <c r="F416" s="114"/>
      <c r="G416" s="116"/>
      <c r="H416" s="113"/>
      <c r="I416" s="113"/>
      <c r="J416" s="113"/>
      <c r="K416" s="113"/>
      <c r="L416" s="107" t="str">
        <f aca="true">IF(F416="","",F416-TODAY())</f>
        <v/>
      </c>
    </row>
    <row r="417" customFormat="false" ht="15" hidden="false" customHeight="true" outlineLevel="0" collapsed="false">
      <c r="A417" s="113"/>
      <c r="B417" s="113"/>
      <c r="C417" s="113"/>
      <c r="D417" s="114"/>
      <c r="E417" s="114"/>
      <c r="F417" s="114"/>
      <c r="G417" s="116"/>
      <c r="H417" s="113"/>
      <c r="I417" s="113"/>
      <c r="J417" s="113"/>
      <c r="K417" s="113"/>
      <c r="L417" s="107" t="str">
        <f aca="true">IF(F417="","",F417-TODAY())</f>
        <v/>
      </c>
    </row>
    <row r="418" customFormat="false" ht="15" hidden="false" customHeight="true" outlineLevel="0" collapsed="false">
      <c r="A418" s="113"/>
      <c r="B418" s="113"/>
      <c r="C418" s="113"/>
      <c r="D418" s="114"/>
      <c r="E418" s="114"/>
      <c r="F418" s="114"/>
      <c r="G418" s="116"/>
      <c r="H418" s="113"/>
      <c r="I418" s="113"/>
      <c r="J418" s="113"/>
      <c r="K418" s="113"/>
      <c r="L418" s="107" t="str">
        <f aca="true">IF(F418="","",F418-TODAY())</f>
        <v/>
      </c>
    </row>
    <row r="419" customFormat="false" ht="15" hidden="false" customHeight="true" outlineLevel="0" collapsed="false">
      <c r="A419" s="113"/>
      <c r="B419" s="113"/>
      <c r="C419" s="113"/>
      <c r="D419" s="114"/>
      <c r="E419" s="114"/>
      <c r="F419" s="114"/>
      <c r="G419" s="116"/>
      <c r="H419" s="113"/>
      <c r="I419" s="113"/>
      <c r="J419" s="113"/>
      <c r="K419" s="113"/>
      <c r="L419" s="107" t="str">
        <f aca="true">IF(F419="","",F419-TODAY())</f>
        <v/>
      </c>
    </row>
    <row r="420" customFormat="false" ht="15" hidden="false" customHeight="true" outlineLevel="0" collapsed="false">
      <c r="A420" s="113"/>
      <c r="B420" s="113"/>
      <c r="C420" s="113"/>
      <c r="D420" s="114"/>
      <c r="E420" s="114"/>
      <c r="F420" s="114"/>
      <c r="G420" s="116"/>
      <c r="H420" s="113"/>
      <c r="I420" s="113"/>
      <c r="J420" s="113"/>
      <c r="K420" s="113"/>
      <c r="L420" s="107" t="str">
        <f aca="true">IF(F420="","",F420-TODAY())</f>
        <v/>
      </c>
    </row>
    <row r="421" customFormat="false" ht="15" hidden="false" customHeight="true" outlineLevel="0" collapsed="false">
      <c r="A421" s="113"/>
      <c r="B421" s="113"/>
      <c r="C421" s="113"/>
      <c r="D421" s="114"/>
      <c r="E421" s="114"/>
      <c r="F421" s="114"/>
      <c r="G421" s="116"/>
      <c r="H421" s="113"/>
      <c r="I421" s="113"/>
      <c r="J421" s="113"/>
      <c r="K421" s="113"/>
      <c r="L421" s="107" t="str">
        <f aca="true">IF(F421="","",F421-TODAY())</f>
        <v/>
      </c>
    </row>
    <row r="422" customFormat="false" ht="15" hidden="false" customHeight="true" outlineLevel="0" collapsed="false">
      <c r="A422" s="113"/>
      <c r="B422" s="113"/>
      <c r="C422" s="113"/>
      <c r="D422" s="114"/>
      <c r="E422" s="114"/>
      <c r="F422" s="114"/>
      <c r="G422" s="116"/>
      <c r="H422" s="113"/>
      <c r="I422" s="113"/>
      <c r="J422" s="113"/>
      <c r="K422" s="113"/>
      <c r="L422" s="107" t="str">
        <f aca="true">IF(F422="","",F422-TODAY())</f>
        <v/>
      </c>
    </row>
    <row r="423" customFormat="false" ht="15" hidden="false" customHeight="true" outlineLevel="0" collapsed="false">
      <c r="A423" s="113"/>
      <c r="B423" s="113"/>
      <c r="C423" s="113"/>
      <c r="D423" s="114"/>
      <c r="E423" s="114"/>
      <c r="F423" s="114"/>
      <c r="G423" s="116"/>
      <c r="H423" s="113"/>
      <c r="I423" s="113"/>
      <c r="J423" s="113"/>
      <c r="K423" s="113"/>
      <c r="L423" s="107" t="str">
        <f aca="true">IF(F423="","",F423-TODAY())</f>
        <v/>
      </c>
    </row>
    <row r="424" customFormat="false" ht="15" hidden="false" customHeight="true" outlineLevel="0" collapsed="false">
      <c r="A424" s="113"/>
      <c r="B424" s="113"/>
      <c r="C424" s="113"/>
      <c r="D424" s="114"/>
      <c r="E424" s="114"/>
      <c r="F424" s="114"/>
      <c r="G424" s="116"/>
      <c r="H424" s="113"/>
      <c r="I424" s="113"/>
      <c r="J424" s="113"/>
      <c r="K424" s="113"/>
      <c r="L424" s="107" t="str">
        <f aca="true">IF(F424="","",F424-TODAY())</f>
        <v/>
      </c>
    </row>
    <row r="425" customFormat="false" ht="15" hidden="false" customHeight="true" outlineLevel="0" collapsed="false">
      <c r="A425" s="113"/>
      <c r="B425" s="113"/>
      <c r="C425" s="113"/>
      <c r="D425" s="114"/>
      <c r="E425" s="114"/>
      <c r="F425" s="114"/>
      <c r="G425" s="116"/>
      <c r="H425" s="113"/>
      <c r="I425" s="113"/>
      <c r="J425" s="113"/>
      <c r="K425" s="113"/>
      <c r="L425" s="107" t="str">
        <f aca="true">IF(F425="","",F425-TODAY())</f>
        <v/>
      </c>
    </row>
    <row r="426" customFormat="false" ht="15" hidden="false" customHeight="true" outlineLevel="0" collapsed="false">
      <c r="A426" s="113"/>
      <c r="B426" s="113"/>
      <c r="C426" s="113"/>
      <c r="D426" s="114"/>
      <c r="E426" s="114"/>
      <c r="F426" s="114"/>
      <c r="G426" s="116"/>
      <c r="H426" s="113"/>
      <c r="I426" s="113"/>
      <c r="J426" s="113"/>
      <c r="K426" s="113"/>
      <c r="L426" s="107" t="str">
        <f aca="true">IF(F426="","",F426-TODAY())</f>
        <v/>
      </c>
    </row>
    <row r="427" customFormat="false" ht="15" hidden="false" customHeight="true" outlineLevel="0" collapsed="false">
      <c r="A427" s="113"/>
      <c r="B427" s="113"/>
      <c r="C427" s="113"/>
      <c r="D427" s="114"/>
      <c r="E427" s="114"/>
      <c r="F427" s="114"/>
      <c r="G427" s="116"/>
      <c r="H427" s="113"/>
      <c r="I427" s="113"/>
      <c r="J427" s="113"/>
      <c r="K427" s="113"/>
      <c r="L427" s="107" t="str">
        <f aca="true">IF(F427="","",F427-TODAY())</f>
        <v/>
      </c>
    </row>
    <row r="428" customFormat="false" ht="15" hidden="false" customHeight="true" outlineLevel="0" collapsed="false">
      <c r="A428" s="113"/>
      <c r="B428" s="113"/>
      <c r="C428" s="113"/>
      <c r="D428" s="114"/>
      <c r="E428" s="114"/>
      <c r="F428" s="114"/>
      <c r="G428" s="116"/>
      <c r="H428" s="113"/>
      <c r="I428" s="113"/>
      <c r="J428" s="113"/>
      <c r="K428" s="113"/>
      <c r="L428" s="107" t="str">
        <f aca="true">IF(F428="","",F428-TODAY())</f>
        <v/>
      </c>
    </row>
    <row r="429" customFormat="false" ht="15" hidden="false" customHeight="true" outlineLevel="0" collapsed="false">
      <c r="A429" s="113"/>
      <c r="B429" s="113"/>
      <c r="C429" s="113"/>
      <c r="D429" s="114"/>
      <c r="E429" s="114"/>
      <c r="F429" s="114"/>
      <c r="G429" s="116"/>
      <c r="H429" s="113"/>
      <c r="I429" s="113"/>
      <c r="J429" s="113"/>
      <c r="K429" s="113"/>
      <c r="L429" s="107" t="str">
        <f aca="true">IF(F429="","",F429-TODAY())</f>
        <v/>
      </c>
    </row>
    <row r="430" customFormat="false" ht="15" hidden="false" customHeight="true" outlineLevel="0" collapsed="false">
      <c r="A430" s="113"/>
      <c r="B430" s="113"/>
      <c r="C430" s="113"/>
      <c r="D430" s="114"/>
      <c r="E430" s="114"/>
      <c r="F430" s="114"/>
      <c r="G430" s="116"/>
      <c r="H430" s="113"/>
      <c r="I430" s="113"/>
      <c r="J430" s="113"/>
      <c r="K430" s="113"/>
      <c r="L430" s="107" t="str">
        <f aca="true">IF(F430="","",F430-TODAY())</f>
        <v/>
      </c>
    </row>
    <row r="431" customFormat="false" ht="15" hidden="false" customHeight="true" outlineLevel="0" collapsed="false">
      <c r="A431" s="113"/>
      <c r="B431" s="113"/>
      <c r="C431" s="113"/>
      <c r="D431" s="114"/>
      <c r="E431" s="114"/>
      <c r="F431" s="114"/>
      <c r="G431" s="116"/>
      <c r="H431" s="113"/>
      <c r="I431" s="113"/>
      <c r="J431" s="113"/>
      <c r="K431" s="113"/>
      <c r="L431" s="107" t="str">
        <f aca="true">IF(F431="","",F431-TODAY())</f>
        <v/>
      </c>
    </row>
    <row r="432" customFormat="false" ht="15" hidden="false" customHeight="true" outlineLevel="0" collapsed="false">
      <c r="A432" s="113"/>
      <c r="B432" s="113"/>
      <c r="C432" s="113"/>
      <c r="D432" s="114"/>
      <c r="E432" s="114"/>
      <c r="F432" s="114"/>
      <c r="G432" s="116"/>
      <c r="H432" s="113"/>
      <c r="I432" s="113"/>
      <c r="J432" s="113"/>
      <c r="K432" s="113"/>
      <c r="L432" s="107" t="str">
        <f aca="true">IF(F432="","",F432-TODAY())</f>
        <v/>
      </c>
    </row>
    <row r="433" customFormat="false" ht="15" hidden="false" customHeight="true" outlineLevel="0" collapsed="false">
      <c r="A433" s="113"/>
      <c r="B433" s="113"/>
      <c r="C433" s="113"/>
      <c r="D433" s="114"/>
      <c r="E433" s="114"/>
      <c r="F433" s="114"/>
      <c r="G433" s="116"/>
      <c r="H433" s="113"/>
      <c r="I433" s="113"/>
      <c r="J433" s="113"/>
      <c r="K433" s="113"/>
      <c r="L433" s="107" t="str">
        <f aca="true">IF(F433="","",F433-TODAY())</f>
        <v/>
      </c>
    </row>
    <row r="434" customFormat="false" ht="15" hidden="false" customHeight="true" outlineLevel="0" collapsed="false">
      <c r="A434" s="113"/>
      <c r="B434" s="113"/>
      <c r="C434" s="113"/>
      <c r="D434" s="114"/>
      <c r="E434" s="114"/>
      <c r="F434" s="114"/>
      <c r="G434" s="116"/>
      <c r="H434" s="113"/>
      <c r="I434" s="113"/>
      <c r="J434" s="113"/>
      <c r="K434" s="113"/>
      <c r="L434" s="107" t="str">
        <f aca="true">IF(F434="","",F434-TODAY())</f>
        <v/>
      </c>
    </row>
    <row r="435" customFormat="false" ht="15" hidden="false" customHeight="true" outlineLevel="0" collapsed="false">
      <c r="A435" s="113"/>
      <c r="B435" s="113"/>
      <c r="C435" s="113"/>
      <c r="D435" s="114"/>
      <c r="E435" s="114"/>
      <c r="F435" s="114"/>
      <c r="G435" s="116"/>
      <c r="H435" s="113"/>
      <c r="I435" s="113"/>
      <c r="J435" s="113"/>
      <c r="K435" s="113"/>
      <c r="L435" s="107" t="str">
        <f aca="true">IF(F435="","",F435-TODAY())</f>
        <v/>
      </c>
    </row>
    <row r="436" customFormat="false" ht="15" hidden="false" customHeight="true" outlineLevel="0" collapsed="false">
      <c r="A436" s="113"/>
      <c r="B436" s="113"/>
      <c r="C436" s="113"/>
      <c r="D436" s="114"/>
      <c r="E436" s="114"/>
      <c r="F436" s="114"/>
      <c r="G436" s="116"/>
      <c r="H436" s="113"/>
      <c r="I436" s="113"/>
      <c r="J436" s="113"/>
      <c r="K436" s="113"/>
      <c r="L436" s="107" t="str">
        <f aca="true">IF(F436="","",F436-TODAY())</f>
        <v/>
      </c>
    </row>
    <row r="437" customFormat="false" ht="15" hidden="false" customHeight="true" outlineLevel="0" collapsed="false">
      <c r="A437" s="113"/>
      <c r="B437" s="113"/>
      <c r="C437" s="113"/>
      <c r="D437" s="114"/>
      <c r="E437" s="114"/>
      <c r="F437" s="114"/>
      <c r="G437" s="116"/>
      <c r="H437" s="113"/>
      <c r="I437" s="113"/>
      <c r="J437" s="113"/>
      <c r="K437" s="113"/>
      <c r="L437" s="107" t="str">
        <f aca="true">IF(F437="","",F437-TODAY())</f>
        <v/>
      </c>
    </row>
    <row r="438" customFormat="false" ht="15" hidden="false" customHeight="true" outlineLevel="0" collapsed="false">
      <c r="A438" s="113"/>
      <c r="B438" s="113"/>
      <c r="C438" s="113"/>
      <c r="D438" s="114"/>
      <c r="E438" s="114"/>
      <c r="F438" s="114"/>
      <c r="G438" s="116"/>
      <c r="H438" s="113"/>
      <c r="I438" s="113"/>
      <c r="J438" s="113"/>
      <c r="K438" s="113"/>
      <c r="L438" s="107" t="str">
        <f aca="true">IF(F438="","",F438-TODAY())</f>
        <v/>
      </c>
    </row>
    <row r="439" customFormat="false" ht="15" hidden="false" customHeight="true" outlineLevel="0" collapsed="false">
      <c r="A439" s="113"/>
      <c r="B439" s="113"/>
      <c r="C439" s="113"/>
      <c r="D439" s="114"/>
      <c r="E439" s="114"/>
      <c r="F439" s="114"/>
      <c r="G439" s="116"/>
      <c r="H439" s="113"/>
      <c r="I439" s="113"/>
      <c r="J439" s="113"/>
      <c r="K439" s="113"/>
      <c r="L439" s="107" t="str">
        <f aca="true">IF(F439="","",F439-TODAY())</f>
        <v/>
      </c>
    </row>
    <row r="440" customFormat="false" ht="15" hidden="false" customHeight="true" outlineLevel="0" collapsed="false">
      <c r="A440" s="113"/>
      <c r="B440" s="113"/>
      <c r="C440" s="113"/>
      <c r="D440" s="114"/>
      <c r="E440" s="114"/>
      <c r="F440" s="114"/>
      <c r="G440" s="116"/>
      <c r="H440" s="113"/>
      <c r="I440" s="113"/>
      <c r="J440" s="113"/>
      <c r="K440" s="113"/>
      <c r="L440" s="107" t="str">
        <f aca="true">IF(F440="","",F440-TODAY())</f>
        <v/>
      </c>
    </row>
    <row r="441" customFormat="false" ht="15" hidden="false" customHeight="true" outlineLevel="0" collapsed="false">
      <c r="A441" s="113"/>
      <c r="B441" s="113"/>
      <c r="C441" s="113"/>
      <c r="D441" s="114"/>
      <c r="E441" s="114"/>
      <c r="F441" s="114"/>
      <c r="G441" s="116"/>
      <c r="H441" s="113"/>
      <c r="I441" s="113"/>
      <c r="J441" s="113"/>
      <c r="K441" s="113"/>
      <c r="L441" s="107" t="str">
        <f aca="true">IF(F441="","",F441-TODAY())</f>
        <v/>
      </c>
    </row>
    <row r="442" customFormat="false" ht="15" hidden="false" customHeight="true" outlineLevel="0" collapsed="false">
      <c r="A442" s="113"/>
      <c r="B442" s="113"/>
      <c r="C442" s="113"/>
      <c r="D442" s="114"/>
      <c r="E442" s="114"/>
      <c r="F442" s="114"/>
      <c r="G442" s="116"/>
      <c r="H442" s="113"/>
      <c r="I442" s="113"/>
      <c r="J442" s="113"/>
      <c r="K442" s="113"/>
      <c r="L442" s="107" t="str">
        <f aca="true">IF(F442="","",F442-TODAY())</f>
        <v/>
      </c>
    </row>
    <row r="443" customFormat="false" ht="15" hidden="false" customHeight="true" outlineLevel="0" collapsed="false">
      <c r="A443" s="113"/>
      <c r="B443" s="113"/>
      <c r="C443" s="113"/>
      <c r="D443" s="114"/>
      <c r="E443" s="114"/>
      <c r="F443" s="114"/>
      <c r="G443" s="116"/>
      <c r="H443" s="113"/>
      <c r="I443" s="113"/>
      <c r="J443" s="113"/>
      <c r="K443" s="113"/>
      <c r="L443" s="107" t="str">
        <f aca="true">IF(F443="","",F443-TODAY())</f>
        <v/>
      </c>
    </row>
    <row r="444" customFormat="false" ht="15" hidden="false" customHeight="true" outlineLevel="0" collapsed="false">
      <c r="A444" s="113"/>
      <c r="B444" s="113"/>
      <c r="C444" s="113"/>
      <c r="D444" s="114"/>
      <c r="E444" s="114"/>
      <c r="F444" s="114"/>
      <c r="G444" s="116"/>
      <c r="H444" s="113"/>
      <c r="I444" s="113"/>
      <c r="J444" s="113"/>
      <c r="K444" s="113"/>
      <c r="L444" s="107" t="str">
        <f aca="true">IF(F444="","",F444-TODAY())</f>
        <v/>
      </c>
    </row>
    <row r="445" customFormat="false" ht="15" hidden="false" customHeight="true" outlineLevel="0" collapsed="false">
      <c r="A445" s="113"/>
      <c r="B445" s="113"/>
      <c r="C445" s="113"/>
      <c r="D445" s="114"/>
      <c r="E445" s="114"/>
      <c r="F445" s="114"/>
      <c r="G445" s="116"/>
      <c r="H445" s="113"/>
      <c r="I445" s="113"/>
      <c r="J445" s="113"/>
      <c r="K445" s="113"/>
      <c r="L445" s="107" t="str">
        <f aca="true">IF(F445="","",F445-TODAY())</f>
        <v/>
      </c>
    </row>
    <row r="448" customFormat="false" ht="19.5" hidden="false" customHeight="true" outlineLevel="0" collapsed="false">
      <c r="A448" s="55" t="s">
        <v>1969</v>
      </c>
      <c r="B448" s="55"/>
      <c r="C448" s="55"/>
      <c r="D448" s="55"/>
      <c r="E448" s="55"/>
      <c r="F448" s="55"/>
      <c r="G448" s="55"/>
    </row>
    <row r="449" customFormat="false" ht="25.5" hidden="false" customHeight="true" outlineLevel="0" collapsed="false">
      <c r="A449" s="112" t="s">
        <v>1909</v>
      </c>
      <c r="B449" s="112" t="s">
        <v>805</v>
      </c>
      <c r="C449" s="112" t="s">
        <v>1970</v>
      </c>
      <c r="D449" s="112" t="s">
        <v>1408</v>
      </c>
      <c r="E449" s="112" t="s">
        <v>1956</v>
      </c>
      <c r="F449" s="112" t="s">
        <v>1955</v>
      </c>
      <c r="G449" s="112" t="s">
        <v>54</v>
      </c>
    </row>
    <row r="450" customFormat="false" ht="15" hidden="false" customHeight="true" outlineLevel="0" collapsed="false">
      <c r="A450" s="113"/>
      <c r="B450" s="113"/>
      <c r="C450" s="113"/>
      <c r="D450" s="113"/>
      <c r="E450" s="114"/>
      <c r="F450" s="114"/>
      <c r="G450" s="113"/>
    </row>
    <row r="451" customFormat="false" ht="15" hidden="false" customHeight="true" outlineLevel="0" collapsed="false">
      <c r="A451" s="113"/>
      <c r="B451" s="113"/>
      <c r="C451" s="113"/>
      <c r="D451" s="113"/>
      <c r="E451" s="114"/>
      <c r="F451" s="114"/>
      <c r="G451" s="113"/>
    </row>
    <row r="452" customFormat="false" ht="15" hidden="false" customHeight="true" outlineLevel="0" collapsed="false">
      <c r="A452" s="113"/>
      <c r="B452" s="113"/>
      <c r="C452" s="113"/>
      <c r="D452" s="113"/>
      <c r="E452" s="114"/>
      <c r="F452" s="114"/>
      <c r="G452" s="113"/>
    </row>
    <row r="453" customFormat="false" ht="15" hidden="false" customHeight="true" outlineLevel="0" collapsed="false">
      <c r="A453" s="113"/>
      <c r="B453" s="113"/>
      <c r="C453" s="113"/>
      <c r="D453" s="113"/>
      <c r="E453" s="114"/>
      <c r="F453" s="114"/>
      <c r="G453" s="113"/>
    </row>
    <row r="454" customFormat="false" ht="15" hidden="false" customHeight="true" outlineLevel="0" collapsed="false">
      <c r="A454" s="113"/>
      <c r="B454" s="113"/>
      <c r="C454" s="113"/>
      <c r="D454" s="113"/>
      <c r="E454" s="114"/>
      <c r="F454" s="114"/>
      <c r="G454" s="113"/>
    </row>
    <row r="455" customFormat="false" ht="15" hidden="false" customHeight="true" outlineLevel="0" collapsed="false">
      <c r="A455" s="113"/>
      <c r="B455" s="113"/>
      <c r="C455" s="113"/>
      <c r="D455" s="113"/>
      <c r="E455" s="114"/>
      <c r="F455" s="114"/>
      <c r="G455" s="113"/>
    </row>
    <row r="456" customFormat="false" ht="15" hidden="false" customHeight="true" outlineLevel="0" collapsed="false">
      <c r="A456" s="113"/>
      <c r="B456" s="113"/>
      <c r="C456" s="113"/>
      <c r="D456" s="113"/>
      <c r="E456" s="114"/>
      <c r="F456" s="114"/>
      <c r="G456" s="113"/>
    </row>
    <row r="457" customFormat="false" ht="15" hidden="false" customHeight="true" outlineLevel="0" collapsed="false">
      <c r="A457" s="113"/>
      <c r="B457" s="113"/>
      <c r="C457" s="113"/>
      <c r="D457" s="113"/>
      <c r="E457" s="114"/>
      <c r="F457" s="114"/>
      <c r="G457" s="113"/>
    </row>
    <row r="458" customFormat="false" ht="15" hidden="false" customHeight="true" outlineLevel="0" collapsed="false">
      <c r="A458" s="113"/>
      <c r="B458" s="113"/>
      <c r="C458" s="113"/>
      <c r="D458" s="113"/>
      <c r="E458" s="114"/>
      <c r="F458" s="114"/>
      <c r="G458" s="113"/>
    </row>
    <row r="459" customFormat="false" ht="15" hidden="false" customHeight="true" outlineLevel="0" collapsed="false">
      <c r="A459" s="113"/>
      <c r="B459" s="113"/>
      <c r="C459" s="113"/>
      <c r="D459" s="113"/>
      <c r="E459" s="114"/>
      <c r="F459" s="114"/>
      <c r="G459" s="113"/>
    </row>
    <row r="460" customFormat="false" ht="15" hidden="false" customHeight="true" outlineLevel="0" collapsed="false">
      <c r="A460" s="113"/>
      <c r="B460" s="113"/>
      <c r="C460" s="113"/>
      <c r="D460" s="113"/>
      <c r="E460" s="114"/>
      <c r="F460" s="114"/>
      <c r="G460" s="113"/>
    </row>
    <row r="461" customFormat="false" ht="15" hidden="false" customHeight="true" outlineLevel="0" collapsed="false">
      <c r="A461" s="113"/>
      <c r="B461" s="113"/>
      <c r="C461" s="113"/>
      <c r="D461" s="113"/>
      <c r="E461" s="114"/>
      <c r="F461" s="114"/>
      <c r="G461" s="113"/>
    </row>
    <row r="462" customFormat="false" ht="15" hidden="false" customHeight="true" outlineLevel="0" collapsed="false">
      <c r="A462" s="113"/>
      <c r="B462" s="113"/>
      <c r="C462" s="113"/>
      <c r="D462" s="113"/>
      <c r="E462" s="114"/>
      <c r="F462" s="114"/>
      <c r="G462" s="113"/>
    </row>
    <row r="463" customFormat="false" ht="15" hidden="false" customHeight="true" outlineLevel="0" collapsed="false">
      <c r="A463" s="113"/>
      <c r="B463" s="113"/>
      <c r="C463" s="113"/>
      <c r="D463" s="113"/>
      <c r="E463" s="114"/>
      <c r="F463" s="114"/>
      <c r="G463" s="113"/>
    </row>
    <row r="464" customFormat="false" ht="15" hidden="false" customHeight="true" outlineLevel="0" collapsed="false">
      <c r="A464" s="113"/>
      <c r="B464" s="113"/>
      <c r="C464" s="113"/>
      <c r="D464" s="113"/>
      <c r="E464" s="114"/>
      <c r="F464" s="114"/>
      <c r="G464" s="113"/>
    </row>
    <row r="465" customFormat="false" ht="15" hidden="false" customHeight="true" outlineLevel="0" collapsed="false">
      <c r="A465" s="113"/>
      <c r="B465" s="113"/>
      <c r="C465" s="113"/>
      <c r="D465" s="113"/>
      <c r="E465" s="114"/>
      <c r="F465" s="114"/>
      <c r="G465" s="113"/>
    </row>
    <row r="466" customFormat="false" ht="15" hidden="false" customHeight="true" outlineLevel="0" collapsed="false">
      <c r="A466" s="113"/>
      <c r="B466" s="113"/>
      <c r="C466" s="113"/>
      <c r="D466" s="113"/>
      <c r="E466" s="114"/>
      <c r="F466" s="114"/>
      <c r="G466" s="113"/>
    </row>
    <row r="467" customFormat="false" ht="15" hidden="false" customHeight="true" outlineLevel="0" collapsed="false">
      <c r="A467" s="113"/>
      <c r="B467" s="113"/>
      <c r="C467" s="113"/>
      <c r="D467" s="113"/>
      <c r="E467" s="114"/>
      <c r="F467" s="114"/>
      <c r="G467" s="113"/>
    </row>
    <row r="468" customFormat="false" ht="15" hidden="false" customHeight="true" outlineLevel="0" collapsed="false">
      <c r="A468" s="113"/>
      <c r="B468" s="113"/>
      <c r="C468" s="113"/>
      <c r="D468" s="113"/>
      <c r="E468" s="114"/>
      <c r="F468" s="114"/>
      <c r="G468" s="113"/>
    </row>
    <row r="469" customFormat="false" ht="15" hidden="false" customHeight="true" outlineLevel="0" collapsed="false">
      <c r="A469" s="113"/>
      <c r="B469" s="113"/>
      <c r="C469" s="113"/>
      <c r="D469" s="113"/>
      <c r="E469" s="114"/>
      <c r="F469" s="114"/>
      <c r="G469" s="113"/>
    </row>
    <row r="470" customFormat="false" ht="15" hidden="false" customHeight="true" outlineLevel="0" collapsed="false">
      <c r="A470" s="113"/>
      <c r="B470" s="113"/>
      <c r="C470" s="113"/>
      <c r="D470" s="113"/>
      <c r="E470" s="114"/>
      <c r="F470" s="114"/>
      <c r="G470" s="113"/>
    </row>
    <row r="471" customFormat="false" ht="15" hidden="false" customHeight="true" outlineLevel="0" collapsed="false">
      <c r="A471" s="113"/>
      <c r="B471" s="113"/>
      <c r="C471" s="113"/>
      <c r="D471" s="113"/>
      <c r="E471" s="114"/>
      <c r="F471" s="114"/>
      <c r="G471" s="113"/>
    </row>
    <row r="472" customFormat="false" ht="15" hidden="false" customHeight="true" outlineLevel="0" collapsed="false">
      <c r="A472" s="113"/>
      <c r="B472" s="113"/>
      <c r="C472" s="113"/>
      <c r="D472" s="113"/>
      <c r="E472" s="114"/>
      <c r="F472" s="114"/>
      <c r="G472" s="113"/>
    </row>
    <row r="473" customFormat="false" ht="15" hidden="false" customHeight="true" outlineLevel="0" collapsed="false">
      <c r="A473" s="113"/>
      <c r="B473" s="113"/>
      <c r="C473" s="113"/>
      <c r="D473" s="113"/>
      <c r="E473" s="114"/>
      <c r="F473" s="114"/>
      <c r="G473" s="113"/>
    </row>
    <row r="474" customFormat="false" ht="15" hidden="false" customHeight="true" outlineLevel="0" collapsed="false">
      <c r="A474" s="113"/>
      <c r="B474" s="113"/>
      <c r="C474" s="113"/>
      <c r="D474" s="113"/>
      <c r="E474" s="114"/>
      <c r="F474" s="114"/>
      <c r="G474" s="113"/>
    </row>
    <row r="475" customFormat="false" ht="15" hidden="false" customHeight="true" outlineLevel="0" collapsed="false">
      <c r="A475" s="113"/>
      <c r="B475" s="113"/>
      <c r="C475" s="113"/>
      <c r="D475" s="113"/>
      <c r="E475" s="114"/>
      <c r="F475" s="114"/>
      <c r="G475" s="113"/>
    </row>
    <row r="476" customFormat="false" ht="15" hidden="false" customHeight="true" outlineLevel="0" collapsed="false">
      <c r="A476" s="113"/>
      <c r="B476" s="113"/>
      <c r="C476" s="113"/>
      <c r="D476" s="113"/>
      <c r="E476" s="114"/>
      <c r="F476" s="114"/>
      <c r="G476" s="113"/>
    </row>
    <row r="477" customFormat="false" ht="15" hidden="false" customHeight="true" outlineLevel="0" collapsed="false">
      <c r="A477" s="113"/>
      <c r="B477" s="113"/>
      <c r="C477" s="113"/>
      <c r="D477" s="113"/>
      <c r="E477" s="114"/>
      <c r="F477" s="114"/>
      <c r="G477" s="113"/>
    </row>
    <row r="478" customFormat="false" ht="15" hidden="false" customHeight="true" outlineLevel="0" collapsed="false">
      <c r="A478" s="113"/>
      <c r="B478" s="113"/>
      <c r="C478" s="113"/>
      <c r="D478" s="113"/>
      <c r="E478" s="114"/>
      <c r="F478" s="114"/>
      <c r="G478" s="113"/>
    </row>
    <row r="479" customFormat="false" ht="15" hidden="false" customHeight="true" outlineLevel="0" collapsed="false">
      <c r="A479" s="113"/>
      <c r="B479" s="113"/>
      <c r="C479" s="113"/>
      <c r="D479" s="113"/>
      <c r="E479" s="114"/>
      <c r="F479" s="114"/>
      <c r="G479" s="113"/>
    </row>
    <row r="482" customFormat="false" ht="19.5" hidden="false" customHeight="true" outlineLevel="0" collapsed="false">
      <c r="A482" s="55" t="s">
        <v>1971</v>
      </c>
      <c r="B482" s="55"/>
      <c r="C482" s="55"/>
      <c r="D482" s="55"/>
      <c r="E482" s="55"/>
      <c r="F482" s="55"/>
    </row>
    <row r="483" customFormat="false" ht="25.5" hidden="false" customHeight="true" outlineLevel="0" collapsed="false">
      <c r="A483" s="112" t="s">
        <v>1909</v>
      </c>
      <c r="B483" s="112" t="s">
        <v>1357</v>
      </c>
      <c r="C483" s="112" t="s">
        <v>1867</v>
      </c>
      <c r="D483" s="112" t="s">
        <v>1335</v>
      </c>
      <c r="E483" s="112" t="s">
        <v>1548</v>
      </c>
      <c r="F483" s="112" t="s">
        <v>1881</v>
      </c>
    </row>
    <row r="484" customFormat="false" ht="15" hidden="false" customHeight="true" outlineLevel="0" collapsed="false">
      <c r="A484" s="113"/>
      <c r="B484" s="114"/>
      <c r="C484" s="113"/>
      <c r="D484" s="113"/>
      <c r="E484" s="113"/>
      <c r="F484" s="113"/>
    </row>
    <row r="485" customFormat="false" ht="15" hidden="false" customHeight="true" outlineLevel="0" collapsed="false">
      <c r="A485" s="113"/>
      <c r="B485" s="114"/>
      <c r="C485" s="113"/>
      <c r="D485" s="113"/>
      <c r="E485" s="113"/>
      <c r="F485" s="113"/>
    </row>
    <row r="486" customFormat="false" ht="15" hidden="false" customHeight="true" outlineLevel="0" collapsed="false">
      <c r="A486" s="113"/>
      <c r="B486" s="114"/>
      <c r="C486" s="113"/>
      <c r="D486" s="113"/>
      <c r="E486" s="113"/>
      <c r="F486" s="113"/>
    </row>
    <row r="487" customFormat="false" ht="15" hidden="false" customHeight="true" outlineLevel="0" collapsed="false">
      <c r="A487" s="113"/>
      <c r="B487" s="114"/>
      <c r="C487" s="113"/>
      <c r="D487" s="113"/>
      <c r="E487" s="113"/>
      <c r="F487" s="113"/>
    </row>
    <row r="488" customFormat="false" ht="15" hidden="false" customHeight="true" outlineLevel="0" collapsed="false">
      <c r="A488" s="113"/>
      <c r="B488" s="114"/>
      <c r="C488" s="113"/>
      <c r="D488" s="113"/>
      <c r="E488" s="113"/>
      <c r="F488" s="113"/>
    </row>
    <row r="489" customFormat="false" ht="15" hidden="false" customHeight="true" outlineLevel="0" collapsed="false">
      <c r="A489" s="113"/>
      <c r="B489" s="114"/>
      <c r="C489" s="113"/>
      <c r="D489" s="113"/>
      <c r="E489" s="113"/>
      <c r="F489" s="113"/>
    </row>
    <row r="490" customFormat="false" ht="15" hidden="false" customHeight="true" outlineLevel="0" collapsed="false">
      <c r="A490" s="113"/>
      <c r="B490" s="114"/>
      <c r="C490" s="113"/>
      <c r="D490" s="113"/>
      <c r="E490" s="113"/>
      <c r="F490" s="113"/>
    </row>
    <row r="491" customFormat="false" ht="15" hidden="false" customHeight="true" outlineLevel="0" collapsed="false">
      <c r="A491" s="113"/>
      <c r="B491" s="114"/>
      <c r="C491" s="113"/>
      <c r="D491" s="113"/>
      <c r="E491" s="113"/>
      <c r="F491" s="113"/>
    </row>
    <row r="492" customFormat="false" ht="15" hidden="false" customHeight="true" outlineLevel="0" collapsed="false">
      <c r="A492" s="113"/>
      <c r="B492" s="114"/>
      <c r="C492" s="113"/>
      <c r="D492" s="113"/>
      <c r="E492" s="113"/>
      <c r="F492" s="113"/>
    </row>
    <row r="493" customFormat="false" ht="15" hidden="false" customHeight="true" outlineLevel="0" collapsed="false">
      <c r="A493" s="113"/>
      <c r="B493" s="114"/>
      <c r="C493" s="113"/>
      <c r="D493" s="113"/>
      <c r="E493" s="113"/>
      <c r="F493" s="113"/>
    </row>
    <row r="494" customFormat="false" ht="15" hidden="false" customHeight="true" outlineLevel="0" collapsed="false">
      <c r="A494" s="113"/>
      <c r="B494" s="114"/>
      <c r="C494" s="113"/>
      <c r="D494" s="113"/>
      <c r="E494" s="113"/>
      <c r="F494" s="113"/>
    </row>
    <row r="495" customFormat="false" ht="15" hidden="false" customHeight="true" outlineLevel="0" collapsed="false">
      <c r="A495" s="113"/>
      <c r="B495" s="114"/>
      <c r="C495" s="113"/>
      <c r="D495" s="113"/>
      <c r="E495" s="113"/>
      <c r="F495" s="113"/>
    </row>
    <row r="496" customFormat="false" ht="15" hidden="false" customHeight="true" outlineLevel="0" collapsed="false">
      <c r="A496" s="113"/>
      <c r="B496" s="114"/>
      <c r="C496" s="113"/>
      <c r="D496" s="113"/>
      <c r="E496" s="113"/>
      <c r="F496" s="113"/>
    </row>
    <row r="497" customFormat="false" ht="15" hidden="false" customHeight="true" outlineLevel="0" collapsed="false">
      <c r="A497" s="113"/>
      <c r="B497" s="114"/>
      <c r="C497" s="113"/>
      <c r="D497" s="113"/>
      <c r="E497" s="113"/>
      <c r="F497" s="113"/>
    </row>
    <row r="498" customFormat="false" ht="15" hidden="false" customHeight="true" outlineLevel="0" collapsed="false">
      <c r="A498" s="113"/>
      <c r="B498" s="114"/>
      <c r="C498" s="113"/>
      <c r="D498" s="113"/>
      <c r="E498" s="113"/>
      <c r="F498" s="113"/>
    </row>
    <row r="499" customFormat="false" ht="15" hidden="false" customHeight="true" outlineLevel="0" collapsed="false">
      <c r="A499" s="113"/>
      <c r="B499" s="114"/>
      <c r="C499" s="113"/>
      <c r="D499" s="113"/>
      <c r="E499" s="113"/>
      <c r="F499" s="113"/>
    </row>
    <row r="500" customFormat="false" ht="15" hidden="false" customHeight="true" outlineLevel="0" collapsed="false">
      <c r="A500" s="113"/>
      <c r="B500" s="114"/>
      <c r="C500" s="113"/>
      <c r="D500" s="113"/>
      <c r="E500" s="113"/>
      <c r="F500" s="113"/>
    </row>
    <row r="501" customFormat="false" ht="15" hidden="false" customHeight="true" outlineLevel="0" collapsed="false">
      <c r="A501" s="113"/>
      <c r="B501" s="114"/>
      <c r="C501" s="113"/>
      <c r="D501" s="113"/>
      <c r="E501" s="113"/>
      <c r="F501" s="113"/>
    </row>
    <row r="502" customFormat="false" ht="15" hidden="false" customHeight="true" outlineLevel="0" collapsed="false">
      <c r="A502" s="113"/>
      <c r="B502" s="114"/>
      <c r="C502" s="113"/>
      <c r="D502" s="113"/>
      <c r="E502" s="113"/>
      <c r="F502" s="113"/>
    </row>
    <row r="503" customFormat="false" ht="15" hidden="false" customHeight="true" outlineLevel="0" collapsed="false">
      <c r="A503" s="113"/>
      <c r="B503" s="114"/>
      <c r="C503" s="113"/>
      <c r="D503" s="113"/>
      <c r="E503" s="113"/>
      <c r="F503" s="113"/>
    </row>
    <row r="504" customFormat="false" ht="15" hidden="false" customHeight="true" outlineLevel="0" collapsed="false">
      <c r="A504" s="113"/>
      <c r="B504" s="114"/>
      <c r="C504" s="113"/>
      <c r="D504" s="113"/>
      <c r="E504" s="113"/>
      <c r="F504" s="113"/>
    </row>
    <row r="505" customFormat="false" ht="15" hidden="false" customHeight="true" outlineLevel="0" collapsed="false">
      <c r="A505" s="113"/>
      <c r="B505" s="114"/>
      <c r="C505" s="113"/>
      <c r="D505" s="113"/>
      <c r="E505" s="113"/>
      <c r="F505" s="113"/>
    </row>
    <row r="506" customFormat="false" ht="15" hidden="false" customHeight="true" outlineLevel="0" collapsed="false">
      <c r="A506" s="113"/>
      <c r="B506" s="114"/>
      <c r="C506" s="113"/>
      <c r="D506" s="113"/>
      <c r="E506" s="113"/>
      <c r="F506" s="113"/>
    </row>
    <row r="507" customFormat="false" ht="15" hidden="false" customHeight="true" outlineLevel="0" collapsed="false">
      <c r="A507" s="113"/>
      <c r="B507" s="114"/>
      <c r="C507" s="113"/>
      <c r="D507" s="113"/>
      <c r="E507" s="113"/>
      <c r="F507" s="113"/>
    </row>
    <row r="508" customFormat="false" ht="15" hidden="false" customHeight="true" outlineLevel="0" collapsed="false">
      <c r="A508" s="113"/>
      <c r="B508" s="114"/>
      <c r="C508" s="113"/>
      <c r="D508" s="113"/>
      <c r="E508" s="113"/>
      <c r="F508" s="113"/>
    </row>
    <row r="509" customFormat="false" ht="15" hidden="false" customHeight="true" outlineLevel="0" collapsed="false">
      <c r="A509" s="113"/>
      <c r="B509" s="114"/>
      <c r="C509" s="113"/>
      <c r="D509" s="113"/>
      <c r="E509" s="113"/>
      <c r="F509" s="113"/>
    </row>
    <row r="510" customFormat="false" ht="15" hidden="false" customHeight="true" outlineLevel="0" collapsed="false">
      <c r="A510" s="113"/>
      <c r="B510" s="114"/>
      <c r="C510" s="113"/>
      <c r="D510" s="113"/>
      <c r="E510" s="113"/>
      <c r="F510" s="113"/>
    </row>
    <row r="511" customFormat="false" ht="15" hidden="false" customHeight="true" outlineLevel="0" collapsed="false">
      <c r="A511" s="113"/>
      <c r="B511" s="114"/>
      <c r="C511" s="113"/>
      <c r="D511" s="113"/>
      <c r="E511" s="113"/>
      <c r="F511" s="113"/>
    </row>
    <row r="512" customFormat="false" ht="15" hidden="false" customHeight="true" outlineLevel="0" collapsed="false">
      <c r="A512" s="113"/>
      <c r="B512" s="114"/>
      <c r="C512" s="113"/>
      <c r="D512" s="113"/>
      <c r="E512" s="113"/>
      <c r="F512" s="113"/>
    </row>
    <row r="513" customFormat="false" ht="15" hidden="false" customHeight="true" outlineLevel="0" collapsed="false">
      <c r="A513" s="113"/>
      <c r="B513" s="114"/>
      <c r="C513" s="113"/>
      <c r="D513" s="113"/>
      <c r="E513" s="113"/>
      <c r="F513" s="113"/>
    </row>
    <row r="514" customFormat="false" ht="15" hidden="false" customHeight="true" outlineLevel="0" collapsed="false">
      <c r="A514" s="113"/>
      <c r="B514" s="114"/>
      <c r="C514" s="113"/>
      <c r="D514" s="113"/>
      <c r="E514" s="113"/>
      <c r="F514" s="113"/>
    </row>
    <row r="515" customFormat="false" ht="15" hidden="false" customHeight="true" outlineLevel="0" collapsed="false">
      <c r="A515" s="113"/>
      <c r="B515" s="114"/>
      <c r="C515" s="113"/>
      <c r="D515" s="113"/>
      <c r="E515" s="113"/>
      <c r="F515" s="113"/>
    </row>
    <row r="516" customFormat="false" ht="15" hidden="false" customHeight="true" outlineLevel="0" collapsed="false">
      <c r="A516" s="113"/>
      <c r="B516" s="114"/>
      <c r="C516" s="113"/>
      <c r="D516" s="113"/>
      <c r="E516" s="113"/>
      <c r="F516" s="113"/>
    </row>
    <row r="517" customFormat="false" ht="15" hidden="false" customHeight="true" outlineLevel="0" collapsed="false">
      <c r="A517" s="113"/>
      <c r="B517" s="114"/>
      <c r="C517" s="113"/>
      <c r="D517" s="113"/>
      <c r="E517" s="113"/>
      <c r="F517" s="113"/>
    </row>
    <row r="518" customFormat="false" ht="15" hidden="false" customHeight="true" outlineLevel="0" collapsed="false">
      <c r="A518" s="113"/>
      <c r="B518" s="114"/>
      <c r="C518" s="113"/>
      <c r="D518" s="113"/>
      <c r="E518" s="113"/>
      <c r="F518" s="113"/>
    </row>
    <row r="519" customFormat="false" ht="15" hidden="false" customHeight="true" outlineLevel="0" collapsed="false">
      <c r="A519" s="113"/>
      <c r="B519" s="114"/>
      <c r="C519" s="113"/>
      <c r="D519" s="113"/>
      <c r="E519" s="113"/>
      <c r="F519" s="113"/>
    </row>
    <row r="520" customFormat="false" ht="15" hidden="false" customHeight="true" outlineLevel="0" collapsed="false">
      <c r="A520" s="113"/>
      <c r="B520" s="114"/>
      <c r="C520" s="113"/>
      <c r="D520" s="113"/>
      <c r="E520" s="113"/>
      <c r="F520" s="113"/>
    </row>
    <row r="521" customFormat="false" ht="15" hidden="false" customHeight="true" outlineLevel="0" collapsed="false">
      <c r="A521" s="113"/>
      <c r="B521" s="114"/>
      <c r="C521" s="113"/>
      <c r="D521" s="113"/>
      <c r="E521" s="113"/>
      <c r="F521" s="113"/>
    </row>
    <row r="522" customFormat="false" ht="15" hidden="false" customHeight="true" outlineLevel="0" collapsed="false">
      <c r="A522" s="113"/>
      <c r="B522" s="114"/>
      <c r="C522" s="113"/>
      <c r="D522" s="113"/>
      <c r="E522" s="113"/>
      <c r="F522" s="113"/>
    </row>
    <row r="523" customFormat="false" ht="15" hidden="false" customHeight="true" outlineLevel="0" collapsed="false">
      <c r="A523" s="113"/>
      <c r="B523" s="114"/>
      <c r="C523" s="113"/>
      <c r="D523" s="113"/>
      <c r="E523" s="113"/>
      <c r="F523" s="113"/>
    </row>
    <row r="526" customFormat="false" ht="19.5" hidden="false" customHeight="true" outlineLevel="0" collapsed="false">
      <c r="A526" s="55" t="s">
        <v>1972</v>
      </c>
      <c r="B526" s="55"/>
      <c r="C526" s="55"/>
      <c r="D526" s="55"/>
      <c r="E526" s="55"/>
      <c r="F526" s="55"/>
    </row>
    <row r="527" customFormat="false" ht="25.5" hidden="false" customHeight="true" outlineLevel="0" collapsed="false">
      <c r="A527" s="112" t="s">
        <v>1909</v>
      </c>
      <c r="B527" s="112" t="s">
        <v>1356</v>
      </c>
      <c r="C527" s="112" t="s">
        <v>1525</v>
      </c>
      <c r="D527" s="112" t="s">
        <v>1357</v>
      </c>
      <c r="E527" s="112" t="s">
        <v>54</v>
      </c>
      <c r="F527" s="112" t="s">
        <v>1864</v>
      </c>
    </row>
    <row r="528" customFormat="false" ht="15" hidden="false" customHeight="true" outlineLevel="0" collapsed="false">
      <c r="A528" s="113"/>
      <c r="B528" s="113"/>
      <c r="C528" s="113"/>
      <c r="D528" s="114"/>
      <c r="E528" s="113"/>
      <c r="F528" s="113"/>
    </row>
    <row r="529" customFormat="false" ht="15" hidden="false" customHeight="true" outlineLevel="0" collapsed="false">
      <c r="A529" s="113"/>
      <c r="B529" s="113"/>
      <c r="C529" s="113"/>
      <c r="D529" s="114"/>
      <c r="E529" s="113"/>
      <c r="F529" s="113"/>
    </row>
    <row r="530" customFormat="false" ht="15" hidden="false" customHeight="true" outlineLevel="0" collapsed="false">
      <c r="A530" s="113"/>
      <c r="B530" s="113"/>
      <c r="C530" s="113"/>
      <c r="D530" s="114"/>
      <c r="E530" s="113"/>
      <c r="F530" s="113"/>
    </row>
    <row r="531" customFormat="false" ht="15" hidden="false" customHeight="true" outlineLevel="0" collapsed="false">
      <c r="A531" s="113"/>
      <c r="B531" s="113"/>
      <c r="C531" s="113"/>
      <c r="D531" s="114"/>
      <c r="E531" s="113"/>
      <c r="F531" s="113"/>
    </row>
    <row r="532" customFormat="false" ht="15" hidden="false" customHeight="true" outlineLevel="0" collapsed="false">
      <c r="A532" s="113"/>
      <c r="B532" s="113"/>
      <c r="C532" s="113"/>
      <c r="D532" s="114"/>
      <c r="E532" s="113"/>
      <c r="F532" s="113"/>
    </row>
    <row r="533" customFormat="false" ht="15" hidden="false" customHeight="true" outlineLevel="0" collapsed="false">
      <c r="A533" s="113"/>
      <c r="B533" s="113"/>
      <c r="C533" s="113"/>
      <c r="D533" s="114"/>
      <c r="E533" s="113"/>
      <c r="F533" s="113"/>
    </row>
    <row r="534" customFormat="false" ht="15" hidden="false" customHeight="true" outlineLevel="0" collapsed="false">
      <c r="A534" s="113"/>
      <c r="B534" s="113"/>
      <c r="C534" s="113"/>
      <c r="D534" s="114"/>
      <c r="E534" s="113"/>
      <c r="F534" s="113"/>
    </row>
    <row r="535" customFormat="false" ht="15" hidden="false" customHeight="true" outlineLevel="0" collapsed="false">
      <c r="A535" s="113"/>
      <c r="B535" s="113"/>
      <c r="C535" s="113"/>
      <c r="D535" s="114"/>
      <c r="E535" s="113"/>
      <c r="F535" s="113"/>
    </row>
    <row r="536" customFormat="false" ht="15" hidden="false" customHeight="true" outlineLevel="0" collapsed="false">
      <c r="A536" s="113"/>
      <c r="B536" s="113"/>
      <c r="C536" s="113"/>
      <c r="D536" s="114"/>
      <c r="E536" s="113"/>
      <c r="F536" s="113"/>
    </row>
    <row r="537" customFormat="false" ht="15" hidden="false" customHeight="true" outlineLevel="0" collapsed="false">
      <c r="A537" s="113"/>
      <c r="B537" s="113"/>
      <c r="C537" s="113"/>
      <c r="D537" s="114"/>
      <c r="E537" s="113"/>
      <c r="F537" s="113"/>
    </row>
    <row r="538" customFormat="false" ht="15" hidden="false" customHeight="true" outlineLevel="0" collapsed="false">
      <c r="A538" s="113"/>
      <c r="B538" s="113"/>
      <c r="C538" s="113"/>
      <c r="D538" s="114"/>
      <c r="E538" s="113"/>
      <c r="F538" s="113"/>
    </row>
    <row r="539" customFormat="false" ht="15" hidden="false" customHeight="true" outlineLevel="0" collapsed="false">
      <c r="A539" s="113"/>
      <c r="B539" s="113"/>
      <c r="C539" s="113"/>
      <c r="D539" s="114"/>
      <c r="E539" s="113"/>
      <c r="F539" s="113"/>
    </row>
    <row r="540" customFormat="false" ht="15" hidden="false" customHeight="true" outlineLevel="0" collapsed="false">
      <c r="A540" s="113"/>
      <c r="B540" s="113"/>
      <c r="C540" s="113"/>
      <c r="D540" s="114"/>
      <c r="E540" s="113"/>
      <c r="F540" s="113"/>
    </row>
    <row r="541" customFormat="false" ht="15" hidden="false" customHeight="true" outlineLevel="0" collapsed="false">
      <c r="A541" s="113"/>
      <c r="B541" s="113"/>
      <c r="C541" s="113"/>
      <c r="D541" s="114"/>
      <c r="E541" s="113"/>
      <c r="F541" s="113"/>
    </row>
    <row r="542" customFormat="false" ht="15" hidden="false" customHeight="true" outlineLevel="0" collapsed="false">
      <c r="A542" s="113"/>
      <c r="B542" s="113"/>
      <c r="C542" s="113"/>
      <c r="D542" s="114"/>
      <c r="E542" s="113"/>
      <c r="F542" s="113"/>
    </row>
    <row r="543" customFormat="false" ht="15" hidden="false" customHeight="true" outlineLevel="0" collapsed="false">
      <c r="A543" s="113"/>
      <c r="B543" s="113"/>
      <c r="C543" s="113"/>
      <c r="D543" s="114"/>
      <c r="E543" s="113"/>
      <c r="F543" s="113"/>
    </row>
    <row r="544" customFormat="false" ht="15" hidden="false" customHeight="true" outlineLevel="0" collapsed="false">
      <c r="A544" s="113"/>
      <c r="B544" s="113"/>
      <c r="C544" s="113"/>
      <c r="D544" s="114"/>
      <c r="E544" s="113"/>
      <c r="F544" s="113"/>
    </row>
    <row r="545" customFormat="false" ht="15" hidden="false" customHeight="true" outlineLevel="0" collapsed="false">
      <c r="A545" s="113"/>
      <c r="B545" s="113"/>
      <c r="C545" s="113"/>
      <c r="D545" s="114"/>
      <c r="E545" s="113"/>
      <c r="F545" s="113"/>
    </row>
    <row r="546" customFormat="false" ht="15" hidden="false" customHeight="true" outlineLevel="0" collapsed="false">
      <c r="A546" s="113"/>
      <c r="B546" s="113"/>
      <c r="C546" s="113"/>
      <c r="D546" s="114"/>
      <c r="E546" s="113"/>
      <c r="F546" s="113"/>
    </row>
    <row r="547" customFormat="false" ht="15" hidden="false" customHeight="true" outlineLevel="0" collapsed="false">
      <c r="A547" s="113"/>
      <c r="B547" s="113"/>
      <c r="C547" s="113"/>
      <c r="D547" s="114"/>
      <c r="E547" s="113"/>
      <c r="F547" s="113"/>
    </row>
    <row r="548" customFormat="false" ht="15" hidden="false" customHeight="true" outlineLevel="0" collapsed="false">
      <c r="A548" s="113"/>
      <c r="B548" s="113"/>
      <c r="C548" s="113"/>
      <c r="D548" s="114"/>
      <c r="E548" s="113"/>
      <c r="F548" s="113"/>
    </row>
    <row r="549" customFormat="false" ht="15" hidden="false" customHeight="true" outlineLevel="0" collapsed="false">
      <c r="A549" s="113"/>
      <c r="B549" s="113"/>
      <c r="C549" s="113"/>
      <c r="D549" s="114"/>
      <c r="E549" s="113"/>
      <c r="F549" s="113"/>
    </row>
    <row r="550" customFormat="false" ht="15" hidden="false" customHeight="true" outlineLevel="0" collapsed="false">
      <c r="A550" s="113"/>
      <c r="B550" s="113"/>
      <c r="C550" s="113"/>
      <c r="D550" s="114"/>
      <c r="E550" s="113"/>
      <c r="F550" s="113"/>
    </row>
    <row r="551" customFormat="false" ht="15" hidden="false" customHeight="true" outlineLevel="0" collapsed="false">
      <c r="A551" s="113"/>
      <c r="B551" s="113"/>
      <c r="C551" s="113"/>
      <c r="D551" s="114"/>
      <c r="E551" s="113"/>
      <c r="F551" s="113"/>
    </row>
    <row r="552" customFormat="false" ht="15" hidden="false" customHeight="true" outlineLevel="0" collapsed="false">
      <c r="A552" s="113"/>
      <c r="B552" s="113"/>
      <c r="C552" s="113"/>
      <c r="D552" s="114"/>
      <c r="E552" s="113"/>
      <c r="F552" s="113"/>
    </row>
    <row r="553" customFormat="false" ht="15" hidden="false" customHeight="true" outlineLevel="0" collapsed="false">
      <c r="A553" s="113"/>
      <c r="B553" s="113"/>
      <c r="C553" s="113"/>
      <c r="D553" s="114"/>
      <c r="E553" s="113"/>
      <c r="F553" s="113"/>
    </row>
    <row r="554" customFormat="false" ht="15" hidden="false" customHeight="true" outlineLevel="0" collapsed="false">
      <c r="A554" s="113"/>
      <c r="B554" s="113"/>
      <c r="C554" s="113"/>
      <c r="D554" s="114"/>
      <c r="E554" s="113"/>
      <c r="F554" s="113"/>
    </row>
    <row r="555" customFormat="false" ht="15" hidden="false" customHeight="true" outlineLevel="0" collapsed="false">
      <c r="A555" s="113"/>
      <c r="B555" s="113"/>
      <c r="C555" s="113"/>
      <c r="D555" s="114"/>
      <c r="E555" s="113"/>
      <c r="F555" s="113"/>
    </row>
    <row r="556" customFormat="false" ht="15" hidden="false" customHeight="true" outlineLevel="0" collapsed="false">
      <c r="A556" s="113"/>
      <c r="B556" s="113"/>
      <c r="C556" s="113"/>
      <c r="D556" s="114"/>
      <c r="E556" s="113"/>
      <c r="F556" s="113"/>
    </row>
    <row r="557" customFormat="false" ht="15" hidden="false" customHeight="true" outlineLevel="0" collapsed="false">
      <c r="A557" s="113"/>
      <c r="B557" s="113"/>
      <c r="C557" s="113"/>
      <c r="D557" s="114"/>
      <c r="E557" s="113"/>
      <c r="F557" s="113"/>
    </row>
    <row r="560" customFormat="false" ht="19.5" hidden="false" customHeight="true" outlineLevel="0" collapsed="false">
      <c r="A560" s="55" t="s">
        <v>1973</v>
      </c>
      <c r="B560" s="55"/>
    </row>
    <row r="561" customFormat="false" ht="15" hidden="false" customHeight="true" outlineLevel="0" collapsed="false">
      <c r="A561" s="118" t="s">
        <v>1638</v>
      </c>
      <c r="B561" s="118" t="s">
        <v>1974</v>
      </c>
    </row>
    <row r="562" customFormat="false" ht="15" hidden="false" customHeight="true" outlineLevel="0" collapsed="false">
      <c r="A562" s="119" t="s">
        <v>1975</v>
      </c>
      <c r="B562" s="108" t="n">
        <f aca="false">SUM(tbl_Donateurs_Demandes[Montant demande])</f>
        <v>0</v>
      </c>
    </row>
    <row r="563" customFormat="false" ht="15" hidden="false" customHeight="true" outlineLevel="0" collapsed="false">
      <c r="A563" s="119" t="s">
        <v>1976</v>
      </c>
      <c r="B563" s="108" t="n">
        <f aca="false">SUM(tbl_Donateurs_Demandes[Montant accorde])</f>
        <v>0</v>
      </c>
    </row>
    <row r="564" customFormat="false" ht="15" hidden="false" customHeight="true" outlineLevel="0" collapsed="false">
      <c r="A564" s="119" t="s">
        <v>1977</v>
      </c>
      <c r="B564" s="108" t="n">
        <f aca="false">SUM(tbl_Donateurs_Decaissements[Montant recu])</f>
        <v>0</v>
      </c>
    </row>
    <row r="565" customFormat="false" ht="15" hidden="false" customHeight="true" outlineLevel="0" collapsed="false">
      <c r="A565" s="119" t="s">
        <v>1978</v>
      </c>
      <c r="B565" s="108" t="n">
        <f aca="false">SUM(tbl_Donateurs_Demandes[Montant accorde])-SUM(tbl_Donateurs_Decaissements[Montant recu])</f>
        <v>0</v>
      </c>
    </row>
    <row r="566" customFormat="false" ht="15" hidden="false" customHeight="true" outlineLevel="0" collapsed="false">
      <c r="A566" s="119" t="s">
        <v>1979</v>
      </c>
      <c r="B566" s="120" t="n">
        <f aca="false">COUNTIF(tbl_Donateurs_Demandes[Statut],"Approuvee")+COUNTIF(tbl_Donateurs_Demandes[Statut],"Financement recu")</f>
        <v>0</v>
      </c>
    </row>
    <row r="569" customFormat="false" ht="19.5" hidden="false" customHeight="true" outlineLevel="0" collapsed="false">
      <c r="A569" s="55" t="s">
        <v>1980</v>
      </c>
      <c r="B569" s="55"/>
    </row>
    <row r="570" customFormat="false" ht="15" hidden="false" customHeight="true" outlineLevel="0" collapsed="false">
      <c r="A570" s="118" t="s">
        <v>1638</v>
      </c>
      <c r="B570" s="118" t="s">
        <v>1214</v>
      </c>
    </row>
    <row r="571" customFormat="false" ht="15" hidden="false" customHeight="true" outlineLevel="0" collapsed="false">
      <c r="A571" s="119" t="s">
        <v>1981</v>
      </c>
      <c r="B571" s="120" t="n">
        <f aca="false">COUNTIF(tbl_Donateurs_Opportunites[ID Donateur],"&lt;&gt;")</f>
        <v>0</v>
      </c>
    </row>
    <row r="572" customFormat="false" ht="15" hidden="false" customHeight="true" outlineLevel="0" collapsed="false">
      <c r="A572" s="119" t="s">
        <v>1895</v>
      </c>
      <c r="B572" s="120" t="n">
        <f aca="false">COUNTIF(tbl_Donateurs_Opportunites[Statut],"Ouverte")</f>
        <v>0</v>
      </c>
    </row>
    <row r="573" customFormat="false" ht="15" hidden="false" customHeight="true" outlineLevel="0" collapsed="false">
      <c r="A573" s="119" t="s">
        <v>1982</v>
      </c>
      <c r="B573" s="120" t="n">
        <f aca="false">COUNTIF(tbl_Donateurs_Opportunites[Statut],"A venir")</f>
        <v>0</v>
      </c>
    </row>
    <row r="574" customFormat="false" ht="15" hidden="false" customHeight="true" outlineLevel="0" collapsed="false">
      <c r="A574" s="119" t="s">
        <v>1983</v>
      </c>
      <c r="B574" s="120" t="n">
        <f aca="false">COUNTIF(tbl_Donateurs_Opportunites[Statut],"Cloturee")</f>
        <v>0</v>
      </c>
    </row>
    <row r="575" customFormat="false" ht="15" hidden="false" customHeight="true" outlineLevel="0" collapsed="false">
      <c r="A575" s="119" t="s">
        <v>1984</v>
      </c>
      <c r="B575" s="120" t="n">
        <f aca="false">COUNTIF(tbl_Donateurs_Opportunites[Candidater],"Oui")</f>
        <v>0</v>
      </c>
    </row>
    <row r="576" customFormat="false" ht="15" hidden="false" customHeight="true" outlineLevel="0" collapsed="false">
      <c r="A576" s="119" t="s">
        <v>1896</v>
      </c>
      <c r="B576" s="120" t="n">
        <f aca="false">COUNTIFS(tbl_Donateurs_Demandes[Statut],"&lt;&gt;A preparer",tbl_Donateurs_Demandes[Statut],"&lt;&gt;En preparation")</f>
        <v>60</v>
      </c>
    </row>
    <row r="577" customFormat="false" ht="15" hidden="false" customHeight="true" outlineLevel="0" collapsed="false">
      <c r="A577" s="119" t="s">
        <v>1985</v>
      </c>
      <c r="B577" s="120" t="n">
        <f aca="false">COUNTIF(tbl_Donateurs_Demandes[Statut],"Approuvee")+COUNTIF(tbl_Donateurs_Demandes[Statut],"Financement recu")</f>
        <v>0</v>
      </c>
    </row>
    <row r="578" customFormat="false" ht="15" hidden="false" customHeight="true" outlineLevel="0" collapsed="false">
      <c r="A578" s="119" t="s">
        <v>1986</v>
      </c>
      <c r="B578" s="120" t="n">
        <f aca="false">COUNTIF(tbl_Donateurs_Demandes[Statut],"Rejetee")</f>
        <v>0</v>
      </c>
    </row>
    <row r="579" customFormat="false" ht="15" hidden="false" customHeight="true" outlineLevel="0" collapsed="false">
      <c r="A579" s="119" t="s">
        <v>1987</v>
      </c>
      <c r="B579" s="109" t="n">
        <f aca="false">IFERROR((COUNTIF(tbl_Donateurs_Demandes[Statut],"Approuvee")+COUNTIF(tbl_Donateurs_Demandes[Statut],"Financement recu"))/COUNTIFS(tbl_Donateurs_Demandes[Statut],"&lt;&gt;A preparer",tbl_Donateurs_Demandes[Statut],"&lt;&gt;En preparation"),"")</f>
        <v>0</v>
      </c>
    </row>
    <row r="581" customFormat="false" ht="19.5" hidden="false" customHeight="true" outlineLevel="0" collapsed="false">
      <c r="A581" s="55" t="s">
        <v>1988</v>
      </c>
      <c r="B581" s="55"/>
      <c r="C581" s="55"/>
      <c r="D581" s="55"/>
      <c r="E581" s="55"/>
    </row>
    <row r="582" customFormat="false" ht="23.25" hidden="false" customHeight="true" outlineLevel="0" collapsed="false">
      <c r="A582" s="112" t="s">
        <v>1327</v>
      </c>
      <c r="B582" s="112" t="s">
        <v>1989</v>
      </c>
      <c r="C582" s="112" t="s">
        <v>1990</v>
      </c>
      <c r="D582" s="112" t="s">
        <v>1897</v>
      </c>
      <c r="E582" s="112" t="s">
        <v>1991</v>
      </c>
    </row>
    <row r="583" customFormat="false" ht="15" hidden="false" customHeight="true" outlineLevel="0" collapsed="false">
      <c r="A583" s="119" t="s">
        <v>146</v>
      </c>
      <c r="B583" s="107" t="n">
        <f aca="false">COUNTIF(tbl_Donateurs_Opportunites[Domaine],A583)</f>
        <v>0</v>
      </c>
      <c r="C583" s="107" t="n">
        <f aca="false">COUNTIFS(tbl_Donateurs[Domaine finance principal],A583)</f>
        <v>0</v>
      </c>
      <c r="D583" s="107" t="n">
        <f aca="false">COUNTIFS(tbl_Donateurs[Domaine finance principal],A583,tbl_Donateurs[Statut du donateur],"Financement obtenu")</f>
        <v>0</v>
      </c>
      <c r="E583" s="108" t="n">
        <f aca="false">SUMIFS(tbl_Donateurs[Montant total accorde (FCFA)],tbl_Donateurs[Domaine finance principal],A583)</f>
        <v>0</v>
      </c>
    </row>
    <row r="584" customFormat="false" ht="15" hidden="false" customHeight="true" outlineLevel="0" collapsed="false">
      <c r="A584" s="119" t="s">
        <v>150</v>
      </c>
      <c r="B584" s="107" t="n">
        <f aca="false">COUNTIF(tbl_Donateurs_Opportunites[Domaine],A584)</f>
        <v>0</v>
      </c>
      <c r="C584" s="107" t="n">
        <f aca="false">COUNTIFS(tbl_Donateurs[Domaine finance principal],A584)</f>
        <v>0</v>
      </c>
      <c r="D584" s="107" t="n">
        <f aca="false">COUNTIFS(tbl_Donateurs[Domaine finance principal],A584,tbl_Donateurs[Statut du donateur],"Financement obtenu")</f>
        <v>0</v>
      </c>
      <c r="E584" s="108" t="n">
        <f aca="false">SUMIFS(tbl_Donateurs[Montant total accorde (FCFA)],tbl_Donateurs[Domaine finance principal],A584)</f>
        <v>0</v>
      </c>
    </row>
    <row r="585" customFormat="false" ht="15" hidden="false" customHeight="true" outlineLevel="0" collapsed="false">
      <c r="A585" s="119" t="s">
        <v>153</v>
      </c>
      <c r="B585" s="107" t="n">
        <f aca="false">COUNTIF(tbl_Donateurs_Opportunites[Domaine],A585)</f>
        <v>0</v>
      </c>
      <c r="C585" s="107" t="n">
        <f aca="false">COUNTIFS(tbl_Donateurs[Domaine finance principal],A585)</f>
        <v>0</v>
      </c>
      <c r="D585" s="107" t="n">
        <f aca="false">COUNTIFS(tbl_Donateurs[Domaine finance principal],A585,tbl_Donateurs[Statut du donateur],"Financement obtenu")</f>
        <v>0</v>
      </c>
      <c r="E585" s="108" t="n">
        <f aca="false">SUMIFS(tbl_Donateurs[Montant total accorde (FCFA)],tbl_Donateurs[Domaine finance principal],A585)</f>
        <v>0</v>
      </c>
    </row>
    <row r="586" customFormat="false" ht="15" hidden="false" customHeight="true" outlineLevel="0" collapsed="false">
      <c r="A586" s="119" t="s">
        <v>156</v>
      </c>
      <c r="B586" s="107" t="n">
        <f aca="false">COUNTIF(tbl_Donateurs_Opportunites[Domaine],A586)</f>
        <v>0</v>
      </c>
      <c r="C586" s="107" t="n">
        <f aca="false">COUNTIFS(tbl_Donateurs[Domaine finance principal],A586)</f>
        <v>0</v>
      </c>
      <c r="D586" s="107" t="n">
        <f aca="false">COUNTIFS(tbl_Donateurs[Domaine finance principal],A586,tbl_Donateurs[Statut du donateur],"Financement obtenu")</f>
        <v>0</v>
      </c>
      <c r="E586" s="108" t="n">
        <f aca="false">SUMIFS(tbl_Donateurs[Montant total accorde (FCFA)],tbl_Donateurs[Domaine finance principal],A586)</f>
        <v>0</v>
      </c>
    </row>
    <row r="587" customFormat="false" ht="15" hidden="false" customHeight="true" outlineLevel="0" collapsed="false">
      <c r="A587" s="119" t="s">
        <v>159</v>
      </c>
      <c r="B587" s="107" t="n">
        <f aca="false">COUNTIF(tbl_Donateurs_Opportunites[Domaine],A587)</f>
        <v>0</v>
      </c>
      <c r="C587" s="107" t="n">
        <f aca="false">COUNTIFS(tbl_Donateurs[Domaine finance principal],A587)</f>
        <v>0</v>
      </c>
      <c r="D587" s="107" t="n">
        <f aca="false">COUNTIFS(tbl_Donateurs[Domaine finance principal],A587,tbl_Donateurs[Statut du donateur],"Financement obtenu")</f>
        <v>0</v>
      </c>
      <c r="E587" s="108" t="n">
        <f aca="false">SUMIFS(tbl_Donateurs[Montant total accorde (FCFA)],tbl_Donateurs[Domaine finance principal],A587)</f>
        <v>0</v>
      </c>
    </row>
    <row r="588" customFormat="false" ht="15" hidden="false" customHeight="true" outlineLevel="0" collapsed="false">
      <c r="A588" s="119" t="s">
        <v>162</v>
      </c>
      <c r="B588" s="107" t="n">
        <f aca="false">COUNTIF(tbl_Donateurs_Opportunites[Domaine],A588)</f>
        <v>0</v>
      </c>
      <c r="C588" s="107" t="n">
        <f aca="false">COUNTIFS(tbl_Donateurs[Domaine finance principal],A588)</f>
        <v>0</v>
      </c>
      <c r="D588" s="107" t="n">
        <f aca="false">COUNTIFS(tbl_Donateurs[Domaine finance principal],A588,tbl_Donateurs[Statut du donateur],"Financement obtenu")</f>
        <v>0</v>
      </c>
      <c r="E588" s="108" t="n">
        <f aca="false">SUMIFS(tbl_Donateurs[Montant total accorde (FCFA)],tbl_Donateurs[Domaine finance principal],A588)</f>
        <v>0</v>
      </c>
    </row>
    <row r="589" customFormat="false" ht="15" hidden="false" customHeight="true" outlineLevel="0" collapsed="false">
      <c r="A589" s="119" t="s">
        <v>165</v>
      </c>
      <c r="B589" s="107" t="n">
        <f aca="false">COUNTIF(tbl_Donateurs_Opportunites[Domaine],A589)</f>
        <v>0</v>
      </c>
      <c r="C589" s="107" t="n">
        <f aca="false">COUNTIFS(tbl_Donateurs[Domaine finance principal],A589)</f>
        <v>0</v>
      </c>
      <c r="D589" s="107" t="n">
        <f aca="false">COUNTIFS(tbl_Donateurs[Domaine finance principal],A589,tbl_Donateurs[Statut du donateur],"Financement obtenu")</f>
        <v>0</v>
      </c>
      <c r="E589" s="108" t="n">
        <f aca="false">SUMIFS(tbl_Donateurs[Montant total accorde (FCFA)],tbl_Donateurs[Domaine finance principal],A589)</f>
        <v>0</v>
      </c>
    </row>
    <row r="590" customFormat="false" ht="15" hidden="false" customHeight="true" outlineLevel="0" collapsed="false">
      <c r="A590" s="119" t="s">
        <v>168</v>
      </c>
      <c r="B590" s="107" t="n">
        <f aca="false">COUNTIF(tbl_Donateurs_Opportunites[Domaine],A590)</f>
        <v>0</v>
      </c>
      <c r="C590" s="107" t="n">
        <f aca="false">COUNTIFS(tbl_Donateurs[Domaine finance principal],A590)</f>
        <v>0</v>
      </c>
      <c r="D590" s="107" t="n">
        <f aca="false">COUNTIFS(tbl_Donateurs[Domaine finance principal],A590,tbl_Donateurs[Statut du donateur],"Financement obtenu")</f>
        <v>0</v>
      </c>
      <c r="E590" s="108" t="n">
        <f aca="false">SUMIFS(tbl_Donateurs[Montant total accorde (FCFA)],tbl_Donateurs[Domaine finance principal],A590)</f>
        <v>0</v>
      </c>
    </row>
    <row r="591" customFormat="false" ht="15" hidden="false" customHeight="true" outlineLevel="0" collapsed="false">
      <c r="A591" s="119" t="s">
        <v>171</v>
      </c>
      <c r="B591" s="107" t="n">
        <f aca="false">COUNTIF(tbl_Donateurs_Opportunites[Domaine],A591)</f>
        <v>0</v>
      </c>
      <c r="C591" s="107" t="n">
        <f aca="false">COUNTIFS(tbl_Donateurs[Domaine finance principal],A591)</f>
        <v>0</v>
      </c>
      <c r="D591" s="107" t="n">
        <f aca="false">COUNTIFS(tbl_Donateurs[Domaine finance principal],A591,tbl_Donateurs[Statut du donateur],"Financement obtenu")</f>
        <v>0</v>
      </c>
      <c r="E591" s="108" t="n">
        <f aca="false">SUMIFS(tbl_Donateurs[Montant total accorde (FCFA)],tbl_Donateurs[Domaine finance principal],A591)</f>
        <v>0</v>
      </c>
    </row>
    <row r="592" customFormat="false" ht="15" hidden="false" customHeight="true" outlineLevel="0" collapsed="false">
      <c r="A592" s="119" t="s">
        <v>174</v>
      </c>
      <c r="B592" s="107" t="n">
        <f aca="false">COUNTIF(tbl_Donateurs_Opportunites[Domaine],A592)</f>
        <v>0</v>
      </c>
      <c r="C592" s="107" t="n">
        <f aca="false">COUNTIFS(tbl_Donateurs[Domaine finance principal],A592)</f>
        <v>0</v>
      </c>
      <c r="D592" s="107" t="n">
        <f aca="false">COUNTIFS(tbl_Donateurs[Domaine finance principal],A592,tbl_Donateurs[Statut du donateur],"Financement obtenu")</f>
        <v>0</v>
      </c>
      <c r="E592" s="108" t="n">
        <f aca="false">SUMIFS(tbl_Donateurs[Montant total accorde (FCFA)],tbl_Donateurs[Domaine finance principal],A592)</f>
        <v>0</v>
      </c>
    </row>
    <row r="593" customFormat="false" ht="15" hidden="false" customHeight="true" outlineLevel="0" collapsed="false">
      <c r="A593" s="119" t="s">
        <v>178</v>
      </c>
      <c r="B593" s="107" t="n">
        <f aca="false">COUNTIF(tbl_Donateurs_Opportunites[Domaine],A593)</f>
        <v>0</v>
      </c>
      <c r="C593" s="107" t="n">
        <f aca="false">COUNTIFS(tbl_Donateurs[Domaine finance principal],A593)</f>
        <v>0</v>
      </c>
      <c r="D593" s="107" t="n">
        <f aca="false">COUNTIFS(tbl_Donateurs[Domaine finance principal],A593,tbl_Donateurs[Statut du donateur],"Financement obtenu")</f>
        <v>0</v>
      </c>
      <c r="E593" s="108" t="n">
        <f aca="false">SUMIFS(tbl_Donateurs[Montant total accorde (FCFA)],tbl_Donateurs[Domaine finance principal],A593)</f>
        <v>0</v>
      </c>
    </row>
    <row r="594" customFormat="false" ht="15" hidden="false" customHeight="true" outlineLevel="0" collapsed="false">
      <c r="A594" s="119" t="s">
        <v>181</v>
      </c>
      <c r="B594" s="107" t="n">
        <f aca="false">COUNTIF(tbl_Donateurs_Opportunites[Domaine],A594)</f>
        <v>0</v>
      </c>
      <c r="C594" s="107" t="n">
        <f aca="false">COUNTIFS(tbl_Donateurs[Domaine finance principal],A594)</f>
        <v>0</v>
      </c>
      <c r="D594" s="107" t="n">
        <f aca="false">COUNTIFS(tbl_Donateurs[Domaine finance principal],A594,tbl_Donateurs[Statut du donateur],"Financement obtenu")</f>
        <v>0</v>
      </c>
      <c r="E594" s="108" t="n">
        <f aca="false">SUMIFS(tbl_Donateurs[Montant total accorde (FCFA)],tbl_Donateurs[Domaine finance principal],A594)</f>
        <v>0</v>
      </c>
    </row>
    <row r="595" customFormat="false" ht="15" hidden="false" customHeight="true" outlineLevel="0" collapsed="false">
      <c r="A595" s="119" t="s">
        <v>184</v>
      </c>
      <c r="B595" s="107" t="n">
        <f aca="false">COUNTIF(tbl_Donateurs_Opportunites[Domaine],A595)</f>
        <v>0</v>
      </c>
      <c r="C595" s="107" t="n">
        <f aca="false">COUNTIFS(tbl_Donateurs[Domaine finance principal],A595)</f>
        <v>0</v>
      </c>
      <c r="D595" s="107" t="n">
        <f aca="false">COUNTIFS(tbl_Donateurs[Domaine finance principal],A595,tbl_Donateurs[Statut du donateur],"Financement obtenu")</f>
        <v>0</v>
      </c>
      <c r="E595" s="108" t="n">
        <f aca="false">SUMIFS(tbl_Donateurs[Montant total accorde (FCFA)],tbl_Donateurs[Domaine finance principal],A595)</f>
        <v>0</v>
      </c>
    </row>
    <row r="596" customFormat="false" ht="15" hidden="false" customHeight="true" outlineLevel="0" collapsed="false">
      <c r="A596" s="119" t="s">
        <v>187</v>
      </c>
      <c r="B596" s="107" t="n">
        <f aca="false">COUNTIF(tbl_Donateurs_Opportunites[Domaine],A596)</f>
        <v>0</v>
      </c>
      <c r="C596" s="107" t="n">
        <f aca="false">COUNTIFS(tbl_Donateurs[Domaine finance principal],A596)</f>
        <v>0</v>
      </c>
      <c r="D596" s="107" t="n">
        <f aca="false">COUNTIFS(tbl_Donateurs[Domaine finance principal],A596,tbl_Donateurs[Statut du donateur],"Financement obtenu")</f>
        <v>0</v>
      </c>
      <c r="E596" s="108" t="n">
        <f aca="false">SUMIFS(tbl_Donateurs[Montant total accorde (FCFA)],tbl_Donateurs[Domaine finance principal],A596)</f>
        <v>0</v>
      </c>
    </row>
    <row r="597" customFormat="false" ht="15" hidden="false" customHeight="true" outlineLevel="0" collapsed="false">
      <c r="A597" s="119" t="s">
        <v>190</v>
      </c>
      <c r="B597" s="107" t="n">
        <f aca="false">COUNTIF(tbl_Donateurs_Opportunites[Domaine],A597)</f>
        <v>0</v>
      </c>
      <c r="C597" s="107" t="n">
        <f aca="false">COUNTIFS(tbl_Donateurs[Domaine finance principal],A597)</f>
        <v>0</v>
      </c>
      <c r="D597" s="107" t="n">
        <f aca="false">COUNTIFS(tbl_Donateurs[Domaine finance principal],A597,tbl_Donateurs[Statut du donateur],"Financement obtenu")</f>
        <v>0</v>
      </c>
      <c r="E597" s="108" t="n">
        <f aca="false">SUMIFS(tbl_Donateurs[Montant total accorde (FCFA)],tbl_Donateurs[Domaine finance principal],A597)</f>
        <v>0</v>
      </c>
    </row>
    <row r="598" customFormat="false" ht="15" hidden="false" customHeight="true" outlineLevel="0" collapsed="false">
      <c r="A598" s="119" t="s">
        <v>193</v>
      </c>
      <c r="B598" s="107" t="n">
        <f aca="false">COUNTIF(tbl_Donateurs_Opportunites[Domaine],A598)</f>
        <v>0</v>
      </c>
      <c r="C598" s="107" t="n">
        <f aca="false">COUNTIFS(tbl_Donateurs[Domaine finance principal],A598)</f>
        <v>0</v>
      </c>
      <c r="D598" s="107" t="n">
        <f aca="false">COUNTIFS(tbl_Donateurs[Domaine finance principal],A598,tbl_Donateurs[Statut du donateur],"Financement obtenu")</f>
        <v>0</v>
      </c>
      <c r="E598" s="108" t="n">
        <f aca="false">SUMIFS(tbl_Donateurs[Montant total accorde (FCFA)],tbl_Donateurs[Domaine finance principal],A598)</f>
        <v>0</v>
      </c>
    </row>
    <row r="599" customFormat="false" ht="15" hidden="false" customHeight="true" outlineLevel="0" collapsed="false">
      <c r="A599" s="119" t="s">
        <v>196</v>
      </c>
      <c r="B599" s="107" t="n">
        <f aca="false">COUNTIF(tbl_Donateurs_Opportunites[Domaine],A599)</f>
        <v>0</v>
      </c>
      <c r="C599" s="107" t="n">
        <f aca="false">COUNTIFS(tbl_Donateurs[Domaine finance principal],A599)</f>
        <v>0</v>
      </c>
      <c r="D599" s="107" t="n">
        <f aca="false">COUNTIFS(tbl_Donateurs[Domaine finance principal],A599,tbl_Donateurs[Statut du donateur],"Financement obtenu")</f>
        <v>0</v>
      </c>
      <c r="E599" s="108" t="n">
        <f aca="false">SUMIFS(tbl_Donateurs[Montant total accorde (FCFA)],tbl_Donateurs[Domaine finance principal],A599)</f>
        <v>0</v>
      </c>
    </row>
    <row r="600" customFormat="false" ht="15" hidden="false" customHeight="true" outlineLevel="0" collapsed="false">
      <c r="A600" s="119" t="s">
        <v>199</v>
      </c>
      <c r="B600" s="107" t="n">
        <f aca="false">COUNTIF(tbl_Donateurs_Opportunites[Domaine],A600)</f>
        <v>0</v>
      </c>
      <c r="C600" s="107" t="n">
        <f aca="false">COUNTIFS(tbl_Donateurs[Domaine finance principal],A600)</f>
        <v>0</v>
      </c>
      <c r="D600" s="107" t="n">
        <f aca="false">COUNTIFS(tbl_Donateurs[Domaine finance principal],A600,tbl_Donateurs[Statut du donateur],"Financement obtenu")</f>
        <v>0</v>
      </c>
      <c r="E600" s="108" t="n">
        <f aca="false">SUMIFS(tbl_Donateurs[Montant total accorde (FCFA)],tbl_Donateurs[Domaine finance principal],A600)</f>
        <v>0</v>
      </c>
    </row>
    <row r="601" customFormat="false" ht="15" hidden="false" customHeight="true" outlineLevel="0" collapsed="false">
      <c r="A601" s="119" t="s">
        <v>202</v>
      </c>
      <c r="B601" s="107" t="n">
        <f aca="false">COUNTIF(tbl_Donateurs_Opportunites[Domaine],A601)</f>
        <v>0</v>
      </c>
      <c r="C601" s="107" t="n">
        <f aca="false">COUNTIFS(tbl_Donateurs[Domaine finance principal],A601)</f>
        <v>0</v>
      </c>
      <c r="D601" s="107" t="n">
        <f aca="false">COUNTIFS(tbl_Donateurs[Domaine finance principal],A601,tbl_Donateurs[Statut du donateur],"Financement obtenu")</f>
        <v>0</v>
      </c>
      <c r="E601" s="108" t="n">
        <f aca="false">SUMIFS(tbl_Donateurs[Montant total accorde (FCFA)],tbl_Donateurs[Domaine finance principal],A601)</f>
        <v>0</v>
      </c>
    </row>
    <row r="602" customFormat="false" ht="15" hidden="false" customHeight="true" outlineLevel="0" collapsed="false">
      <c r="A602" s="119" t="s">
        <v>205</v>
      </c>
      <c r="B602" s="107" t="n">
        <f aca="false">COUNTIF(tbl_Donateurs_Opportunites[Domaine],A602)</f>
        <v>0</v>
      </c>
      <c r="C602" s="107" t="n">
        <f aca="false">COUNTIFS(tbl_Donateurs[Domaine finance principal],A602)</f>
        <v>0</v>
      </c>
      <c r="D602" s="107" t="n">
        <f aca="false">COUNTIFS(tbl_Donateurs[Domaine finance principal],A602,tbl_Donateurs[Statut du donateur],"Financement obtenu")</f>
        <v>0</v>
      </c>
      <c r="E602" s="108" t="n">
        <f aca="false">SUMIFS(tbl_Donateurs[Montant total accorde (FCFA)],tbl_Donateurs[Domaine finance principal],A602)</f>
        <v>0</v>
      </c>
    </row>
    <row r="603" customFormat="false" ht="15" hidden="false" customHeight="true" outlineLevel="0" collapsed="false">
      <c r="A603" s="119" t="s">
        <v>208</v>
      </c>
      <c r="B603" s="107" t="n">
        <f aca="false">COUNTIF(tbl_Donateurs_Opportunites[Domaine],A603)</f>
        <v>0</v>
      </c>
      <c r="C603" s="107" t="n">
        <f aca="false">COUNTIFS(tbl_Donateurs[Domaine finance principal],A603)</f>
        <v>0</v>
      </c>
      <c r="D603" s="107" t="n">
        <f aca="false">COUNTIFS(tbl_Donateurs[Domaine finance principal],A603,tbl_Donateurs[Statut du donateur],"Financement obtenu")</f>
        <v>0</v>
      </c>
      <c r="E603" s="108" t="n">
        <f aca="false">SUMIFS(tbl_Donateurs[Montant total accorde (FCFA)],tbl_Donateurs[Domaine finance principal],A603)</f>
        <v>0</v>
      </c>
    </row>
    <row r="604" customFormat="false" ht="15" hidden="false" customHeight="true" outlineLevel="0" collapsed="false">
      <c r="A604" s="119" t="s">
        <v>211</v>
      </c>
      <c r="B604" s="107" t="n">
        <f aca="false">COUNTIF(tbl_Donateurs_Opportunites[Domaine],A604)</f>
        <v>0</v>
      </c>
      <c r="C604" s="107" t="n">
        <f aca="false">COUNTIFS(tbl_Donateurs[Domaine finance principal],A604)</f>
        <v>0</v>
      </c>
      <c r="D604" s="107" t="n">
        <f aca="false">COUNTIFS(tbl_Donateurs[Domaine finance principal],A604,tbl_Donateurs[Statut du donateur],"Financement obtenu")</f>
        <v>0</v>
      </c>
      <c r="E604" s="108" t="n">
        <f aca="false">SUMIFS(tbl_Donateurs[Montant total accorde (FCFA)],tbl_Donateurs[Domaine finance principal],A604)</f>
        <v>0</v>
      </c>
    </row>
    <row r="605" customFormat="false" ht="15" hidden="false" customHeight="true" outlineLevel="0" collapsed="false">
      <c r="A605" s="119" t="s">
        <v>214</v>
      </c>
      <c r="B605" s="107" t="n">
        <f aca="false">COUNTIF(tbl_Donateurs_Opportunites[Domaine],A605)</f>
        <v>0</v>
      </c>
      <c r="C605" s="107" t="n">
        <f aca="false">COUNTIFS(tbl_Donateurs[Domaine finance principal],A605)</f>
        <v>0</v>
      </c>
      <c r="D605" s="107" t="n">
        <f aca="false">COUNTIFS(tbl_Donateurs[Domaine finance principal],A605,tbl_Donateurs[Statut du donateur],"Financement obtenu")</f>
        <v>0</v>
      </c>
      <c r="E605" s="108" t="n">
        <f aca="false">SUMIFS(tbl_Donateurs[Montant total accorde (FCFA)],tbl_Donateurs[Domaine finance principal],A605)</f>
        <v>0</v>
      </c>
    </row>
    <row r="606" customFormat="false" ht="15" hidden="false" customHeight="true" outlineLevel="0" collapsed="false">
      <c r="A606" s="119" t="s">
        <v>217</v>
      </c>
      <c r="B606" s="107" t="n">
        <f aca="false">COUNTIF(tbl_Donateurs_Opportunites[Domaine],A606)</f>
        <v>0</v>
      </c>
      <c r="C606" s="107" t="n">
        <f aca="false">COUNTIFS(tbl_Donateurs[Domaine finance principal],A606)</f>
        <v>0</v>
      </c>
      <c r="D606" s="107" t="n">
        <f aca="false">COUNTIFS(tbl_Donateurs[Domaine finance principal],A606,tbl_Donateurs[Statut du donateur],"Financement obtenu")</f>
        <v>0</v>
      </c>
      <c r="E606" s="108" t="n">
        <f aca="false">SUMIFS(tbl_Donateurs[Montant total accorde (FCFA)],tbl_Donateurs[Domaine finance principal],A606)</f>
        <v>0</v>
      </c>
    </row>
    <row r="607" customFormat="false" ht="15" hidden="false" customHeight="true" outlineLevel="0" collapsed="false">
      <c r="A607" s="119" t="s">
        <v>220</v>
      </c>
      <c r="B607" s="107" t="n">
        <f aca="false">COUNTIF(tbl_Donateurs_Opportunites[Domaine],A607)</f>
        <v>0</v>
      </c>
      <c r="C607" s="107" t="n">
        <f aca="false">COUNTIFS(tbl_Donateurs[Domaine finance principal],A607)</f>
        <v>0</v>
      </c>
      <c r="D607" s="107" t="n">
        <f aca="false">COUNTIFS(tbl_Donateurs[Domaine finance principal],A607,tbl_Donateurs[Statut du donateur],"Financement obtenu")</f>
        <v>0</v>
      </c>
      <c r="E607" s="108" t="n">
        <f aca="false">SUMIFS(tbl_Donateurs[Montant total accorde (FCFA)],tbl_Donateurs[Domaine finance principal],A607)</f>
        <v>0</v>
      </c>
    </row>
    <row r="608" customFormat="false" ht="15" hidden="false" customHeight="true" outlineLevel="0" collapsed="false">
      <c r="A608" s="119" t="s">
        <v>223</v>
      </c>
      <c r="B608" s="107" t="n">
        <f aca="false">COUNTIF(tbl_Donateurs_Opportunites[Domaine],A608)</f>
        <v>0</v>
      </c>
      <c r="C608" s="107" t="n">
        <f aca="false">COUNTIFS(tbl_Donateurs[Domaine finance principal],A608)</f>
        <v>0</v>
      </c>
      <c r="D608" s="107" t="n">
        <f aca="false">COUNTIFS(tbl_Donateurs[Domaine finance principal],A608,tbl_Donateurs[Statut du donateur],"Financement obtenu")</f>
        <v>0</v>
      </c>
      <c r="E608" s="108" t="n">
        <f aca="false">SUMIFS(tbl_Donateurs[Montant total accorde (FCFA)],tbl_Donateurs[Domaine finance principal],A608)</f>
        <v>0</v>
      </c>
    </row>
    <row r="609" customFormat="false" ht="15" hidden="false" customHeight="true" outlineLevel="0" collapsed="false">
      <c r="A609" s="119" t="s">
        <v>226</v>
      </c>
      <c r="B609" s="107" t="n">
        <f aca="false">COUNTIF(tbl_Donateurs_Opportunites[Domaine],A609)</f>
        <v>0</v>
      </c>
      <c r="C609" s="107" t="n">
        <f aca="false">COUNTIFS(tbl_Donateurs[Domaine finance principal],A609)</f>
        <v>0</v>
      </c>
      <c r="D609" s="107" t="n">
        <f aca="false">COUNTIFS(tbl_Donateurs[Domaine finance principal],A609,tbl_Donateurs[Statut du donateur],"Financement obtenu")</f>
        <v>0</v>
      </c>
      <c r="E609" s="108" t="n">
        <f aca="false">SUMIFS(tbl_Donateurs[Montant total accorde (FCFA)],tbl_Donateurs[Domaine finance principal],A609)</f>
        <v>0</v>
      </c>
    </row>
    <row r="610" customFormat="false" ht="15" hidden="false" customHeight="true" outlineLevel="0" collapsed="false">
      <c r="A610" s="119" t="s">
        <v>229</v>
      </c>
      <c r="B610" s="107" t="n">
        <f aca="false">COUNTIF(tbl_Donateurs_Opportunites[Domaine],A610)</f>
        <v>0</v>
      </c>
      <c r="C610" s="107" t="n">
        <f aca="false">COUNTIFS(tbl_Donateurs[Domaine finance principal],A610)</f>
        <v>0</v>
      </c>
      <c r="D610" s="107" t="n">
        <f aca="false">COUNTIFS(tbl_Donateurs[Domaine finance principal],A610,tbl_Donateurs[Statut du donateur],"Financement obtenu")</f>
        <v>0</v>
      </c>
      <c r="E610" s="108" t="n">
        <f aca="false">SUMIFS(tbl_Donateurs[Montant total accorde (FCFA)],tbl_Donateurs[Domaine finance principal],A610)</f>
        <v>0</v>
      </c>
    </row>
    <row r="611" customFormat="false" ht="15" hidden="false" customHeight="true" outlineLevel="0" collapsed="false">
      <c r="A611" s="119" t="s">
        <v>232</v>
      </c>
      <c r="B611" s="107" t="n">
        <f aca="false">COUNTIF(tbl_Donateurs_Opportunites[Domaine],A611)</f>
        <v>0</v>
      </c>
      <c r="C611" s="107" t="n">
        <f aca="false">COUNTIFS(tbl_Donateurs[Domaine finance principal],A611)</f>
        <v>0</v>
      </c>
      <c r="D611" s="107" t="n">
        <f aca="false">COUNTIFS(tbl_Donateurs[Domaine finance principal],A611,tbl_Donateurs[Statut du donateur],"Financement obtenu")</f>
        <v>0</v>
      </c>
      <c r="E611" s="108" t="n">
        <f aca="false">SUMIFS(tbl_Donateurs[Montant total accorde (FCFA)],tbl_Donateurs[Domaine finance principal],A611)</f>
        <v>0</v>
      </c>
    </row>
    <row r="612" customFormat="false" ht="15" hidden="false" customHeight="true" outlineLevel="0" collapsed="false">
      <c r="A612" s="119" t="s">
        <v>235</v>
      </c>
      <c r="B612" s="107" t="n">
        <f aca="false">COUNTIF(tbl_Donateurs_Opportunites[Domaine],A612)</f>
        <v>0</v>
      </c>
      <c r="C612" s="107" t="n">
        <f aca="false">COUNTIFS(tbl_Donateurs[Domaine finance principal],A612)</f>
        <v>0</v>
      </c>
      <c r="D612" s="107" t="n">
        <f aca="false">COUNTIFS(tbl_Donateurs[Domaine finance principal],A612,tbl_Donateurs[Statut du donateur],"Financement obtenu")</f>
        <v>0</v>
      </c>
      <c r="E612" s="108" t="n">
        <f aca="false">SUMIFS(tbl_Donateurs[Montant total accorde (FCFA)],tbl_Donateurs[Domaine finance principal],A612)</f>
        <v>0</v>
      </c>
    </row>
    <row r="613" customFormat="false" ht="15" hidden="false" customHeight="true" outlineLevel="0" collapsed="false">
      <c r="A613" s="119" t="s">
        <v>238</v>
      </c>
      <c r="B613" s="107" t="n">
        <f aca="false">COUNTIF(tbl_Donateurs_Opportunites[Domaine],A613)</f>
        <v>0</v>
      </c>
      <c r="C613" s="107" t="n">
        <f aca="false">COUNTIFS(tbl_Donateurs[Domaine finance principal],A613)</f>
        <v>0</v>
      </c>
      <c r="D613" s="107" t="n">
        <f aca="false">COUNTIFS(tbl_Donateurs[Domaine finance principal],A613,tbl_Donateurs[Statut du donateur],"Financement obtenu")</f>
        <v>0</v>
      </c>
      <c r="E613" s="108" t="n">
        <f aca="false">SUMIFS(tbl_Donateurs[Montant total accorde (FCFA)],tbl_Donateurs[Domaine finance principal],A613)</f>
        <v>0</v>
      </c>
    </row>
    <row r="614" customFormat="false" ht="15" hidden="false" customHeight="true" outlineLevel="0" collapsed="false">
      <c r="A614" s="119" t="s">
        <v>241</v>
      </c>
      <c r="B614" s="107" t="n">
        <f aca="false">COUNTIF(tbl_Donateurs_Opportunites[Domaine],A614)</f>
        <v>0</v>
      </c>
      <c r="C614" s="107" t="n">
        <f aca="false">COUNTIFS(tbl_Donateurs[Domaine finance principal],A614)</f>
        <v>0</v>
      </c>
      <c r="D614" s="107" t="n">
        <f aca="false">COUNTIFS(tbl_Donateurs[Domaine finance principal],A614,tbl_Donateurs[Statut du donateur],"Financement obtenu")</f>
        <v>0</v>
      </c>
      <c r="E614" s="108" t="n">
        <f aca="false">SUMIFS(tbl_Donateurs[Montant total accorde (FCFA)],tbl_Donateurs[Domaine finance principal],A614)</f>
        <v>0</v>
      </c>
    </row>
    <row r="615" customFormat="false" ht="15" hidden="false" customHeight="true" outlineLevel="0" collapsed="false">
      <c r="A615" s="119" t="s">
        <v>244</v>
      </c>
      <c r="B615" s="107" t="n">
        <f aca="false">COUNTIF(tbl_Donateurs_Opportunites[Domaine],A615)</f>
        <v>0</v>
      </c>
      <c r="C615" s="107" t="n">
        <f aca="false">COUNTIFS(tbl_Donateurs[Domaine finance principal],A615)</f>
        <v>0</v>
      </c>
      <c r="D615" s="107" t="n">
        <f aca="false">COUNTIFS(tbl_Donateurs[Domaine finance principal],A615,tbl_Donateurs[Statut du donateur],"Financement obtenu")</f>
        <v>0</v>
      </c>
      <c r="E615" s="108" t="n">
        <f aca="false">SUMIFS(tbl_Donateurs[Montant total accorde (FCFA)],tbl_Donateurs[Domaine finance principal],A615)</f>
        <v>0</v>
      </c>
    </row>
    <row r="616" customFormat="false" ht="15" hidden="false" customHeight="true" outlineLevel="0" collapsed="false">
      <c r="A616" s="119" t="s">
        <v>247</v>
      </c>
      <c r="B616" s="107" t="n">
        <f aca="false">COUNTIF(tbl_Donateurs_Opportunites[Domaine],A616)</f>
        <v>0</v>
      </c>
      <c r="C616" s="107" t="n">
        <f aca="false">COUNTIFS(tbl_Donateurs[Domaine finance principal],A616)</f>
        <v>0</v>
      </c>
      <c r="D616" s="107" t="n">
        <f aca="false">COUNTIFS(tbl_Donateurs[Domaine finance principal],A616,tbl_Donateurs[Statut du donateur],"Financement obtenu")</f>
        <v>0</v>
      </c>
      <c r="E616" s="108" t="n">
        <f aca="false">SUMIFS(tbl_Donateurs[Montant total accorde (FCFA)],tbl_Donateurs[Domaine finance principal],A616)</f>
        <v>0</v>
      </c>
    </row>
    <row r="617" customFormat="false" ht="15" hidden="false" customHeight="true" outlineLevel="0" collapsed="false">
      <c r="A617" s="119" t="s">
        <v>250</v>
      </c>
      <c r="B617" s="107" t="n">
        <f aca="false">COUNTIF(tbl_Donateurs_Opportunites[Domaine],A617)</f>
        <v>0</v>
      </c>
      <c r="C617" s="107" t="n">
        <f aca="false">COUNTIFS(tbl_Donateurs[Domaine finance principal],A617)</f>
        <v>0</v>
      </c>
      <c r="D617" s="107" t="n">
        <f aca="false">COUNTIFS(tbl_Donateurs[Domaine finance principal],A617,tbl_Donateurs[Statut du donateur],"Financement obtenu")</f>
        <v>0</v>
      </c>
      <c r="E617" s="108" t="n">
        <f aca="false">SUMIFS(tbl_Donateurs[Montant total accorde (FCFA)],tbl_Donateurs[Domaine finance principal],A617)</f>
        <v>0</v>
      </c>
    </row>
    <row r="618" customFormat="false" ht="15" hidden="false" customHeight="true" outlineLevel="0" collapsed="false">
      <c r="A618" s="119" t="s">
        <v>253</v>
      </c>
      <c r="B618" s="107" t="n">
        <f aca="false">COUNTIF(tbl_Donateurs_Opportunites[Domaine],A618)</f>
        <v>0</v>
      </c>
      <c r="C618" s="107" t="n">
        <f aca="false">COUNTIFS(tbl_Donateurs[Domaine finance principal],A618)</f>
        <v>1</v>
      </c>
      <c r="D618" s="107" t="n">
        <f aca="false">COUNTIFS(tbl_Donateurs[Domaine finance principal],A618,tbl_Donateurs[Statut du donateur],"Financement obtenu")</f>
        <v>1</v>
      </c>
      <c r="E618" s="108" t="n">
        <f aca="false">SUMIFS(tbl_Donateurs[Montant total accorde (FCFA)],tbl_Donateurs[Domaine finance principal],A618)</f>
        <v>0</v>
      </c>
    </row>
    <row r="619" customFormat="false" ht="15" hidden="false" customHeight="true" outlineLevel="0" collapsed="false">
      <c r="A619" s="119" t="s">
        <v>256</v>
      </c>
      <c r="B619" s="107" t="n">
        <f aca="false">COUNTIF(tbl_Donateurs_Opportunites[Domaine],A619)</f>
        <v>0</v>
      </c>
      <c r="C619" s="107" t="n">
        <f aca="false">COUNTIFS(tbl_Donateurs[Domaine finance principal],A619)</f>
        <v>0</v>
      </c>
      <c r="D619" s="107" t="n">
        <f aca="false">COUNTIFS(tbl_Donateurs[Domaine finance principal],A619,tbl_Donateurs[Statut du donateur],"Financement obtenu")</f>
        <v>0</v>
      </c>
      <c r="E619" s="108" t="n">
        <f aca="false">SUMIFS(tbl_Donateurs[Montant total accorde (FCFA)],tbl_Donateurs[Domaine finance principal],A619)</f>
        <v>0</v>
      </c>
    </row>
    <row r="620" customFormat="false" ht="15" hidden="false" customHeight="true" outlineLevel="0" collapsed="false">
      <c r="A620" s="119" t="s">
        <v>259</v>
      </c>
      <c r="B620" s="107" t="n">
        <f aca="false">COUNTIF(tbl_Donateurs_Opportunites[Domaine],A620)</f>
        <v>0</v>
      </c>
      <c r="C620" s="107" t="n">
        <f aca="false">COUNTIFS(tbl_Donateurs[Domaine finance principal],A620)</f>
        <v>0</v>
      </c>
      <c r="D620" s="107" t="n">
        <f aca="false">COUNTIFS(tbl_Donateurs[Domaine finance principal],A620,tbl_Donateurs[Statut du donateur],"Financement obtenu")</f>
        <v>0</v>
      </c>
      <c r="E620" s="108" t="n">
        <f aca="false">SUMIFS(tbl_Donateurs[Montant total accorde (FCFA)],tbl_Donateurs[Domaine finance principal],A620)</f>
        <v>0</v>
      </c>
    </row>
    <row r="621" customFormat="false" ht="15" hidden="false" customHeight="true" outlineLevel="0" collapsed="false">
      <c r="A621" s="119" t="s">
        <v>262</v>
      </c>
      <c r="B621" s="107" t="n">
        <f aca="false">COUNTIF(tbl_Donateurs_Opportunites[Domaine],A621)</f>
        <v>0</v>
      </c>
      <c r="C621" s="107" t="n">
        <f aca="false">COUNTIFS(tbl_Donateurs[Domaine finance principal],A621)</f>
        <v>0</v>
      </c>
      <c r="D621" s="107" t="n">
        <f aca="false">COUNTIFS(tbl_Donateurs[Domaine finance principal],A621,tbl_Donateurs[Statut du donateur],"Financement obtenu")</f>
        <v>0</v>
      </c>
      <c r="E621" s="108" t="n">
        <f aca="false">SUMIFS(tbl_Donateurs[Montant total accorde (FCFA)],tbl_Donateurs[Domaine finance principal],A621)</f>
        <v>0</v>
      </c>
    </row>
    <row r="622" customFormat="false" ht="15" hidden="false" customHeight="true" outlineLevel="0" collapsed="false">
      <c r="A622" s="119" t="s">
        <v>265</v>
      </c>
      <c r="B622" s="107" t="n">
        <f aca="false">COUNTIF(tbl_Donateurs_Opportunites[Domaine],A622)</f>
        <v>0</v>
      </c>
      <c r="C622" s="107" t="n">
        <f aca="false">COUNTIFS(tbl_Donateurs[Domaine finance principal],A622)</f>
        <v>0</v>
      </c>
      <c r="D622" s="107" t="n">
        <f aca="false">COUNTIFS(tbl_Donateurs[Domaine finance principal],A622,tbl_Donateurs[Statut du donateur],"Financement obtenu")</f>
        <v>0</v>
      </c>
      <c r="E622" s="108" t="n">
        <f aca="false">SUMIFS(tbl_Donateurs[Montant total accorde (FCFA)],tbl_Donateurs[Domaine finance principal],A622)</f>
        <v>0</v>
      </c>
    </row>
  </sheetData>
  <mergeCells count="16">
    <mergeCell ref="A1:P1"/>
    <mergeCell ref="A2:R2"/>
    <mergeCell ref="A6:R6"/>
    <mergeCell ref="A10:R10"/>
    <mergeCell ref="A54:AX54"/>
    <mergeCell ref="A208:J208"/>
    <mergeCell ref="A242:X242"/>
    <mergeCell ref="A306:P306"/>
    <mergeCell ref="A370:I370"/>
    <mergeCell ref="A414:L414"/>
    <mergeCell ref="A448:G448"/>
    <mergeCell ref="A482:F482"/>
    <mergeCell ref="A526:F526"/>
    <mergeCell ref="A560:B560"/>
    <mergeCell ref="A569:B569"/>
    <mergeCell ref="A581:E581"/>
  </mergeCells>
  <dataValidations count="43">
    <dataValidation allowBlank="true" errorStyle="stop" operator="between" showDropDown="false" showErrorMessage="false" showInputMessage="false" sqref="E56:E205" type="list">
      <formula1>Liste_TypesDonateurs</formula1>
      <formula2>0</formula2>
    </dataValidation>
    <dataValidation allowBlank="true" errorStyle="stop" operator="between" showDropDown="false" showErrorMessage="false" showInputMessage="false" sqref="F56:F205" type="list">
      <formula1>Liste_TypesFinancement</formula1>
      <formula2>0</formula2>
    </dataValidation>
    <dataValidation allowBlank="true" errorStyle="stop" operator="between" showDropDown="false" showErrorMessage="false" showInputMessage="false" sqref="P56:P205" type="list">
      <formula1>Liste_Fonctions</formula1>
      <formula2>0</formula2>
    </dataValidation>
    <dataValidation allowBlank="true" errorStyle="stop" operator="between" showDropDown="false" showErrorMessage="false" showInputMessage="false" sqref="V56:V205" type="list">
      <formula1>Liste_Domaines</formula1>
      <formula2>0</formula2>
    </dataValidation>
    <dataValidation allowBlank="true" errorStyle="stop" operator="between" showDropDown="false" showErrorMessage="false" showInputMessage="false" sqref="W56:W205" type="list">
      <formula1>Liste_Domaines</formula1>
      <formula2>0</formula2>
    </dataValidation>
    <dataValidation allowBlank="true" errorStyle="stop" operator="between" showDropDown="false" showErrorMessage="false" showInputMessage="false" sqref="X56:X205" type="list">
      <formula1>Liste_ZonesGeo</formula1>
      <formula2>0</formula2>
    </dataValidation>
    <dataValidation allowBlank="true" errorStyle="stop" operator="between" showDropDown="false" showErrorMessage="false" showInputMessage="false" sqref="AB56:AB205" type="list">
      <formula1>"Prospect,Contact etabli,En discussion,Actif,Financement obtenu,A relancer,Inactif,Suspendu,Termine"</formula1>
      <formula2>0</formula2>
    </dataValidation>
    <dataValidation allowBlank="true" errorStyle="stop" operator="between" showDropDown="false" showErrorMessage="false" showInputMessage="false" sqref="AG56:AG205" type="list">
      <formula1>"Email,Telephone,Reunion,Visio,Courrier,Visite terrain,Reseaux sociaux,Autre"</formula1>
      <formula2>0</formula2>
    </dataValidation>
    <dataValidation allowBlank="true" errorStyle="stop" operator="between" showDropDown="false" showErrorMessage="false" showInputMessage="false" sqref="AH56:AH205" type="list">
      <formula1>"A initier,En cours,Etablie,A relancer,Rompue"</formula1>
      <formula2>0</formula2>
    </dataValidation>
    <dataValidation allowBlank="true" errorStyle="stop" operator="between" showDropDown="false" showErrorMessage="false" showInputMessage="false" sqref="B210:B239" type="list">
      <formula1>Liste_DonateursID</formula1>
      <formula2>0</formula2>
    </dataValidation>
    <dataValidation allowBlank="true" errorStyle="stop" operator="between" showDropDown="false" showErrorMessage="false" showInputMessage="false" sqref="E210:E239" type="list">
      <formula1>Liste_Fonctions</formula1>
      <formula2>0</formula2>
    </dataValidation>
    <dataValidation allowBlank="true" errorStyle="stop" operator="between" showDropDown="false" showErrorMessage="false" showInputMessage="false" sqref="I210:I239" type="list">
      <formula1>"Oui,Non"</formula1>
      <formula2>0</formula2>
    </dataValidation>
    <dataValidation allowBlank="true" errorStyle="stop" operator="between" showDropDown="false" showErrorMessage="false" showInputMessage="false" sqref="J210:J239" type="list">
      <formula1>Liste_StatutsGeneraux</formula1>
      <formula2>0</formula2>
    </dataValidation>
    <dataValidation allowBlank="true" errorStyle="stop" operator="between" showDropDown="false" showErrorMessage="false" showInputMessage="false" sqref="B244:B303" type="list">
      <formula1>Liste_DonateursID</formula1>
      <formula2>0</formula2>
    </dataValidation>
    <dataValidation allowBlank="true" errorStyle="stop" operator="between" showDropDown="false" showErrorMessage="false" showInputMessage="false" sqref="F244:F303" type="list">
      <formula1>Liste_Domaines</formula1>
      <formula2>0</formula2>
    </dataValidation>
    <dataValidation allowBlank="true" errorStyle="stop" operator="between" showDropDown="false" showErrorMessage="false" showInputMessage="false" sqref="G244:G303" type="list">
      <formula1>Liste_ZonesGeo</formula1>
      <formula2>0</formula2>
    </dataValidation>
    <dataValidation allowBlank="true" errorStyle="stop" operator="between" showDropDown="false" showErrorMessage="false" showInputMessage="false" sqref="H244:H303" type="list">
      <formula1>Liste_TypesFinancement</formula1>
      <formula2>0</formula2>
    </dataValidation>
    <dataValidation allowBlank="true" errorStyle="stop" operator="between" showDropDown="false" showErrorMessage="false" showInputMessage="false" sqref="K244:K303" type="list">
      <formula1>"FCFA,EUR,USD,GBP,Autre"</formula1>
      <formula2>0</formula2>
    </dataValidation>
    <dataValidation allowBlank="true" errorStyle="stop" operator="between" showDropDown="false" showErrorMessage="false" showInputMessage="false" sqref="Q244:Q303" type="list">
      <formula1>"Oui,Non,A verifier"</formula1>
      <formula2>0</formula2>
    </dataValidation>
    <dataValidation allowBlank="true" errorStyle="stop" operator="between" showDropDown="false" showErrorMessage="false" showInputMessage="false" sqref="T244:T303" type="list">
      <formula1>"Oui,Non"</formula1>
      <formula2>0</formula2>
    </dataValidation>
    <dataValidation allowBlank="true" errorStyle="stop" operator="between" showDropDown="false" showErrorMessage="false" showInputMessage="false" sqref="X244:X303" type="list">
      <formula1>"A venir,Ouverte,En evaluation interne,Cloturee,Annulee"</formula1>
      <formula2>0</formula2>
    </dataValidation>
    <dataValidation allowBlank="true" errorStyle="stop" operator="between" showDropDown="false" showErrorMessage="false" showInputMessage="false" sqref="B308:B367" type="list">
      <formula1>Liste_DonateursOpportunitesID</formula1>
      <formula2>0</formula2>
    </dataValidation>
    <dataValidation allowBlank="true" errorStyle="stop" operator="between" showDropDown="false" showErrorMessage="false" showInputMessage="false" sqref="C308:C367" type="list">
      <formula1>Liste_DonateursID</formula1>
      <formula2>0</formula2>
    </dataValidation>
    <dataValidation allowBlank="true" errorStyle="stop" operator="between" showDropDown="false" showErrorMessage="false" showInputMessage="false" sqref="D308:D367" type="list">
      <formula1>Liste_ActivitesIDProjets</formula1>
      <formula2>0</formula2>
    </dataValidation>
    <dataValidation allowBlank="true" errorStyle="stop" operator="between" showDropDown="false" showErrorMessage="false" showInputMessage="false" sqref="F308:F367" type="list">
      <formula1>"FCFA,EUR,USD,GBP,Autre"</formula1>
      <formula2>0</formula2>
    </dataValidation>
    <dataValidation allowBlank="true" errorStyle="stop" operator="between" showDropDown="false" showErrorMessage="false" showInputMessage="false" sqref="J308:J367" type="list">
      <formula1>"A preparer,En preparation,En validation,Soumise,En evaluation,Demande de complement,Preselectionnee,Approuvee,Rejetee,Retiree,Contractualisation,Financement recu"</formula1>
      <formula2>0</formula2>
    </dataValidation>
    <dataValidation allowBlank="true" errorStyle="stop" operator="between" showDropDown="false" showErrorMessage="false" showInputMessage="false" sqref="B372:B411" type="list">
      <formula1>Liste_DonateursID</formula1>
      <formula2>0</formula2>
    </dataValidation>
    <dataValidation allowBlank="true" errorStyle="stop" operator="between" showDropDown="false" showErrorMessage="false" showInputMessage="false" sqref="C372:C411" type="list">
      <formula1>Liste_DonateursDemandesID</formula1>
      <formula2>0</formula2>
    </dataValidation>
    <dataValidation allowBlank="true" errorStyle="stop" operator="between" showDropDown="false" showErrorMessage="false" showInputMessage="false" sqref="D372:D411" type="list">
      <formula1>Liste_ActivitesIDProjets</formula1>
      <formula2>0</formula2>
    </dataValidation>
    <dataValidation allowBlank="true" errorStyle="stop" operator="between" showDropDown="false" showErrorMessage="false" showInputMessage="false" sqref="I372:I411" type="list">
      <formula1>"Prevu,Recu,En retard,Annule"</formula1>
      <formula2>0</formula2>
    </dataValidation>
    <dataValidation allowBlank="true" errorStyle="stop" operator="between" showDropDown="false" showErrorMessage="false" showInputMessage="false" sqref="A416:A445" type="list">
      <formula1>Liste_DonateursID</formula1>
      <formula2>0</formula2>
    </dataValidation>
    <dataValidation allowBlank="true" errorStyle="stop" operator="between" showDropDown="false" showErrorMessage="false" showInputMessage="false" sqref="C416:C445" type="list">
      <formula1>Liste_ActivitesIDProjets</formula1>
      <formula2>0</formula2>
    </dataValidation>
    <dataValidation allowBlank="true" errorStyle="stop" operator="between" showDropDown="false" showErrorMessage="false" showInputMessage="false" sqref="H416:H445" type="list">
      <formula1>"FCFA,EUR,USD,GBP,Autre"</formula1>
      <formula2>0</formula2>
    </dataValidation>
    <dataValidation allowBlank="true" errorStyle="stop" operator="between" showDropDown="false" showErrorMessage="false" showInputMessage="false" sqref="K416:K445" type="list">
      <formula1>"Active,En negociation,Expiree,Resiliee,A renouveler,Annulee"</formula1>
      <formula2>0</formula2>
    </dataValidation>
    <dataValidation allowBlank="true" errorStyle="stop" operator="between" showDropDown="false" showErrorMessage="false" showInputMessage="false" sqref="A450:A479" type="list">
      <formula1>Liste_DonateursID</formula1>
      <formula2>0</formula2>
    </dataValidation>
    <dataValidation allowBlank="true" errorStyle="stop" operator="between" showDropDown="false" showErrorMessage="false" showInputMessage="false" sqref="B450:B479" type="list">
      <formula1>Liste_ActivitesIDProjets</formula1>
      <formula2>0</formula2>
    </dataValidation>
    <dataValidation allowBlank="true" errorStyle="stop" operator="between" showDropDown="false" showErrorMessage="false" showInputMessage="false" sqref="C450:C479" type="list">
      <formula1>"Narratif,Financier,Intermediaire,Final"</formula1>
      <formula2>0</formula2>
    </dataValidation>
    <dataValidation allowBlank="true" errorStyle="stop" operator="between" showDropDown="false" showErrorMessage="false" showInputMessage="false" sqref="D450:D479" type="list">
      <formula1>"Mensuel,Trimestriel,Semestriel,Annuel,Unique"</formula1>
      <formula2>0</formula2>
    </dataValidation>
    <dataValidation allowBlank="true" errorStyle="stop" operator="between" showDropDown="false" showErrorMessage="false" showInputMessage="false" sqref="G450:G479" type="list">
      <formula1>"A preparer,En preparation,Soumis,Valide,A corriger,En retard,Termine"</formula1>
      <formula2>0</formula2>
    </dataValidation>
    <dataValidation allowBlank="true" errorStyle="stop" operator="between" showDropDown="false" showErrorMessage="false" showInputMessage="false" sqref="A484:A523" type="list">
      <formula1>Liste_DonateursID</formula1>
      <formula2>0</formula2>
    </dataValidation>
    <dataValidation allowBlank="true" errorStyle="stop" operator="between" showDropDown="false" showErrorMessage="false" showInputMessage="false" sqref="A528:A557" type="list">
      <formula1>Liste_DonateursID</formula1>
      <formula2>0</formula2>
    </dataValidation>
    <dataValidation allowBlank="true" errorStyle="stop" operator="between" showDropDown="false" showErrorMessage="false" showInputMessage="false" sqref="C528:C557" type="list">
      <formula1>"Appel a projets,Formulaire de candidature,Proposition,Budget,Convention,Rapport,Correspondance,Preuve de financement,Autre"</formula1>
      <formula2>0</formula2>
    </dataValidation>
    <dataValidation allowBlank="true" errorStyle="stop" operator="between" showDropDown="false" showErrorMessage="false" showInputMessage="false" sqref="E528:E557" type="list">
      <formula1>Liste_StatutsDocuments</formula1>
      <formula2>0</formula2>
    </dataValidation>
  </dataValidations>
  <hyperlinks>
    <hyperlink ref="Q1" location="PROJETS!A1" display="-&gt; PROJETS"/>
    <hyperlink ref="R1" location="PARTENAIRES!A1" display="-&gt; PARTENAIRES"/>
    <hyperlink ref="S1" location="PARAMETRES!A1" display="-&gt; PARAMETR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67"/>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F28" activeCellId="0" sqref="F28"/>
    </sheetView>
  </sheetViews>
  <sheetFormatPr defaultColWidth="8.71484375" defaultRowHeight="15" customHeight="true"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6"/>
    <col collapsed="false" customWidth="true" hidden="false" outlineLevel="0" max="5" min="4" style="1" width="12"/>
    <col collapsed="false" customWidth="true" hidden="false" outlineLevel="0" max="6" min="6" style="1" width="14"/>
    <col collapsed="false" customWidth="true" hidden="false" outlineLevel="0" max="7" min="7" style="1" width="18"/>
    <col collapsed="false" customWidth="true" hidden="false" outlineLevel="0" max="8" min="8" style="1" width="12"/>
    <col collapsed="false" customWidth="true" hidden="false" outlineLevel="0" max="9" min="9" style="1" width="22"/>
    <col collapsed="false" customWidth="true" hidden="false" outlineLevel="0" max="11" min="10" style="1" width="18"/>
    <col collapsed="false" customWidth="true" hidden="false" outlineLevel="0" max="12" min="12" style="1" width="12"/>
    <col collapsed="false" customWidth="true" hidden="false" outlineLevel="0" max="13" min="13" style="1" width="22"/>
    <col collapsed="false" customWidth="true" hidden="false" outlineLevel="0" max="14" min="14" style="1" width="12"/>
    <col collapsed="false" customWidth="true" hidden="false" outlineLevel="0" max="15" min="15" style="1" width="20"/>
    <col collapsed="false" customWidth="true" hidden="false" outlineLevel="0" max="16" min="16" style="1" width="14"/>
    <col collapsed="false" customWidth="true" hidden="false" outlineLevel="0" max="19" min="17" style="1" width="18"/>
    <col collapsed="false" customWidth="true" hidden="false" outlineLevel="0" max="20" min="20" style="1" width="12"/>
    <col collapsed="false" customWidth="true" hidden="false" outlineLevel="0" max="21" min="21" style="1" width="22"/>
    <col collapsed="false" customWidth="true" hidden="false" outlineLevel="0" max="22" min="22" style="1" width="24"/>
    <col collapsed="false" customWidth="true" hidden="false" outlineLevel="0" max="23" min="23" style="1" width="12"/>
    <col collapsed="false" customWidth="true" hidden="false" outlineLevel="0" max="24" min="24" style="1" width="10"/>
    <col collapsed="false" customWidth="true" hidden="false" outlineLevel="0" max="30" min="25" style="1" width="14"/>
    <col collapsed="false" customWidth="true" hidden="false" outlineLevel="0" max="31" min="31" style="1" width="12"/>
    <col collapsed="false" customWidth="true" hidden="false" outlineLevel="0" max="32" min="32" style="1" width="20"/>
    <col collapsed="false" customWidth="true" hidden="false" outlineLevel="0" max="33" min="33" style="1" width="10"/>
    <col collapsed="false" customWidth="true" hidden="false" outlineLevel="0" max="34" min="34" style="1" width="18"/>
    <col collapsed="false" customWidth="true" hidden="false" outlineLevel="0" max="39" min="35" style="1" width="14"/>
    <col collapsed="false" customWidth="true" hidden="false" outlineLevel="0" max="40" min="40" style="1" width="12"/>
    <col collapsed="false" customWidth="true" hidden="false" outlineLevel="0" max="41" min="41" style="1" width="14"/>
    <col collapsed="false" customWidth="true" hidden="false" outlineLevel="0" max="42" min="42" style="1" width="10"/>
    <col collapsed="false" customWidth="true" hidden="false" outlineLevel="0" max="48" min="43" style="1" width="14"/>
    <col collapsed="false" customWidth="true" hidden="false" outlineLevel="0" max="50" min="49" style="1" width="12"/>
    <col collapsed="false" customWidth="true" hidden="false" outlineLevel="0" max="51" min="51" style="1" width="24"/>
    <col collapsed="false" customWidth="true" hidden="true" outlineLevel="0" max="53" min="52" style="1" width="10"/>
  </cols>
  <sheetData>
    <row r="1" customFormat="false" ht="25.5" hidden="false" customHeight="true" outlineLevel="0" collapsed="false">
      <c r="A1" s="121" t="s">
        <v>1992</v>
      </c>
      <c r="B1" s="121"/>
      <c r="C1" s="121"/>
      <c r="D1" s="121"/>
      <c r="E1" s="121"/>
      <c r="F1" s="121"/>
      <c r="G1" s="121"/>
      <c r="H1" s="121"/>
      <c r="I1" s="121"/>
      <c r="J1" s="121"/>
      <c r="K1" s="121"/>
      <c r="L1" s="121"/>
      <c r="M1" s="121"/>
      <c r="N1" s="121"/>
      <c r="O1" s="121"/>
      <c r="P1" s="121"/>
      <c r="Q1" s="122" t="s">
        <v>1683</v>
      </c>
      <c r="R1" s="122" t="s">
        <v>1777</v>
      </c>
      <c r="S1" s="122" t="s">
        <v>1993</v>
      </c>
      <c r="T1" s="122" t="s">
        <v>1444</v>
      </c>
    </row>
    <row r="2" customFormat="false" ht="15.75" hidden="false" customHeight="true" outlineLevel="0" collapsed="false">
      <c r="A2" s="123" t="s">
        <v>1994</v>
      </c>
      <c r="B2" s="123"/>
      <c r="C2" s="123"/>
      <c r="D2" s="123"/>
      <c r="E2" s="123"/>
      <c r="F2" s="123"/>
      <c r="G2" s="123"/>
      <c r="H2" s="123"/>
      <c r="I2" s="123"/>
      <c r="J2" s="123"/>
      <c r="K2" s="123"/>
      <c r="L2" s="123"/>
      <c r="M2" s="123"/>
      <c r="N2" s="123"/>
      <c r="O2" s="123"/>
      <c r="P2" s="123"/>
      <c r="Q2" s="123"/>
      <c r="R2" s="123"/>
      <c r="S2" s="123"/>
      <c r="T2" s="123"/>
    </row>
    <row r="3" customFormat="false" ht="21.75" hidden="false" customHeight="true" outlineLevel="0" collapsed="false">
      <c r="A3" s="124" t="s">
        <v>1442</v>
      </c>
      <c r="C3" s="125" t="n">
        <f aca="true">TODAY()</f>
        <v>46266</v>
      </c>
    </row>
    <row r="4" customFormat="false" ht="15" hidden="false" customHeight="true" outlineLevel="0" collapsed="false">
      <c r="A4" s="97" t="s">
        <v>1779</v>
      </c>
      <c r="B4" s="97"/>
      <c r="C4" s="97"/>
      <c r="D4" s="97"/>
      <c r="E4" s="97"/>
      <c r="F4" s="97"/>
      <c r="G4" s="97"/>
      <c r="H4" s="97"/>
      <c r="I4" s="97"/>
      <c r="J4" s="97"/>
      <c r="K4" s="97"/>
      <c r="L4" s="97"/>
      <c r="M4" s="97"/>
      <c r="N4" s="97"/>
      <c r="O4" s="97"/>
      <c r="P4" s="97"/>
      <c r="Q4" s="97"/>
      <c r="R4" s="97"/>
      <c r="S4" s="97"/>
      <c r="T4" s="97"/>
    </row>
    <row r="6" customFormat="false" ht="19.5" hidden="false" customHeight="true" outlineLevel="0" collapsed="false">
      <c r="A6" s="18" t="s">
        <v>1995</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row>
    <row r="7" customFormat="false" ht="30" hidden="false" customHeight="true" outlineLevel="0" collapsed="false">
      <c r="A7" s="126" t="s">
        <v>1996</v>
      </c>
      <c r="B7" s="126" t="s">
        <v>1997</v>
      </c>
      <c r="C7" s="126" t="s">
        <v>1998</v>
      </c>
      <c r="D7" s="126" t="s">
        <v>1597</v>
      </c>
      <c r="E7" s="126" t="s">
        <v>1999</v>
      </c>
      <c r="F7" s="126" t="s">
        <v>2000</v>
      </c>
      <c r="G7" s="126" t="s">
        <v>2001</v>
      </c>
      <c r="H7" s="126" t="s">
        <v>2002</v>
      </c>
      <c r="I7" s="126" t="s">
        <v>2003</v>
      </c>
      <c r="J7" s="127" t="s">
        <v>1216</v>
      </c>
    </row>
    <row r="8" customFormat="false" ht="15" hidden="false" customHeight="true" outlineLevel="0" collapsed="false">
      <c r="A8" s="128" t="n">
        <f aca="false">IF($J$7="Total",SUM(tbl_Budget[Montant prevu (FCFA)]),SUMIFS(tbl_Budget[Montant prevu (FCFA)],tbl_Budget[Annee budgetaire],VALUE($J$7)))</f>
        <v>0</v>
      </c>
      <c r="B8" s="128" t="n">
        <f aca="false">IF($J$7="Total",SUM(tbl_Budget[Budget de reference (FCFA)]),SUMIFS(tbl_Budget[Budget de reference (FCFA)],tbl_Budget[Annee budgetaire],VALUE($J$7)))</f>
        <v>0</v>
      </c>
      <c r="C8" s="128" t="n">
        <f aca="false">IF($J$7="Total",SUM(tbl_Budget[Montant engage (FCFA)]),SUMIFS(tbl_Budget[Montant engage (FCFA)],tbl_Budget[Annee budgetaire],VALUE($J$7)))</f>
        <v>0</v>
      </c>
      <c r="D8" s="128" t="n">
        <f aca="false">IF($J$7="Total",SUM(tbl_Budget[Depenses realisees (FCFA)]),SUMIFS(tbl_Budget[Depenses realisees (FCFA)],tbl_Budget[Annee budgetaire],VALUE($J$7)))</f>
        <v>0</v>
      </c>
      <c r="E8" s="128" t="n">
        <f aca="false">$B$8-$D$8</f>
        <v>0</v>
      </c>
      <c r="F8" s="129" t="n">
        <f aca="false">IF($B$8=0,0,$D$8/$B$8)</f>
        <v>0</v>
      </c>
      <c r="G8" s="127" t="n">
        <f aca="false">IF($J$7="Total",SUMPRODUCT(($AZ$28:$AZ$67=1)*($H$28:$H$67&lt;&gt;"")),SUMPRODUCT(($BA$28:$BA$67=1)*($B$28:$B$67=VALUE($J$7))))</f>
        <v>1</v>
      </c>
      <c r="H8" s="127" t="n">
        <f aca="false">IF($J$7="Total",COUNTIF($A$28:$A$67,"BUD*"),COUNTIFS($A$28:$A$67,"BUD*",$B$28:$B$67,VALUE($J$7)))</f>
        <v>1</v>
      </c>
    </row>
    <row r="10" customFormat="false" ht="19.5" hidden="false" customHeight="true" outlineLevel="0" collapsed="false">
      <c r="A10" s="18" t="s">
        <v>1566</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row>
    <row r="11" customFormat="false" ht="21.75" hidden="false" customHeight="true" outlineLevel="0" collapsed="false">
      <c r="A11" s="19" t="s">
        <v>2004</v>
      </c>
      <c r="B11" s="19" t="s">
        <v>2005</v>
      </c>
      <c r="D11" s="19" t="s">
        <v>2006</v>
      </c>
      <c r="E11" s="19" t="s">
        <v>2005</v>
      </c>
      <c r="G11" s="19" t="s">
        <v>2007</v>
      </c>
      <c r="H11" s="19" t="s">
        <v>2005</v>
      </c>
    </row>
    <row r="12" customFormat="false" ht="21.75" hidden="false" customHeight="true" outlineLevel="0" collapsed="false">
      <c r="A12" s="21" t="s">
        <v>1047</v>
      </c>
      <c r="B12" s="130" t="n">
        <f aca="false">COUNTIFS(tbl_Budget[Statut],A12)</f>
        <v>0</v>
      </c>
      <c r="D12" s="21" t="s">
        <v>1056</v>
      </c>
      <c r="E12" s="130" t="n">
        <f aca="false">COUNTIFS(tbl_Budget[Type de budget],D12)</f>
        <v>0</v>
      </c>
      <c r="G12" s="21" t="s">
        <v>2008</v>
      </c>
      <c r="H12" s="130" t="n">
        <f aca="false">COUNTIFS(tbl_Budget[Statut alerte],G12)</f>
        <v>0</v>
      </c>
    </row>
    <row r="13" customFormat="false" ht="21.75" hidden="false" customHeight="true" outlineLevel="0" collapsed="false">
      <c r="A13" s="21" t="s">
        <v>104</v>
      </c>
      <c r="B13" s="130" t="n">
        <f aca="false">COUNTIFS(tbl_Budget[Statut],A13)</f>
        <v>1</v>
      </c>
      <c r="D13" s="21" t="s">
        <v>1058</v>
      </c>
      <c r="E13" s="130" t="n">
        <f aca="false">COUNTIFS(tbl_Budget[Type de budget],D13)</f>
        <v>0</v>
      </c>
      <c r="G13" s="21" t="s">
        <v>2009</v>
      </c>
      <c r="H13" s="130" t="n">
        <f aca="false">COUNTIFS(tbl_Budget[Statut alerte],G13)</f>
        <v>0</v>
      </c>
    </row>
    <row r="14" customFormat="false" ht="21.75" hidden="false" customHeight="true" outlineLevel="0" collapsed="false">
      <c r="A14" s="21" t="s">
        <v>108</v>
      </c>
      <c r="B14" s="130" t="n">
        <f aca="false">COUNTIFS(tbl_Budget[Statut],A14)</f>
        <v>0</v>
      </c>
      <c r="D14" s="21" t="s">
        <v>1060</v>
      </c>
      <c r="E14" s="130" t="n">
        <f aca="false">COUNTIFS(tbl_Budget[Type de budget],D14)</f>
        <v>0</v>
      </c>
      <c r="G14" s="21" t="s">
        <v>2010</v>
      </c>
      <c r="H14" s="130" t="n">
        <f aca="false">COUNTIFS(tbl_Budget[Statut alerte],G14)</f>
        <v>0</v>
      </c>
    </row>
    <row r="15" customFormat="false" ht="21.75" hidden="false" customHeight="true" outlineLevel="0" collapsed="false">
      <c r="A15" s="21" t="s">
        <v>114</v>
      </c>
      <c r="B15" s="130" t="n">
        <f aca="false">COUNTIFS(tbl_Budget[Statut],A15)</f>
        <v>0</v>
      </c>
      <c r="D15" s="21" t="s">
        <v>1062</v>
      </c>
      <c r="E15" s="130" t="n">
        <f aca="false">COUNTIFS(tbl_Budget[Type de budget],D15)</f>
        <v>1</v>
      </c>
    </row>
    <row r="16" customFormat="false" ht="21.75" hidden="false" customHeight="true" outlineLevel="0" collapsed="false">
      <c r="A16" s="21" t="s">
        <v>1052</v>
      </c>
      <c r="B16" s="130" t="n">
        <f aca="false">COUNTIFS(tbl_Budget[Statut],A16)</f>
        <v>0</v>
      </c>
      <c r="D16" s="21" t="s">
        <v>1064</v>
      </c>
      <c r="E16" s="130" t="n">
        <f aca="false">COUNTIFS(tbl_Budget[Type de budget],D16)</f>
        <v>0</v>
      </c>
    </row>
    <row r="17" customFormat="false" ht="32.25" hidden="false" customHeight="true" outlineLevel="0" collapsed="false">
      <c r="A17" s="21" t="s">
        <v>122</v>
      </c>
      <c r="B17" s="130" t="n">
        <f aca="false">COUNTIFS(tbl_Budget[Statut],A17)</f>
        <v>0</v>
      </c>
      <c r="D17" s="21" t="s">
        <v>1066</v>
      </c>
      <c r="E17" s="130" t="n">
        <f aca="false">COUNTIFS(tbl_Budget[Type de budget],D17)</f>
        <v>0</v>
      </c>
    </row>
    <row r="18" customFormat="false" ht="15" hidden="false" customHeight="true" outlineLevel="0" collapsed="false">
      <c r="D18" s="21" t="s">
        <v>1068</v>
      </c>
      <c r="E18" s="130" t="n">
        <f aca="false">COUNTIFS(tbl_Budget[Type de budget],D18)</f>
        <v>0</v>
      </c>
    </row>
    <row r="19" customFormat="false" ht="15" hidden="false" customHeight="true" outlineLevel="0" collapsed="false">
      <c r="D19" s="21" t="s">
        <v>1070</v>
      </c>
      <c r="E19" s="130" t="n">
        <f aca="false">COUNTIFS(tbl_Budget[Type de budget],D19)</f>
        <v>0</v>
      </c>
    </row>
    <row r="20" customFormat="false" ht="15" hidden="false" customHeight="true" outlineLevel="0" collapsed="false">
      <c r="D20" s="21" t="s">
        <v>314</v>
      </c>
      <c r="E20" s="130" t="n">
        <f aca="false">COUNTIFS(tbl_Budget[Type de budget],D20)</f>
        <v>0</v>
      </c>
    </row>
    <row r="22" customFormat="false" ht="19.5" hidden="false" customHeight="true" outlineLevel="0" collapsed="false">
      <c r="A22" s="18" t="s">
        <v>2011</v>
      </c>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row>
    <row r="23" customFormat="false" ht="30" hidden="false" customHeight="true" outlineLevel="0" collapsed="false">
      <c r="A23" s="126" t="s">
        <v>2012</v>
      </c>
      <c r="B23" s="126" t="s">
        <v>2013</v>
      </c>
      <c r="C23" s="126" t="s">
        <v>2014</v>
      </c>
      <c r="D23" s="126" t="s">
        <v>2015</v>
      </c>
      <c r="E23" s="126" t="s">
        <v>2016</v>
      </c>
      <c r="F23" s="126" t="s">
        <v>2017</v>
      </c>
      <c r="G23" s="126" t="s">
        <v>2018</v>
      </c>
      <c r="H23" s="126" t="s">
        <v>2019</v>
      </c>
      <c r="I23" s="126" t="s">
        <v>2020</v>
      </c>
    </row>
    <row r="24" customFormat="false" ht="15" hidden="false" customHeight="true" outlineLevel="0" collapsed="false">
      <c r="A24" s="128" t="n">
        <f aca="false">SUM(tbl_Budget[Contribution ONG (FCFA)])</f>
        <v>0</v>
      </c>
      <c r="B24" s="128" t="n">
        <f aca="false">SUM(tbl_Budget[Contribution bailleur (FCFA)])</f>
        <v>0</v>
      </c>
      <c r="C24" s="128" t="n">
        <f aca="false">SUM(tbl_Budget[Contribution partenaires (FCFA)])</f>
        <v>0</v>
      </c>
      <c r="D24" s="128" t="n">
        <f aca="false">SUM(tbl_Budget[Autres contributions (FCFA)])</f>
        <v>0</v>
      </c>
      <c r="E24" s="128" t="n">
        <f aca="false">SUM($A$24:$D$24)</f>
        <v>0</v>
      </c>
      <c r="F24" s="129" t="n">
        <f aca="false">IF($E$24=0,0,$A$24/$E$24)</f>
        <v>0</v>
      </c>
      <c r="G24" s="129" t="n">
        <f aca="false">IF($E$24=0,0,$B$24/$E$24)</f>
        <v>0</v>
      </c>
      <c r="H24" s="129" t="n">
        <f aca="false">IF($E$24=0,0,$C$24/$E$24)</f>
        <v>0</v>
      </c>
      <c r="I24" s="129" t="n">
        <f aca="false">IF($E$24=0,0,$D$24/$E$24)</f>
        <v>0</v>
      </c>
    </row>
    <row r="26" customFormat="false" ht="19.5" hidden="false" customHeight="true" outlineLevel="0" collapsed="false">
      <c r="A26" s="18" t="s">
        <v>2021</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row>
    <row r="27" customFormat="false" ht="31.5" hidden="false" customHeight="true" outlineLevel="0" collapsed="false">
      <c r="A27" s="19" t="s">
        <v>2022</v>
      </c>
      <c r="B27" s="19" t="s">
        <v>2023</v>
      </c>
      <c r="C27" s="19" t="s">
        <v>2024</v>
      </c>
      <c r="D27" s="19" t="s">
        <v>1857</v>
      </c>
      <c r="E27" s="19" t="s">
        <v>1858</v>
      </c>
      <c r="F27" s="19" t="s">
        <v>54</v>
      </c>
      <c r="G27" s="19" t="s">
        <v>2006</v>
      </c>
      <c r="H27" s="19" t="s">
        <v>1570</v>
      </c>
      <c r="I27" s="19" t="s">
        <v>1508</v>
      </c>
      <c r="J27" s="19" t="s">
        <v>1327</v>
      </c>
      <c r="K27" s="19" t="s">
        <v>1335</v>
      </c>
      <c r="L27" s="19" t="s">
        <v>1696</v>
      </c>
      <c r="M27" s="19" t="s">
        <v>2025</v>
      </c>
      <c r="N27" s="19" t="s">
        <v>1909</v>
      </c>
      <c r="O27" s="19" t="s">
        <v>2026</v>
      </c>
      <c r="P27" s="19" t="s">
        <v>2027</v>
      </c>
      <c r="Q27" s="19" t="s">
        <v>1656</v>
      </c>
      <c r="R27" s="19" t="s">
        <v>1354</v>
      </c>
      <c r="S27" s="19" t="s">
        <v>2028</v>
      </c>
      <c r="T27" s="19" t="s">
        <v>2029</v>
      </c>
      <c r="U27" s="19" t="s">
        <v>96</v>
      </c>
      <c r="V27" s="19" t="s">
        <v>143</v>
      </c>
      <c r="W27" s="19" t="s">
        <v>775</v>
      </c>
      <c r="X27" s="19" t="s">
        <v>1552</v>
      </c>
      <c r="Y27" s="19" t="s">
        <v>2030</v>
      </c>
      <c r="Z27" s="19" t="s">
        <v>2031</v>
      </c>
      <c r="AA27" s="19" t="s">
        <v>2032</v>
      </c>
      <c r="AB27" s="19" t="s">
        <v>2033</v>
      </c>
      <c r="AC27" s="19" t="s">
        <v>2034</v>
      </c>
      <c r="AD27" s="19" t="s">
        <v>2035</v>
      </c>
      <c r="AE27" s="19" t="s">
        <v>2036</v>
      </c>
      <c r="AF27" s="19" t="s">
        <v>2037</v>
      </c>
      <c r="AG27" s="19" t="s">
        <v>2038</v>
      </c>
      <c r="AH27" s="19" t="s">
        <v>2039</v>
      </c>
      <c r="AI27" s="19" t="s">
        <v>1998</v>
      </c>
      <c r="AJ27" s="19" t="s">
        <v>1597</v>
      </c>
      <c r="AK27" s="19" t="s">
        <v>2040</v>
      </c>
      <c r="AL27" s="19" t="s">
        <v>2041</v>
      </c>
      <c r="AM27" s="19" t="s">
        <v>2042</v>
      </c>
      <c r="AN27" s="19" t="s">
        <v>2000</v>
      </c>
      <c r="AO27" s="19" t="s">
        <v>1745</v>
      </c>
      <c r="AP27" s="19" t="s">
        <v>2043</v>
      </c>
      <c r="AQ27" s="19" t="s">
        <v>2044</v>
      </c>
      <c r="AR27" s="19" t="s">
        <v>2012</v>
      </c>
      <c r="AS27" s="19" t="s">
        <v>2013</v>
      </c>
      <c r="AT27" s="19" t="s">
        <v>2014</v>
      </c>
      <c r="AU27" s="19" t="s">
        <v>2015</v>
      </c>
      <c r="AV27" s="19" t="s">
        <v>2016</v>
      </c>
      <c r="AW27" s="19" t="s">
        <v>2045</v>
      </c>
      <c r="AX27" s="19" t="s">
        <v>2046</v>
      </c>
      <c r="AY27" s="19" t="s">
        <v>1533</v>
      </c>
      <c r="AZ27" s="19" t="s">
        <v>2047</v>
      </c>
      <c r="BA27" s="19" t="s">
        <v>2048</v>
      </c>
    </row>
    <row r="28" customFormat="false" ht="15" hidden="false" customHeight="true" outlineLevel="0" collapsed="false">
      <c r="A28" s="130" t="str">
        <f aca="false">IF($U28="","","BUD"&amp;TEXT(ROW()-27,"0000"))</f>
        <v>BUD0001</v>
      </c>
      <c r="B28" s="131" t="n">
        <v>2025</v>
      </c>
      <c r="C28" s="131"/>
      <c r="D28" s="132"/>
      <c r="E28" s="132"/>
      <c r="F28" s="131" t="s">
        <v>104</v>
      </c>
      <c r="G28" s="131" t="s">
        <v>1062</v>
      </c>
      <c r="H28" s="131" t="s">
        <v>1539</v>
      </c>
      <c r="I28" s="130" t="str">
        <f aca="false">IFERROR(INDEX(PROJETS!$C$56:$C$95,MATCH($H28,PROJETS!$A$56:$A$95,0)),"")</f>
        <v>Projet d'appui a l'insertion professionnelle des jeunes</v>
      </c>
      <c r="J28" s="130" t="str">
        <f aca="false">IFERROR(INDEX(PROJETS!$J$56:$J$95,MATCH($H28,PROJETS!$A$56:$A$95,0)),"")</f>
        <v>Education</v>
      </c>
      <c r="K28" s="130" t="str">
        <f aca="false">IFERROR(INDEX(PROJETS!$N$56:$N$95,MATCH($H28,PROJETS!$A$56:$A$95,0)),"")</f>
        <v>Jean MABIALA</v>
      </c>
      <c r="L28" s="131" t="s">
        <v>2049</v>
      </c>
      <c r="M28" s="130" t="str">
        <f aca="false">IFERROR(INDEX(ACTIVITES!$G$56:$G$105,MATCH($L28,ACTIVITES!$A$56:$A$105,0)),"")</f>
        <v>VBG</v>
      </c>
      <c r="N28" s="131" t="s">
        <v>2050</v>
      </c>
      <c r="O28" s="130" t="str">
        <f aca="false">IFERROR(INDEX(DONATEURS!$B$56:$B$205,MATCH($N28,DONATEURS!$A$56:$A$205,0)),"")</f>
        <v>AUSP</v>
      </c>
      <c r="P28" s="131"/>
      <c r="Q28" s="131" t="s">
        <v>536</v>
      </c>
      <c r="R28" s="131" t="s">
        <v>547</v>
      </c>
      <c r="S28" s="131" t="s">
        <v>605</v>
      </c>
      <c r="T28" s="131"/>
      <c r="U28" s="131" t="s">
        <v>2051</v>
      </c>
      <c r="V28" s="131"/>
      <c r="W28" s="131"/>
      <c r="X28" s="133"/>
      <c r="Y28" s="133"/>
      <c r="Z28" s="130" t="n">
        <f aca="false">IF(OR($X28="",$Y28=""),0,$X28*$Y28)</f>
        <v>0</v>
      </c>
      <c r="AA28" s="133"/>
      <c r="AB28" s="133"/>
      <c r="AC28" s="130" t="str">
        <f aca="false">IF(OR($AA28="",$AB28=""),"",$AA28-$AB28)</f>
        <v/>
      </c>
      <c r="AD28" s="133"/>
      <c r="AE28" s="132"/>
      <c r="AF28" s="131"/>
      <c r="AG28" s="131"/>
      <c r="AH28" s="131"/>
      <c r="AI28" s="133"/>
      <c r="AJ28" s="133"/>
      <c r="AK28" s="130" t="n">
        <f aca="false">IF(AND($AD28&lt;&gt;"",$AD28&gt;0),$AD28,IF($AB28="",0,$AB28))</f>
        <v>0</v>
      </c>
      <c r="AL28" s="130" t="n">
        <f aca="false">$AK28-IF($AJ28="",0,$AJ28)</f>
        <v>0</v>
      </c>
      <c r="AM28" s="130" t="n">
        <f aca="false">$AK28-IF($AI28="",0,$AI28)</f>
        <v>0</v>
      </c>
      <c r="AN28" s="130" t="n">
        <f aca="false">IF($AK28=0,0,IF($AJ28="",0,$AJ28)/$AK28)</f>
        <v>0</v>
      </c>
      <c r="AO28" s="130" t="n">
        <f aca="false">$AK28-IF($AJ28="",0,$AJ28)</f>
        <v>0</v>
      </c>
      <c r="AP28" s="130" t="n">
        <f aca="false">IF($AK28=0,0,$AO28/$AK28)</f>
        <v>0</v>
      </c>
      <c r="AQ28" s="130" t="str">
        <f aca="false">IF($AK28=0,"",IF($AN28&gt;Seuil_Depassement,"Depassement",IF($AN28&gt;=Seuil_Vigilance,"Vigilance","Normal")))</f>
        <v/>
      </c>
      <c r="AR28" s="133"/>
      <c r="AS28" s="133"/>
      <c r="AT28" s="133"/>
      <c r="AU28" s="133"/>
      <c r="AV28" s="130" t="n">
        <f aca="false">SUM($AR28:$AU28)</f>
        <v>0</v>
      </c>
      <c r="AW28" s="130" t="n">
        <f aca="false">IF($AV28=0,0,$AR28/$AV28)</f>
        <v>0</v>
      </c>
      <c r="AX28" s="130" t="n">
        <f aca="false">IF($AV28=0,0,$AS28/$AV28)</f>
        <v>0</v>
      </c>
      <c r="AY28" s="131"/>
      <c r="AZ28" s="130" t="n">
        <f aca="false">IF($H28="","",COUNTIFS($H$28:$H28,$H28))</f>
        <v>1</v>
      </c>
      <c r="BA28" s="130" t="n">
        <f aca="false">IF($H28="","",COUNTIFS($H$28:$H28,$H28,$B$28:$B28,$B28))</f>
        <v>1</v>
      </c>
    </row>
    <row r="29" customFormat="false" ht="15" hidden="false" customHeight="true" outlineLevel="0" collapsed="false">
      <c r="A29" s="130" t="str">
        <f aca="false">IF($U29="","","BUD"&amp;TEXT(ROW()-27,"0000"))</f>
        <v/>
      </c>
      <c r="B29" s="131"/>
      <c r="C29" s="131"/>
      <c r="D29" s="132"/>
      <c r="E29" s="132"/>
      <c r="F29" s="131"/>
      <c r="G29" s="131"/>
      <c r="H29" s="131"/>
      <c r="I29" s="130" t="n">
        <f aca="false">IFERROR(INDEX(PROJETS!$C$56:$C$95,MATCH($H29,PROJETS!$A$56:$A$95,0)),"")</f>
        <v>0</v>
      </c>
      <c r="J29" s="130" t="n">
        <f aca="false">IFERROR(INDEX(PROJETS!$J$56:$J$95,MATCH($H29,PROJETS!$A$56:$A$95,0)),"")</f>
        <v>0</v>
      </c>
      <c r="K29" s="130" t="n">
        <f aca="false">IFERROR(INDEX(PROJETS!$N$56:$N$95,MATCH($H29,PROJETS!$A$56:$A$95,0)),"")</f>
        <v>0</v>
      </c>
      <c r="L29" s="131"/>
      <c r="M29" s="130" t="n">
        <f aca="false">IFERROR(INDEX(ACTIVITES!$G$56:$G$105,MATCH($L29,ACTIVITES!$A$56:$A$105,0)),"")</f>
        <v>0</v>
      </c>
      <c r="N29" s="131"/>
      <c r="O29" s="130" t="n">
        <f aca="false">IFERROR(INDEX(DONATEURS!$B$56:$B$205,MATCH($N29,DONATEURS!$A$56:$A$205,0)),"")</f>
        <v>0</v>
      </c>
      <c r="P29" s="131"/>
      <c r="Q29" s="131"/>
      <c r="R29" s="131"/>
      <c r="S29" s="131"/>
      <c r="T29" s="131"/>
      <c r="U29" s="131"/>
      <c r="V29" s="131"/>
      <c r="W29" s="131"/>
      <c r="X29" s="133"/>
      <c r="Y29" s="133"/>
      <c r="Z29" s="130" t="n">
        <f aca="false">IF(OR($X29="",$Y29=""),0,$X29*$Y29)</f>
        <v>0</v>
      </c>
      <c r="AA29" s="133"/>
      <c r="AB29" s="133"/>
      <c r="AC29" s="130" t="str">
        <f aca="false">IF(OR($AA29="",$AB29=""),"",$AA29-$AB29)</f>
        <v/>
      </c>
      <c r="AD29" s="133"/>
      <c r="AE29" s="132"/>
      <c r="AF29" s="131"/>
      <c r="AG29" s="131"/>
      <c r="AH29" s="131"/>
      <c r="AI29" s="133"/>
      <c r="AJ29" s="133"/>
      <c r="AK29" s="130" t="n">
        <f aca="false">IF(AND($AD29&lt;&gt;"",$AD29&gt;0),$AD29,IF($AB29="",0,$AB29))</f>
        <v>0</v>
      </c>
      <c r="AL29" s="130" t="n">
        <f aca="false">$AK29-IF($AJ29="",0,$AJ29)</f>
        <v>0</v>
      </c>
      <c r="AM29" s="130" t="n">
        <f aca="false">$AK29-IF($AI29="",0,$AI29)</f>
        <v>0</v>
      </c>
      <c r="AN29" s="130" t="n">
        <f aca="false">IF($AK29=0,0,IF($AJ29="",0,$AJ29)/$AK29)</f>
        <v>0</v>
      </c>
      <c r="AO29" s="130" t="n">
        <f aca="false">$AK29-IF($AJ29="",0,$AJ29)</f>
        <v>0</v>
      </c>
      <c r="AP29" s="130" t="n">
        <f aca="false">IF($AK29=0,0,$AO29/$AK29)</f>
        <v>0</v>
      </c>
      <c r="AQ29" s="130" t="str">
        <f aca="false">IF($AK29=0,"",IF($AN29&gt;Seuil_Depassement,"Depassement",IF($AN29&gt;=Seuil_Vigilance,"Vigilance","Normal")))</f>
        <v/>
      </c>
      <c r="AR29" s="133"/>
      <c r="AS29" s="133"/>
      <c r="AT29" s="133"/>
      <c r="AU29" s="133"/>
      <c r="AV29" s="130" t="n">
        <f aca="false">SUM($AR29:$AU29)</f>
        <v>0</v>
      </c>
      <c r="AW29" s="130" t="n">
        <f aca="false">IF($AV29=0,0,$AR29/$AV29)</f>
        <v>0</v>
      </c>
      <c r="AX29" s="130" t="n">
        <f aca="false">IF($AV29=0,0,$AS29/$AV29)</f>
        <v>0</v>
      </c>
      <c r="AY29" s="131"/>
      <c r="AZ29" s="130" t="str">
        <f aca="false">IF($H29="","",COUNTIFS($H$28:$H29,$H29))</f>
        <v/>
      </c>
      <c r="BA29" s="130" t="str">
        <f aca="false">IF($H29="","",COUNTIFS($H$28:$H29,$H29,$B$28:$B29,$B29))</f>
        <v/>
      </c>
    </row>
    <row r="30" customFormat="false" ht="15" hidden="false" customHeight="true" outlineLevel="0" collapsed="false">
      <c r="A30" s="130" t="str">
        <f aca="false">IF($U30="","","BUD"&amp;TEXT(ROW()-27,"0000"))</f>
        <v/>
      </c>
      <c r="B30" s="131"/>
      <c r="C30" s="131"/>
      <c r="D30" s="132"/>
      <c r="E30" s="132"/>
      <c r="F30" s="131"/>
      <c r="G30" s="131"/>
      <c r="H30" s="131"/>
      <c r="I30" s="130" t="n">
        <f aca="false">IFERROR(INDEX(PROJETS!$C$56:$C$95,MATCH($H30,PROJETS!$A$56:$A$95,0)),"")</f>
        <v>0</v>
      </c>
      <c r="J30" s="130" t="n">
        <f aca="false">IFERROR(INDEX(PROJETS!$J$56:$J$95,MATCH($H30,PROJETS!$A$56:$A$95,0)),"")</f>
        <v>0</v>
      </c>
      <c r="K30" s="130" t="n">
        <f aca="false">IFERROR(INDEX(PROJETS!$N$56:$N$95,MATCH($H30,PROJETS!$A$56:$A$95,0)),"")</f>
        <v>0</v>
      </c>
      <c r="L30" s="131"/>
      <c r="M30" s="130" t="n">
        <f aca="false">IFERROR(INDEX(ACTIVITES!$G$56:$G$105,MATCH($L30,ACTIVITES!$A$56:$A$105,0)),"")</f>
        <v>0</v>
      </c>
      <c r="N30" s="131"/>
      <c r="O30" s="130" t="n">
        <f aca="false">IFERROR(INDEX(DONATEURS!$B$56:$B$205,MATCH($N30,DONATEURS!$A$56:$A$205,0)),"")</f>
        <v>0</v>
      </c>
      <c r="P30" s="131"/>
      <c r="Q30" s="131"/>
      <c r="R30" s="131"/>
      <c r="S30" s="131"/>
      <c r="T30" s="131"/>
      <c r="U30" s="131"/>
      <c r="V30" s="131"/>
      <c r="W30" s="131"/>
      <c r="X30" s="133"/>
      <c r="Y30" s="133"/>
      <c r="Z30" s="130" t="n">
        <f aca="false">IF(OR($X30="",$Y30=""),0,$X30*$Y30)</f>
        <v>0</v>
      </c>
      <c r="AA30" s="133"/>
      <c r="AB30" s="133"/>
      <c r="AC30" s="130" t="str">
        <f aca="false">IF(OR($AA30="",$AB30=""),"",$AA30-$AB30)</f>
        <v/>
      </c>
      <c r="AD30" s="133"/>
      <c r="AE30" s="132"/>
      <c r="AF30" s="131"/>
      <c r="AG30" s="131"/>
      <c r="AH30" s="131"/>
      <c r="AI30" s="133"/>
      <c r="AJ30" s="133"/>
      <c r="AK30" s="130" t="n">
        <f aca="false">IF(AND($AD30&lt;&gt;"",$AD30&gt;0),$AD30,IF($AB30="",0,$AB30))</f>
        <v>0</v>
      </c>
      <c r="AL30" s="130" t="n">
        <f aca="false">$AK30-IF($AJ30="",0,$AJ30)</f>
        <v>0</v>
      </c>
      <c r="AM30" s="130" t="n">
        <f aca="false">$AK30-IF($AI30="",0,$AI30)</f>
        <v>0</v>
      </c>
      <c r="AN30" s="130" t="n">
        <f aca="false">IF($AK30=0,0,IF($AJ30="",0,$AJ30)/$AK30)</f>
        <v>0</v>
      </c>
      <c r="AO30" s="130" t="n">
        <f aca="false">$AK30-IF($AJ30="",0,$AJ30)</f>
        <v>0</v>
      </c>
      <c r="AP30" s="130" t="n">
        <f aca="false">IF($AK30=0,0,$AO30/$AK30)</f>
        <v>0</v>
      </c>
      <c r="AQ30" s="130" t="str">
        <f aca="false">IF($AK30=0,"",IF($AN30&gt;Seuil_Depassement,"Depassement",IF($AN30&gt;=Seuil_Vigilance,"Vigilance","Normal")))</f>
        <v/>
      </c>
      <c r="AR30" s="133"/>
      <c r="AS30" s="133"/>
      <c r="AT30" s="133"/>
      <c r="AU30" s="133"/>
      <c r="AV30" s="130" t="n">
        <f aca="false">SUM($AR30:$AU30)</f>
        <v>0</v>
      </c>
      <c r="AW30" s="130" t="n">
        <f aca="false">IF($AV30=0,0,$AR30/$AV30)</f>
        <v>0</v>
      </c>
      <c r="AX30" s="130" t="n">
        <f aca="false">IF($AV30=0,0,$AS30/$AV30)</f>
        <v>0</v>
      </c>
      <c r="AY30" s="131"/>
      <c r="AZ30" s="130" t="str">
        <f aca="false">IF($H30="","",COUNTIFS($H$28:$H30,$H30))</f>
        <v/>
      </c>
      <c r="BA30" s="130" t="str">
        <f aca="false">IF($H30="","",COUNTIFS($H$28:$H30,$H30,$B$28:$B30,$B30))</f>
        <v/>
      </c>
    </row>
    <row r="31" customFormat="false" ht="15" hidden="false" customHeight="true" outlineLevel="0" collapsed="false">
      <c r="A31" s="130" t="str">
        <f aca="false">IF($U31="","","BUD"&amp;TEXT(ROW()-27,"0000"))</f>
        <v/>
      </c>
      <c r="B31" s="131"/>
      <c r="C31" s="131"/>
      <c r="D31" s="132"/>
      <c r="E31" s="132"/>
      <c r="F31" s="131"/>
      <c r="G31" s="131"/>
      <c r="H31" s="131"/>
      <c r="I31" s="130" t="n">
        <f aca="false">IFERROR(INDEX(PROJETS!$C$56:$C$95,MATCH($H31,PROJETS!$A$56:$A$95,0)),"")</f>
        <v>0</v>
      </c>
      <c r="J31" s="130" t="n">
        <f aca="false">IFERROR(INDEX(PROJETS!$J$56:$J$95,MATCH($H31,PROJETS!$A$56:$A$95,0)),"")</f>
        <v>0</v>
      </c>
      <c r="K31" s="130" t="n">
        <f aca="false">IFERROR(INDEX(PROJETS!$N$56:$N$95,MATCH($H31,PROJETS!$A$56:$A$95,0)),"")</f>
        <v>0</v>
      </c>
      <c r="L31" s="131"/>
      <c r="M31" s="130" t="n">
        <f aca="false">IFERROR(INDEX(ACTIVITES!$G$56:$G$105,MATCH($L31,ACTIVITES!$A$56:$A$105,0)),"")</f>
        <v>0</v>
      </c>
      <c r="N31" s="131"/>
      <c r="O31" s="130" t="n">
        <f aca="false">IFERROR(INDEX(DONATEURS!$B$56:$B$205,MATCH($N31,DONATEURS!$A$56:$A$205,0)),"")</f>
        <v>0</v>
      </c>
      <c r="P31" s="131"/>
      <c r="Q31" s="131"/>
      <c r="R31" s="131"/>
      <c r="S31" s="131"/>
      <c r="T31" s="131"/>
      <c r="U31" s="131"/>
      <c r="V31" s="131"/>
      <c r="W31" s="131"/>
      <c r="X31" s="133"/>
      <c r="Y31" s="133"/>
      <c r="Z31" s="130" t="n">
        <f aca="false">IF(OR($X31="",$Y31=""),0,$X31*$Y31)</f>
        <v>0</v>
      </c>
      <c r="AA31" s="133"/>
      <c r="AB31" s="133"/>
      <c r="AC31" s="130" t="str">
        <f aca="false">IF(OR($AA31="",$AB31=""),"",$AA31-$AB31)</f>
        <v/>
      </c>
      <c r="AD31" s="133"/>
      <c r="AE31" s="132"/>
      <c r="AF31" s="131"/>
      <c r="AG31" s="131"/>
      <c r="AH31" s="131"/>
      <c r="AI31" s="133"/>
      <c r="AJ31" s="133"/>
      <c r="AK31" s="130" t="n">
        <f aca="false">IF(AND($AD31&lt;&gt;"",$AD31&gt;0),$AD31,IF($AB31="",0,$AB31))</f>
        <v>0</v>
      </c>
      <c r="AL31" s="130" t="n">
        <f aca="false">$AK31-IF($AJ31="",0,$AJ31)</f>
        <v>0</v>
      </c>
      <c r="AM31" s="130" t="n">
        <f aca="false">$AK31-IF($AI31="",0,$AI31)</f>
        <v>0</v>
      </c>
      <c r="AN31" s="130" t="n">
        <f aca="false">IF($AK31=0,0,IF($AJ31="",0,$AJ31)/$AK31)</f>
        <v>0</v>
      </c>
      <c r="AO31" s="130" t="n">
        <f aca="false">$AK31-IF($AJ31="",0,$AJ31)</f>
        <v>0</v>
      </c>
      <c r="AP31" s="130" t="n">
        <f aca="false">IF($AK31=0,0,$AO31/$AK31)</f>
        <v>0</v>
      </c>
      <c r="AQ31" s="130" t="str">
        <f aca="false">IF($AK31=0,"",IF($AN31&gt;Seuil_Depassement,"Depassement",IF($AN31&gt;=Seuil_Vigilance,"Vigilance","Normal")))</f>
        <v/>
      </c>
      <c r="AR31" s="133"/>
      <c r="AS31" s="133"/>
      <c r="AT31" s="133"/>
      <c r="AU31" s="133"/>
      <c r="AV31" s="130" t="n">
        <f aca="false">SUM($AR31:$AU31)</f>
        <v>0</v>
      </c>
      <c r="AW31" s="130" t="n">
        <f aca="false">IF($AV31=0,0,$AR31/$AV31)</f>
        <v>0</v>
      </c>
      <c r="AX31" s="130" t="n">
        <f aca="false">IF($AV31=0,0,$AS31/$AV31)</f>
        <v>0</v>
      </c>
      <c r="AY31" s="131"/>
      <c r="AZ31" s="130" t="str">
        <f aca="false">IF($H31="","",COUNTIFS($H$28:$H31,$H31))</f>
        <v/>
      </c>
      <c r="BA31" s="130" t="str">
        <f aca="false">IF($H31="","",COUNTIFS($H$28:$H31,$H31,$B$28:$B31,$B31))</f>
        <v/>
      </c>
    </row>
    <row r="32" customFormat="false" ht="15" hidden="false" customHeight="true" outlineLevel="0" collapsed="false">
      <c r="A32" s="130" t="str">
        <f aca="false">IF($U32="","","BUD"&amp;TEXT(ROW()-27,"0000"))</f>
        <v/>
      </c>
      <c r="B32" s="131"/>
      <c r="C32" s="131"/>
      <c r="D32" s="132"/>
      <c r="E32" s="132"/>
      <c r="F32" s="131"/>
      <c r="G32" s="131"/>
      <c r="H32" s="131"/>
      <c r="I32" s="130" t="n">
        <f aca="false">IFERROR(INDEX(PROJETS!$C$56:$C$95,MATCH($H32,PROJETS!$A$56:$A$95,0)),"")</f>
        <v>0</v>
      </c>
      <c r="J32" s="130" t="n">
        <f aca="false">IFERROR(INDEX(PROJETS!$J$56:$J$95,MATCH($H32,PROJETS!$A$56:$A$95,0)),"")</f>
        <v>0</v>
      </c>
      <c r="K32" s="130" t="n">
        <f aca="false">IFERROR(INDEX(PROJETS!$N$56:$N$95,MATCH($H32,PROJETS!$A$56:$A$95,0)),"")</f>
        <v>0</v>
      </c>
      <c r="L32" s="131"/>
      <c r="M32" s="130" t="n">
        <f aca="false">IFERROR(INDEX(ACTIVITES!$G$56:$G$105,MATCH($L32,ACTIVITES!$A$56:$A$105,0)),"")</f>
        <v>0</v>
      </c>
      <c r="N32" s="131"/>
      <c r="O32" s="130" t="n">
        <f aca="false">IFERROR(INDEX(DONATEURS!$B$56:$B$205,MATCH($N32,DONATEURS!$A$56:$A$205,0)),"")</f>
        <v>0</v>
      </c>
      <c r="P32" s="131"/>
      <c r="Q32" s="131"/>
      <c r="R32" s="131"/>
      <c r="S32" s="131"/>
      <c r="T32" s="131"/>
      <c r="U32" s="131"/>
      <c r="V32" s="131"/>
      <c r="W32" s="131"/>
      <c r="X32" s="133"/>
      <c r="Y32" s="133"/>
      <c r="Z32" s="130" t="n">
        <f aca="false">IF(OR($X32="",$Y32=""),0,$X32*$Y32)</f>
        <v>0</v>
      </c>
      <c r="AA32" s="133"/>
      <c r="AB32" s="133"/>
      <c r="AC32" s="130" t="str">
        <f aca="false">IF(OR($AA32="",$AB32=""),"",$AA32-$AB32)</f>
        <v/>
      </c>
      <c r="AD32" s="133"/>
      <c r="AE32" s="132"/>
      <c r="AF32" s="131"/>
      <c r="AG32" s="131"/>
      <c r="AH32" s="131"/>
      <c r="AI32" s="133"/>
      <c r="AJ32" s="133"/>
      <c r="AK32" s="130" t="n">
        <f aca="false">IF(AND($AD32&lt;&gt;"",$AD32&gt;0),$AD32,IF($AB32="",0,$AB32))</f>
        <v>0</v>
      </c>
      <c r="AL32" s="130" t="n">
        <f aca="false">$AK32-IF($AJ32="",0,$AJ32)</f>
        <v>0</v>
      </c>
      <c r="AM32" s="130" t="n">
        <f aca="false">$AK32-IF($AI32="",0,$AI32)</f>
        <v>0</v>
      </c>
      <c r="AN32" s="130" t="n">
        <f aca="false">IF($AK32=0,0,IF($AJ32="",0,$AJ32)/$AK32)</f>
        <v>0</v>
      </c>
      <c r="AO32" s="130" t="n">
        <f aca="false">$AK32-IF($AJ32="",0,$AJ32)</f>
        <v>0</v>
      </c>
      <c r="AP32" s="130" t="n">
        <f aca="false">IF($AK32=0,0,$AO32/$AK32)</f>
        <v>0</v>
      </c>
      <c r="AQ32" s="130" t="str">
        <f aca="false">IF($AK32=0,"",IF($AN32&gt;Seuil_Depassement,"Depassement",IF($AN32&gt;=Seuil_Vigilance,"Vigilance","Normal")))</f>
        <v/>
      </c>
      <c r="AR32" s="133"/>
      <c r="AS32" s="133"/>
      <c r="AT32" s="133"/>
      <c r="AU32" s="133"/>
      <c r="AV32" s="130" t="n">
        <f aca="false">SUM($AR32:$AU32)</f>
        <v>0</v>
      </c>
      <c r="AW32" s="130" t="n">
        <f aca="false">IF($AV32=0,0,$AR32/$AV32)</f>
        <v>0</v>
      </c>
      <c r="AX32" s="130" t="n">
        <f aca="false">IF($AV32=0,0,$AS32/$AV32)</f>
        <v>0</v>
      </c>
      <c r="AY32" s="131"/>
      <c r="AZ32" s="130" t="str">
        <f aca="false">IF($H32="","",COUNTIFS($H$28:$H32,$H32))</f>
        <v/>
      </c>
      <c r="BA32" s="130" t="str">
        <f aca="false">IF($H32="","",COUNTIFS($H$28:$H32,$H32,$B$28:$B32,$B32))</f>
        <v/>
      </c>
    </row>
    <row r="33" customFormat="false" ht="15" hidden="false" customHeight="true" outlineLevel="0" collapsed="false">
      <c r="A33" s="130" t="str">
        <f aca="false">IF($U33="","","BUD"&amp;TEXT(ROW()-27,"0000"))</f>
        <v/>
      </c>
      <c r="B33" s="131"/>
      <c r="C33" s="131"/>
      <c r="D33" s="132"/>
      <c r="E33" s="132"/>
      <c r="F33" s="131"/>
      <c r="G33" s="131"/>
      <c r="H33" s="131"/>
      <c r="I33" s="130" t="n">
        <f aca="false">IFERROR(INDEX(PROJETS!$C$56:$C$95,MATCH($H33,PROJETS!$A$56:$A$95,0)),"")</f>
        <v>0</v>
      </c>
      <c r="J33" s="130" t="n">
        <f aca="false">IFERROR(INDEX(PROJETS!$J$56:$J$95,MATCH($H33,PROJETS!$A$56:$A$95,0)),"")</f>
        <v>0</v>
      </c>
      <c r="K33" s="130" t="n">
        <f aca="false">IFERROR(INDEX(PROJETS!$N$56:$N$95,MATCH($H33,PROJETS!$A$56:$A$95,0)),"")</f>
        <v>0</v>
      </c>
      <c r="L33" s="131"/>
      <c r="M33" s="130" t="n">
        <f aca="false">IFERROR(INDEX(ACTIVITES!$G$56:$G$105,MATCH($L33,ACTIVITES!$A$56:$A$105,0)),"")</f>
        <v>0</v>
      </c>
      <c r="N33" s="131"/>
      <c r="O33" s="130" t="n">
        <f aca="false">IFERROR(INDEX(DONATEURS!$B$56:$B$205,MATCH($N33,DONATEURS!$A$56:$A$205,0)),"")</f>
        <v>0</v>
      </c>
      <c r="P33" s="131"/>
      <c r="Q33" s="131"/>
      <c r="R33" s="131"/>
      <c r="S33" s="131"/>
      <c r="T33" s="131"/>
      <c r="U33" s="131"/>
      <c r="V33" s="131"/>
      <c r="W33" s="131"/>
      <c r="X33" s="133"/>
      <c r="Y33" s="133"/>
      <c r="Z33" s="130" t="n">
        <f aca="false">IF(OR($X33="",$Y33=""),0,$X33*$Y33)</f>
        <v>0</v>
      </c>
      <c r="AA33" s="133"/>
      <c r="AB33" s="133"/>
      <c r="AC33" s="130" t="str">
        <f aca="false">IF(OR($AA33="",$AB33=""),"",$AA33-$AB33)</f>
        <v/>
      </c>
      <c r="AD33" s="133"/>
      <c r="AE33" s="132"/>
      <c r="AF33" s="131"/>
      <c r="AG33" s="131"/>
      <c r="AH33" s="131"/>
      <c r="AI33" s="133"/>
      <c r="AJ33" s="133"/>
      <c r="AK33" s="130" t="n">
        <f aca="false">IF(AND($AD33&lt;&gt;"",$AD33&gt;0),$AD33,IF($AB33="",0,$AB33))</f>
        <v>0</v>
      </c>
      <c r="AL33" s="130" t="n">
        <f aca="false">$AK33-IF($AJ33="",0,$AJ33)</f>
        <v>0</v>
      </c>
      <c r="AM33" s="130" t="n">
        <f aca="false">$AK33-IF($AI33="",0,$AI33)</f>
        <v>0</v>
      </c>
      <c r="AN33" s="130" t="n">
        <f aca="false">IF($AK33=0,0,IF($AJ33="",0,$AJ33)/$AK33)</f>
        <v>0</v>
      </c>
      <c r="AO33" s="130" t="n">
        <f aca="false">$AK33-IF($AJ33="",0,$AJ33)</f>
        <v>0</v>
      </c>
      <c r="AP33" s="130" t="n">
        <f aca="false">IF($AK33=0,0,$AO33/$AK33)</f>
        <v>0</v>
      </c>
      <c r="AQ33" s="130" t="str">
        <f aca="false">IF($AK33=0,"",IF($AN33&gt;Seuil_Depassement,"Depassement",IF($AN33&gt;=Seuil_Vigilance,"Vigilance","Normal")))</f>
        <v/>
      </c>
      <c r="AR33" s="133"/>
      <c r="AS33" s="133"/>
      <c r="AT33" s="133"/>
      <c r="AU33" s="133"/>
      <c r="AV33" s="130" t="n">
        <f aca="false">SUM($AR33:$AU33)</f>
        <v>0</v>
      </c>
      <c r="AW33" s="130" t="n">
        <f aca="false">IF($AV33=0,0,$AR33/$AV33)</f>
        <v>0</v>
      </c>
      <c r="AX33" s="130" t="n">
        <f aca="false">IF($AV33=0,0,$AS33/$AV33)</f>
        <v>0</v>
      </c>
      <c r="AY33" s="131"/>
      <c r="AZ33" s="130" t="str">
        <f aca="false">IF($H33="","",COUNTIFS($H$28:$H33,$H33))</f>
        <v/>
      </c>
      <c r="BA33" s="130" t="str">
        <f aca="false">IF($H33="","",COUNTIFS($H$28:$H33,$H33,$B$28:$B33,$B33))</f>
        <v/>
      </c>
    </row>
    <row r="34" customFormat="false" ht="15" hidden="false" customHeight="true" outlineLevel="0" collapsed="false">
      <c r="A34" s="130" t="str">
        <f aca="false">IF($U34="","","BUD"&amp;TEXT(ROW()-27,"0000"))</f>
        <v/>
      </c>
      <c r="B34" s="131"/>
      <c r="C34" s="131"/>
      <c r="D34" s="132"/>
      <c r="E34" s="132"/>
      <c r="F34" s="131"/>
      <c r="G34" s="131"/>
      <c r="H34" s="131"/>
      <c r="I34" s="130" t="n">
        <f aca="false">IFERROR(INDEX(PROJETS!$C$56:$C$95,MATCH($H34,PROJETS!$A$56:$A$95,0)),"")</f>
        <v>0</v>
      </c>
      <c r="J34" s="130" t="n">
        <f aca="false">IFERROR(INDEX(PROJETS!$J$56:$J$95,MATCH($H34,PROJETS!$A$56:$A$95,0)),"")</f>
        <v>0</v>
      </c>
      <c r="K34" s="130" t="n">
        <f aca="false">IFERROR(INDEX(PROJETS!$N$56:$N$95,MATCH($H34,PROJETS!$A$56:$A$95,0)),"")</f>
        <v>0</v>
      </c>
      <c r="L34" s="131"/>
      <c r="M34" s="130" t="n">
        <f aca="false">IFERROR(INDEX(ACTIVITES!$G$56:$G$105,MATCH($L34,ACTIVITES!$A$56:$A$105,0)),"")</f>
        <v>0</v>
      </c>
      <c r="N34" s="131"/>
      <c r="O34" s="130" t="n">
        <f aca="false">IFERROR(INDEX(DONATEURS!$B$56:$B$205,MATCH($N34,DONATEURS!$A$56:$A$205,0)),"")</f>
        <v>0</v>
      </c>
      <c r="P34" s="131"/>
      <c r="Q34" s="131"/>
      <c r="R34" s="131"/>
      <c r="S34" s="131"/>
      <c r="T34" s="131"/>
      <c r="U34" s="131"/>
      <c r="V34" s="131"/>
      <c r="W34" s="131"/>
      <c r="X34" s="133"/>
      <c r="Y34" s="133"/>
      <c r="Z34" s="130" t="n">
        <f aca="false">IF(OR($X34="",$Y34=""),0,$X34*$Y34)</f>
        <v>0</v>
      </c>
      <c r="AA34" s="133"/>
      <c r="AB34" s="133"/>
      <c r="AC34" s="130" t="str">
        <f aca="false">IF(OR($AA34="",$AB34=""),"",$AA34-$AB34)</f>
        <v/>
      </c>
      <c r="AD34" s="133"/>
      <c r="AE34" s="132"/>
      <c r="AF34" s="131"/>
      <c r="AG34" s="131"/>
      <c r="AH34" s="131"/>
      <c r="AI34" s="133"/>
      <c r="AJ34" s="133"/>
      <c r="AK34" s="130" t="n">
        <f aca="false">IF(AND($AD34&lt;&gt;"",$AD34&gt;0),$AD34,IF($AB34="",0,$AB34))</f>
        <v>0</v>
      </c>
      <c r="AL34" s="130" t="n">
        <f aca="false">$AK34-IF($AJ34="",0,$AJ34)</f>
        <v>0</v>
      </c>
      <c r="AM34" s="130" t="n">
        <f aca="false">$AK34-IF($AI34="",0,$AI34)</f>
        <v>0</v>
      </c>
      <c r="AN34" s="130" t="n">
        <f aca="false">IF($AK34=0,0,IF($AJ34="",0,$AJ34)/$AK34)</f>
        <v>0</v>
      </c>
      <c r="AO34" s="130" t="n">
        <f aca="false">$AK34-IF($AJ34="",0,$AJ34)</f>
        <v>0</v>
      </c>
      <c r="AP34" s="130" t="n">
        <f aca="false">IF($AK34=0,0,$AO34/$AK34)</f>
        <v>0</v>
      </c>
      <c r="AQ34" s="130" t="str">
        <f aca="false">IF($AK34=0,"",IF($AN34&gt;Seuil_Depassement,"Depassement",IF($AN34&gt;=Seuil_Vigilance,"Vigilance","Normal")))</f>
        <v/>
      </c>
      <c r="AR34" s="133"/>
      <c r="AS34" s="133"/>
      <c r="AT34" s="133"/>
      <c r="AU34" s="133"/>
      <c r="AV34" s="130" t="n">
        <f aca="false">SUM($AR34:$AU34)</f>
        <v>0</v>
      </c>
      <c r="AW34" s="130" t="n">
        <f aca="false">IF($AV34=0,0,$AR34/$AV34)</f>
        <v>0</v>
      </c>
      <c r="AX34" s="130" t="n">
        <f aca="false">IF($AV34=0,0,$AS34/$AV34)</f>
        <v>0</v>
      </c>
      <c r="AY34" s="131"/>
      <c r="AZ34" s="130" t="str">
        <f aca="false">IF($H34="","",COUNTIFS($H$28:$H34,$H34))</f>
        <v/>
      </c>
      <c r="BA34" s="130" t="str">
        <f aca="false">IF($H34="","",COUNTIFS($H$28:$H34,$H34,$B$28:$B34,$B34))</f>
        <v/>
      </c>
    </row>
    <row r="35" customFormat="false" ht="15" hidden="false" customHeight="true" outlineLevel="0" collapsed="false">
      <c r="A35" s="130" t="str">
        <f aca="false">IF($U35="","","BUD"&amp;TEXT(ROW()-27,"0000"))</f>
        <v/>
      </c>
      <c r="B35" s="131"/>
      <c r="C35" s="131"/>
      <c r="D35" s="132"/>
      <c r="E35" s="132"/>
      <c r="F35" s="131"/>
      <c r="G35" s="131"/>
      <c r="H35" s="131"/>
      <c r="I35" s="130" t="n">
        <f aca="false">IFERROR(INDEX(PROJETS!$C$56:$C$95,MATCH($H35,PROJETS!$A$56:$A$95,0)),"")</f>
        <v>0</v>
      </c>
      <c r="J35" s="130" t="n">
        <f aca="false">IFERROR(INDEX(PROJETS!$J$56:$J$95,MATCH($H35,PROJETS!$A$56:$A$95,0)),"")</f>
        <v>0</v>
      </c>
      <c r="K35" s="130" t="n">
        <f aca="false">IFERROR(INDEX(PROJETS!$N$56:$N$95,MATCH($H35,PROJETS!$A$56:$A$95,0)),"")</f>
        <v>0</v>
      </c>
      <c r="L35" s="131"/>
      <c r="M35" s="130" t="n">
        <f aca="false">IFERROR(INDEX(ACTIVITES!$G$56:$G$105,MATCH($L35,ACTIVITES!$A$56:$A$105,0)),"")</f>
        <v>0</v>
      </c>
      <c r="N35" s="131"/>
      <c r="O35" s="130" t="n">
        <f aca="false">IFERROR(INDEX(DONATEURS!$B$56:$B$205,MATCH($N35,DONATEURS!$A$56:$A$205,0)),"")</f>
        <v>0</v>
      </c>
      <c r="P35" s="131"/>
      <c r="Q35" s="131"/>
      <c r="R35" s="131"/>
      <c r="S35" s="131"/>
      <c r="T35" s="131"/>
      <c r="U35" s="131"/>
      <c r="V35" s="131"/>
      <c r="W35" s="131"/>
      <c r="X35" s="133"/>
      <c r="Y35" s="133"/>
      <c r="Z35" s="130" t="n">
        <f aca="false">IF(OR($X35="",$Y35=""),0,$X35*$Y35)</f>
        <v>0</v>
      </c>
      <c r="AA35" s="133"/>
      <c r="AB35" s="133"/>
      <c r="AC35" s="130" t="str">
        <f aca="false">IF(OR($AA35="",$AB35=""),"",$AA35-$AB35)</f>
        <v/>
      </c>
      <c r="AD35" s="133"/>
      <c r="AE35" s="132"/>
      <c r="AF35" s="131"/>
      <c r="AG35" s="131"/>
      <c r="AH35" s="131"/>
      <c r="AI35" s="133"/>
      <c r="AJ35" s="133"/>
      <c r="AK35" s="130" t="n">
        <f aca="false">IF(AND($AD35&lt;&gt;"",$AD35&gt;0),$AD35,IF($AB35="",0,$AB35))</f>
        <v>0</v>
      </c>
      <c r="AL35" s="130" t="n">
        <f aca="false">$AK35-IF($AJ35="",0,$AJ35)</f>
        <v>0</v>
      </c>
      <c r="AM35" s="130" t="n">
        <f aca="false">$AK35-IF($AI35="",0,$AI35)</f>
        <v>0</v>
      </c>
      <c r="AN35" s="130" t="n">
        <f aca="false">IF($AK35=0,0,IF($AJ35="",0,$AJ35)/$AK35)</f>
        <v>0</v>
      </c>
      <c r="AO35" s="130" t="n">
        <f aca="false">$AK35-IF($AJ35="",0,$AJ35)</f>
        <v>0</v>
      </c>
      <c r="AP35" s="130" t="n">
        <f aca="false">IF($AK35=0,0,$AO35/$AK35)</f>
        <v>0</v>
      </c>
      <c r="AQ35" s="130" t="str">
        <f aca="false">IF($AK35=0,"",IF($AN35&gt;Seuil_Depassement,"Depassement",IF($AN35&gt;=Seuil_Vigilance,"Vigilance","Normal")))</f>
        <v/>
      </c>
      <c r="AR35" s="133"/>
      <c r="AS35" s="133"/>
      <c r="AT35" s="133"/>
      <c r="AU35" s="133"/>
      <c r="AV35" s="130" t="n">
        <f aca="false">SUM($AR35:$AU35)</f>
        <v>0</v>
      </c>
      <c r="AW35" s="130" t="n">
        <f aca="false">IF($AV35=0,0,$AR35/$AV35)</f>
        <v>0</v>
      </c>
      <c r="AX35" s="130" t="n">
        <f aca="false">IF($AV35=0,0,$AS35/$AV35)</f>
        <v>0</v>
      </c>
      <c r="AY35" s="131"/>
      <c r="AZ35" s="130" t="str">
        <f aca="false">IF($H35="","",COUNTIFS($H$28:$H35,$H35))</f>
        <v/>
      </c>
      <c r="BA35" s="130" t="str">
        <f aca="false">IF($H35="","",COUNTIFS($H$28:$H35,$H35,$B$28:$B35,$B35))</f>
        <v/>
      </c>
    </row>
    <row r="36" customFormat="false" ht="15" hidden="false" customHeight="true" outlineLevel="0" collapsed="false">
      <c r="A36" s="130" t="str">
        <f aca="false">IF($U36="","","BUD"&amp;TEXT(ROW()-27,"0000"))</f>
        <v/>
      </c>
      <c r="B36" s="131"/>
      <c r="C36" s="131"/>
      <c r="D36" s="132"/>
      <c r="E36" s="132"/>
      <c r="F36" s="131"/>
      <c r="G36" s="131"/>
      <c r="H36" s="131"/>
      <c r="I36" s="130" t="n">
        <f aca="false">IFERROR(INDEX(PROJETS!$C$56:$C$95,MATCH($H36,PROJETS!$A$56:$A$95,0)),"")</f>
        <v>0</v>
      </c>
      <c r="J36" s="130" t="n">
        <f aca="false">IFERROR(INDEX(PROJETS!$J$56:$J$95,MATCH($H36,PROJETS!$A$56:$A$95,0)),"")</f>
        <v>0</v>
      </c>
      <c r="K36" s="130" t="n">
        <f aca="false">IFERROR(INDEX(PROJETS!$N$56:$N$95,MATCH($H36,PROJETS!$A$56:$A$95,0)),"")</f>
        <v>0</v>
      </c>
      <c r="L36" s="131"/>
      <c r="M36" s="130" t="n">
        <f aca="false">IFERROR(INDEX(ACTIVITES!$G$56:$G$105,MATCH($L36,ACTIVITES!$A$56:$A$105,0)),"")</f>
        <v>0</v>
      </c>
      <c r="N36" s="131"/>
      <c r="O36" s="130" t="n">
        <f aca="false">IFERROR(INDEX(DONATEURS!$B$56:$B$205,MATCH($N36,DONATEURS!$A$56:$A$205,0)),"")</f>
        <v>0</v>
      </c>
      <c r="P36" s="131"/>
      <c r="Q36" s="131"/>
      <c r="R36" s="131"/>
      <c r="S36" s="131"/>
      <c r="T36" s="131"/>
      <c r="U36" s="131"/>
      <c r="V36" s="131"/>
      <c r="W36" s="131"/>
      <c r="X36" s="133"/>
      <c r="Y36" s="133"/>
      <c r="Z36" s="130" t="n">
        <f aca="false">IF(OR($X36="",$Y36=""),0,$X36*$Y36)</f>
        <v>0</v>
      </c>
      <c r="AA36" s="133"/>
      <c r="AB36" s="133"/>
      <c r="AC36" s="130" t="str">
        <f aca="false">IF(OR($AA36="",$AB36=""),"",$AA36-$AB36)</f>
        <v/>
      </c>
      <c r="AD36" s="133"/>
      <c r="AE36" s="132"/>
      <c r="AF36" s="131"/>
      <c r="AG36" s="131"/>
      <c r="AH36" s="131"/>
      <c r="AI36" s="133"/>
      <c r="AJ36" s="133"/>
      <c r="AK36" s="130" t="n">
        <f aca="false">IF(AND($AD36&lt;&gt;"",$AD36&gt;0),$AD36,IF($AB36="",0,$AB36))</f>
        <v>0</v>
      </c>
      <c r="AL36" s="130" t="n">
        <f aca="false">$AK36-IF($AJ36="",0,$AJ36)</f>
        <v>0</v>
      </c>
      <c r="AM36" s="130" t="n">
        <f aca="false">$AK36-IF($AI36="",0,$AI36)</f>
        <v>0</v>
      </c>
      <c r="AN36" s="130" t="n">
        <f aca="false">IF($AK36=0,0,IF($AJ36="",0,$AJ36)/$AK36)</f>
        <v>0</v>
      </c>
      <c r="AO36" s="130" t="n">
        <f aca="false">$AK36-IF($AJ36="",0,$AJ36)</f>
        <v>0</v>
      </c>
      <c r="AP36" s="130" t="n">
        <f aca="false">IF($AK36=0,0,$AO36/$AK36)</f>
        <v>0</v>
      </c>
      <c r="AQ36" s="130" t="str">
        <f aca="false">IF($AK36=0,"",IF($AN36&gt;Seuil_Depassement,"Depassement",IF($AN36&gt;=Seuil_Vigilance,"Vigilance","Normal")))</f>
        <v/>
      </c>
      <c r="AR36" s="133"/>
      <c r="AS36" s="133"/>
      <c r="AT36" s="133"/>
      <c r="AU36" s="133"/>
      <c r="AV36" s="130" t="n">
        <f aca="false">SUM($AR36:$AU36)</f>
        <v>0</v>
      </c>
      <c r="AW36" s="130" t="n">
        <f aca="false">IF($AV36=0,0,$AR36/$AV36)</f>
        <v>0</v>
      </c>
      <c r="AX36" s="130" t="n">
        <f aca="false">IF($AV36=0,0,$AS36/$AV36)</f>
        <v>0</v>
      </c>
      <c r="AY36" s="131"/>
      <c r="AZ36" s="130" t="str">
        <f aca="false">IF($H36="","",COUNTIFS($H$28:$H36,$H36))</f>
        <v/>
      </c>
      <c r="BA36" s="130" t="str">
        <f aca="false">IF($H36="","",COUNTIFS($H$28:$H36,$H36,$B$28:$B36,$B36))</f>
        <v/>
      </c>
    </row>
    <row r="37" customFormat="false" ht="15" hidden="false" customHeight="true" outlineLevel="0" collapsed="false">
      <c r="A37" s="130" t="str">
        <f aca="false">IF($U37="","","BUD"&amp;TEXT(ROW()-27,"0000"))</f>
        <v/>
      </c>
      <c r="B37" s="131"/>
      <c r="C37" s="131"/>
      <c r="D37" s="132"/>
      <c r="E37" s="132"/>
      <c r="F37" s="131"/>
      <c r="G37" s="131"/>
      <c r="H37" s="131"/>
      <c r="I37" s="130" t="n">
        <f aca="false">IFERROR(INDEX(PROJETS!$C$56:$C$95,MATCH($H37,PROJETS!$A$56:$A$95,0)),"")</f>
        <v>0</v>
      </c>
      <c r="J37" s="130" t="n">
        <f aca="false">IFERROR(INDEX(PROJETS!$J$56:$J$95,MATCH($H37,PROJETS!$A$56:$A$95,0)),"")</f>
        <v>0</v>
      </c>
      <c r="K37" s="130" t="n">
        <f aca="false">IFERROR(INDEX(PROJETS!$N$56:$N$95,MATCH($H37,PROJETS!$A$56:$A$95,0)),"")</f>
        <v>0</v>
      </c>
      <c r="L37" s="131"/>
      <c r="M37" s="130" t="n">
        <f aca="false">IFERROR(INDEX(ACTIVITES!$G$56:$G$105,MATCH($L37,ACTIVITES!$A$56:$A$105,0)),"")</f>
        <v>0</v>
      </c>
      <c r="N37" s="131"/>
      <c r="O37" s="130" t="n">
        <f aca="false">IFERROR(INDEX(DONATEURS!$B$56:$B$205,MATCH($N37,DONATEURS!$A$56:$A$205,0)),"")</f>
        <v>0</v>
      </c>
      <c r="P37" s="131"/>
      <c r="Q37" s="131"/>
      <c r="R37" s="131"/>
      <c r="S37" s="131"/>
      <c r="T37" s="131"/>
      <c r="U37" s="131"/>
      <c r="V37" s="131"/>
      <c r="W37" s="131"/>
      <c r="X37" s="133"/>
      <c r="Y37" s="133"/>
      <c r="Z37" s="130" t="n">
        <f aca="false">IF(OR($X37="",$Y37=""),0,$X37*$Y37)</f>
        <v>0</v>
      </c>
      <c r="AA37" s="133"/>
      <c r="AB37" s="133"/>
      <c r="AC37" s="130" t="str">
        <f aca="false">IF(OR($AA37="",$AB37=""),"",$AA37-$AB37)</f>
        <v/>
      </c>
      <c r="AD37" s="133"/>
      <c r="AE37" s="132"/>
      <c r="AF37" s="131"/>
      <c r="AG37" s="131"/>
      <c r="AH37" s="131"/>
      <c r="AI37" s="133"/>
      <c r="AJ37" s="133"/>
      <c r="AK37" s="130" t="n">
        <f aca="false">IF(AND($AD37&lt;&gt;"",$AD37&gt;0),$AD37,IF($AB37="",0,$AB37))</f>
        <v>0</v>
      </c>
      <c r="AL37" s="130" t="n">
        <f aca="false">$AK37-IF($AJ37="",0,$AJ37)</f>
        <v>0</v>
      </c>
      <c r="AM37" s="130" t="n">
        <f aca="false">$AK37-IF($AI37="",0,$AI37)</f>
        <v>0</v>
      </c>
      <c r="AN37" s="130" t="n">
        <f aca="false">IF($AK37=0,0,IF($AJ37="",0,$AJ37)/$AK37)</f>
        <v>0</v>
      </c>
      <c r="AO37" s="130" t="n">
        <f aca="false">$AK37-IF($AJ37="",0,$AJ37)</f>
        <v>0</v>
      </c>
      <c r="AP37" s="130" t="n">
        <f aca="false">IF($AK37=0,0,$AO37/$AK37)</f>
        <v>0</v>
      </c>
      <c r="AQ37" s="130" t="str">
        <f aca="false">IF($AK37=0,"",IF($AN37&gt;Seuil_Depassement,"Depassement",IF($AN37&gt;=Seuil_Vigilance,"Vigilance","Normal")))</f>
        <v/>
      </c>
      <c r="AR37" s="133"/>
      <c r="AS37" s="133"/>
      <c r="AT37" s="133"/>
      <c r="AU37" s="133"/>
      <c r="AV37" s="130" t="n">
        <f aca="false">SUM($AR37:$AU37)</f>
        <v>0</v>
      </c>
      <c r="AW37" s="130" t="n">
        <f aca="false">IF($AV37=0,0,$AR37/$AV37)</f>
        <v>0</v>
      </c>
      <c r="AX37" s="130" t="n">
        <f aca="false">IF($AV37=0,0,$AS37/$AV37)</f>
        <v>0</v>
      </c>
      <c r="AY37" s="131"/>
      <c r="AZ37" s="130" t="str">
        <f aca="false">IF($H37="","",COUNTIFS($H$28:$H37,$H37))</f>
        <v/>
      </c>
      <c r="BA37" s="130" t="str">
        <f aca="false">IF($H37="","",COUNTIFS($H$28:$H37,$H37,$B$28:$B37,$B37))</f>
        <v/>
      </c>
    </row>
    <row r="38" customFormat="false" ht="15" hidden="false" customHeight="true" outlineLevel="0" collapsed="false">
      <c r="A38" s="130" t="str">
        <f aca="false">IF($U38="","","BUD"&amp;TEXT(ROW()-27,"0000"))</f>
        <v/>
      </c>
      <c r="B38" s="131"/>
      <c r="C38" s="131"/>
      <c r="D38" s="132"/>
      <c r="E38" s="132"/>
      <c r="F38" s="131"/>
      <c r="G38" s="131"/>
      <c r="H38" s="131"/>
      <c r="I38" s="130" t="n">
        <f aca="false">IFERROR(INDEX(PROJETS!$C$56:$C$95,MATCH($H38,PROJETS!$A$56:$A$95,0)),"")</f>
        <v>0</v>
      </c>
      <c r="J38" s="130" t="n">
        <f aca="false">IFERROR(INDEX(PROJETS!$J$56:$J$95,MATCH($H38,PROJETS!$A$56:$A$95,0)),"")</f>
        <v>0</v>
      </c>
      <c r="K38" s="130" t="n">
        <f aca="false">IFERROR(INDEX(PROJETS!$N$56:$N$95,MATCH($H38,PROJETS!$A$56:$A$95,0)),"")</f>
        <v>0</v>
      </c>
      <c r="L38" s="131"/>
      <c r="M38" s="130" t="n">
        <f aca="false">IFERROR(INDEX(ACTIVITES!$G$56:$G$105,MATCH($L38,ACTIVITES!$A$56:$A$105,0)),"")</f>
        <v>0</v>
      </c>
      <c r="N38" s="131"/>
      <c r="O38" s="130" t="n">
        <f aca="false">IFERROR(INDEX(DONATEURS!$B$56:$B$205,MATCH($N38,DONATEURS!$A$56:$A$205,0)),"")</f>
        <v>0</v>
      </c>
      <c r="P38" s="131"/>
      <c r="Q38" s="131"/>
      <c r="R38" s="131"/>
      <c r="S38" s="131"/>
      <c r="T38" s="131"/>
      <c r="U38" s="131"/>
      <c r="V38" s="131"/>
      <c r="W38" s="131"/>
      <c r="X38" s="133"/>
      <c r="Y38" s="133"/>
      <c r="Z38" s="130" t="n">
        <f aca="false">IF(OR($X38="",$Y38=""),0,$X38*$Y38)</f>
        <v>0</v>
      </c>
      <c r="AA38" s="133"/>
      <c r="AB38" s="133"/>
      <c r="AC38" s="130" t="str">
        <f aca="false">IF(OR($AA38="",$AB38=""),"",$AA38-$AB38)</f>
        <v/>
      </c>
      <c r="AD38" s="133"/>
      <c r="AE38" s="132"/>
      <c r="AF38" s="131"/>
      <c r="AG38" s="131"/>
      <c r="AH38" s="131"/>
      <c r="AI38" s="133"/>
      <c r="AJ38" s="133"/>
      <c r="AK38" s="130" t="n">
        <f aca="false">IF(AND($AD38&lt;&gt;"",$AD38&gt;0),$AD38,IF($AB38="",0,$AB38))</f>
        <v>0</v>
      </c>
      <c r="AL38" s="130" t="n">
        <f aca="false">$AK38-IF($AJ38="",0,$AJ38)</f>
        <v>0</v>
      </c>
      <c r="AM38" s="130" t="n">
        <f aca="false">$AK38-IF($AI38="",0,$AI38)</f>
        <v>0</v>
      </c>
      <c r="AN38" s="130" t="n">
        <f aca="false">IF($AK38=0,0,IF($AJ38="",0,$AJ38)/$AK38)</f>
        <v>0</v>
      </c>
      <c r="AO38" s="130" t="n">
        <f aca="false">$AK38-IF($AJ38="",0,$AJ38)</f>
        <v>0</v>
      </c>
      <c r="AP38" s="130" t="n">
        <f aca="false">IF($AK38=0,0,$AO38/$AK38)</f>
        <v>0</v>
      </c>
      <c r="AQ38" s="130" t="str">
        <f aca="false">IF($AK38=0,"",IF($AN38&gt;Seuil_Depassement,"Depassement",IF($AN38&gt;=Seuil_Vigilance,"Vigilance","Normal")))</f>
        <v/>
      </c>
      <c r="AR38" s="133"/>
      <c r="AS38" s="133"/>
      <c r="AT38" s="133"/>
      <c r="AU38" s="133"/>
      <c r="AV38" s="130" t="n">
        <f aca="false">SUM($AR38:$AU38)</f>
        <v>0</v>
      </c>
      <c r="AW38" s="130" t="n">
        <f aca="false">IF($AV38=0,0,$AR38/$AV38)</f>
        <v>0</v>
      </c>
      <c r="AX38" s="130" t="n">
        <f aca="false">IF($AV38=0,0,$AS38/$AV38)</f>
        <v>0</v>
      </c>
      <c r="AY38" s="131"/>
      <c r="AZ38" s="130" t="str">
        <f aca="false">IF($H38="","",COUNTIFS($H$28:$H38,$H38))</f>
        <v/>
      </c>
      <c r="BA38" s="130" t="str">
        <f aca="false">IF($H38="","",COUNTIFS($H$28:$H38,$H38,$B$28:$B38,$B38))</f>
        <v/>
      </c>
    </row>
    <row r="39" customFormat="false" ht="15" hidden="false" customHeight="true" outlineLevel="0" collapsed="false">
      <c r="A39" s="130" t="str">
        <f aca="false">IF($U39="","","BUD"&amp;TEXT(ROW()-27,"0000"))</f>
        <v/>
      </c>
      <c r="B39" s="131"/>
      <c r="C39" s="131"/>
      <c r="D39" s="132"/>
      <c r="E39" s="132"/>
      <c r="F39" s="131"/>
      <c r="G39" s="131"/>
      <c r="H39" s="131"/>
      <c r="I39" s="130" t="n">
        <f aca="false">IFERROR(INDEX(PROJETS!$C$56:$C$95,MATCH($H39,PROJETS!$A$56:$A$95,0)),"")</f>
        <v>0</v>
      </c>
      <c r="J39" s="130" t="n">
        <f aca="false">IFERROR(INDEX(PROJETS!$J$56:$J$95,MATCH($H39,PROJETS!$A$56:$A$95,0)),"")</f>
        <v>0</v>
      </c>
      <c r="K39" s="130" t="n">
        <f aca="false">IFERROR(INDEX(PROJETS!$N$56:$N$95,MATCH($H39,PROJETS!$A$56:$A$95,0)),"")</f>
        <v>0</v>
      </c>
      <c r="L39" s="131"/>
      <c r="M39" s="130" t="n">
        <f aca="false">IFERROR(INDEX(ACTIVITES!$G$56:$G$105,MATCH($L39,ACTIVITES!$A$56:$A$105,0)),"")</f>
        <v>0</v>
      </c>
      <c r="N39" s="131"/>
      <c r="O39" s="130" t="n">
        <f aca="false">IFERROR(INDEX(DONATEURS!$B$56:$B$205,MATCH($N39,DONATEURS!$A$56:$A$205,0)),"")</f>
        <v>0</v>
      </c>
      <c r="P39" s="131"/>
      <c r="Q39" s="131"/>
      <c r="R39" s="131"/>
      <c r="S39" s="131"/>
      <c r="T39" s="131"/>
      <c r="U39" s="131"/>
      <c r="V39" s="131"/>
      <c r="W39" s="131"/>
      <c r="X39" s="133"/>
      <c r="Y39" s="133"/>
      <c r="Z39" s="130" t="n">
        <f aca="false">IF(OR($X39="",$Y39=""),0,$X39*$Y39)</f>
        <v>0</v>
      </c>
      <c r="AA39" s="133"/>
      <c r="AB39" s="133"/>
      <c r="AC39" s="130" t="str">
        <f aca="false">IF(OR($AA39="",$AB39=""),"",$AA39-$AB39)</f>
        <v/>
      </c>
      <c r="AD39" s="133"/>
      <c r="AE39" s="132"/>
      <c r="AF39" s="131"/>
      <c r="AG39" s="131"/>
      <c r="AH39" s="131"/>
      <c r="AI39" s="133"/>
      <c r="AJ39" s="133"/>
      <c r="AK39" s="130" t="n">
        <f aca="false">IF(AND($AD39&lt;&gt;"",$AD39&gt;0),$AD39,IF($AB39="",0,$AB39))</f>
        <v>0</v>
      </c>
      <c r="AL39" s="130" t="n">
        <f aca="false">$AK39-IF($AJ39="",0,$AJ39)</f>
        <v>0</v>
      </c>
      <c r="AM39" s="130" t="n">
        <f aca="false">$AK39-IF($AI39="",0,$AI39)</f>
        <v>0</v>
      </c>
      <c r="AN39" s="130" t="n">
        <f aca="false">IF($AK39=0,0,IF($AJ39="",0,$AJ39)/$AK39)</f>
        <v>0</v>
      </c>
      <c r="AO39" s="130" t="n">
        <f aca="false">$AK39-IF($AJ39="",0,$AJ39)</f>
        <v>0</v>
      </c>
      <c r="AP39" s="130" t="n">
        <f aca="false">IF($AK39=0,0,$AO39/$AK39)</f>
        <v>0</v>
      </c>
      <c r="AQ39" s="130" t="str">
        <f aca="false">IF($AK39=0,"",IF($AN39&gt;Seuil_Depassement,"Depassement",IF($AN39&gt;=Seuil_Vigilance,"Vigilance","Normal")))</f>
        <v/>
      </c>
      <c r="AR39" s="133"/>
      <c r="AS39" s="133"/>
      <c r="AT39" s="133"/>
      <c r="AU39" s="133"/>
      <c r="AV39" s="130" t="n">
        <f aca="false">SUM($AR39:$AU39)</f>
        <v>0</v>
      </c>
      <c r="AW39" s="130" t="n">
        <f aca="false">IF($AV39=0,0,$AR39/$AV39)</f>
        <v>0</v>
      </c>
      <c r="AX39" s="130" t="n">
        <f aca="false">IF($AV39=0,0,$AS39/$AV39)</f>
        <v>0</v>
      </c>
      <c r="AY39" s="131"/>
      <c r="AZ39" s="130" t="str">
        <f aca="false">IF($H39="","",COUNTIFS($H$28:$H39,$H39))</f>
        <v/>
      </c>
      <c r="BA39" s="130" t="str">
        <f aca="false">IF($H39="","",COUNTIFS($H$28:$H39,$H39,$B$28:$B39,$B39))</f>
        <v/>
      </c>
    </row>
    <row r="40" customFormat="false" ht="15" hidden="false" customHeight="true" outlineLevel="0" collapsed="false">
      <c r="A40" s="130" t="str">
        <f aca="false">IF($U40="","","BUD"&amp;TEXT(ROW()-27,"0000"))</f>
        <v/>
      </c>
      <c r="B40" s="131"/>
      <c r="C40" s="131"/>
      <c r="D40" s="132"/>
      <c r="E40" s="132"/>
      <c r="F40" s="131"/>
      <c r="G40" s="131"/>
      <c r="H40" s="131"/>
      <c r="I40" s="130" t="n">
        <f aca="false">IFERROR(INDEX(PROJETS!$C$56:$C$95,MATCH($H40,PROJETS!$A$56:$A$95,0)),"")</f>
        <v>0</v>
      </c>
      <c r="J40" s="130" t="n">
        <f aca="false">IFERROR(INDEX(PROJETS!$J$56:$J$95,MATCH($H40,PROJETS!$A$56:$A$95,0)),"")</f>
        <v>0</v>
      </c>
      <c r="K40" s="130" t="n">
        <f aca="false">IFERROR(INDEX(PROJETS!$N$56:$N$95,MATCH($H40,PROJETS!$A$56:$A$95,0)),"")</f>
        <v>0</v>
      </c>
      <c r="L40" s="131"/>
      <c r="M40" s="130" t="n">
        <f aca="false">IFERROR(INDEX(ACTIVITES!$G$56:$G$105,MATCH($L40,ACTIVITES!$A$56:$A$105,0)),"")</f>
        <v>0</v>
      </c>
      <c r="N40" s="131"/>
      <c r="O40" s="130" t="n">
        <f aca="false">IFERROR(INDEX(DONATEURS!$B$56:$B$205,MATCH($N40,DONATEURS!$A$56:$A$205,0)),"")</f>
        <v>0</v>
      </c>
      <c r="P40" s="131"/>
      <c r="Q40" s="131"/>
      <c r="R40" s="131"/>
      <c r="S40" s="131"/>
      <c r="T40" s="131"/>
      <c r="U40" s="131"/>
      <c r="V40" s="131"/>
      <c r="W40" s="131"/>
      <c r="X40" s="133"/>
      <c r="Y40" s="133"/>
      <c r="Z40" s="130" t="n">
        <f aca="false">IF(OR($X40="",$Y40=""),0,$X40*$Y40)</f>
        <v>0</v>
      </c>
      <c r="AA40" s="133"/>
      <c r="AB40" s="133"/>
      <c r="AC40" s="130" t="str">
        <f aca="false">IF(OR($AA40="",$AB40=""),"",$AA40-$AB40)</f>
        <v/>
      </c>
      <c r="AD40" s="133"/>
      <c r="AE40" s="132"/>
      <c r="AF40" s="131"/>
      <c r="AG40" s="131"/>
      <c r="AH40" s="131"/>
      <c r="AI40" s="133"/>
      <c r="AJ40" s="133"/>
      <c r="AK40" s="130" t="n">
        <f aca="false">IF(AND($AD40&lt;&gt;"",$AD40&gt;0),$AD40,IF($AB40="",0,$AB40))</f>
        <v>0</v>
      </c>
      <c r="AL40" s="130" t="n">
        <f aca="false">$AK40-IF($AJ40="",0,$AJ40)</f>
        <v>0</v>
      </c>
      <c r="AM40" s="130" t="n">
        <f aca="false">$AK40-IF($AI40="",0,$AI40)</f>
        <v>0</v>
      </c>
      <c r="AN40" s="130" t="n">
        <f aca="false">IF($AK40=0,0,IF($AJ40="",0,$AJ40)/$AK40)</f>
        <v>0</v>
      </c>
      <c r="AO40" s="130" t="n">
        <f aca="false">$AK40-IF($AJ40="",0,$AJ40)</f>
        <v>0</v>
      </c>
      <c r="AP40" s="130" t="n">
        <f aca="false">IF($AK40=0,0,$AO40/$AK40)</f>
        <v>0</v>
      </c>
      <c r="AQ40" s="130" t="str">
        <f aca="false">IF($AK40=0,"",IF($AN40&gt;Seuil_Depassement,"Depassement",IF($AN40&gt;=Seuil_Vigilance,"Vigilance","Normal")))</f>
        <v/>
      </c>
      <c r="AR40" s="133"/>
      <c r="AS40" s="133"/>
      <c r="AT40" s="133"/>
      <c r="AU40" s="133"/>
      <c r="AV40" s="130" t="n">
        <f aca="false">SUM($AR40:$AU40)</f>
        <v>0</v>
      </c>
      <c r="AW40" s="130" t="n">
        <f aca="false">IF($AV40=0,0,$AR40/$AV40)</f>
        <v>0</v>
      </c>
      <c r="AX40" s="130" t="n">
        <f aca="false">IF($AV40=0,0,$AS40/$AV40)</f>
        <v>0</v>
      </c>
      <c r="AY40" s="131"/>
      <c r="AZ40" s="130" t="str">
        <f aca="false">IF($H40="","",COUNTIFS($H$28:$H40,$H40))</f>
        <v/>
      </c>
      <c r="BA40" s="130" t="str">
        <f aca="false">IF($H40="","",COUNTIFS($H$28:$H40,$H40,$B$28:$B40,$B40))</f>
        <v/>
      </c>
    </row>
    <row r="41" customFormat="false" ht="15" hidden="false" customHeight="true" outlineLevel="0" collapsed="false">
      <c r="A41" s="130" t="str">
        <f aca="false">IF($U41="","","BUD"&amp;TEXT(ROW()-27,"0000"))</f>
        <v/>
      </c>
      <c r="B41" s="131"/>
      <c r="C41" s="131"/>
      <c r="D41" s="132"/>
      <c r="E41" s="132"/>
      <c r="F41" s="131"/>
      <c r="G41" s="131"/>
      <c r="H41" s="131"/>
      <c r="I41" s="130" t="n">
        <f aca="false">IFERROR(INDEX(PROJETS!$C$56:$C$95,MATCH($H41,PROJETS!$A$56:$A$95,0)),"")</f>
        <v>0</v>
      </c>
      <c r="J41" s="130" t="n">
        <f aca="false">IFERROR(INDEX(PROJETS!$J$56:$J$95,MATCH($H41,PROJETS!$A$56:$A$95,0)),"")</f>
        <v>0</v>
      </c>
      <c r="K41" s="130" t="n">
        <f aca="false">IFERROR(INDEX(PROJETS!$N$56:$N$95,MATCH($H41,PROJETS!$A$56:$A$95,0)),"")</f>
        <v>0</v>
      </c>
      <c r="L41" s="131"/>
      <c r="M41" s="130" t="n">
        <f aca="false">IFERROR(INDEX(ACTIVITES!$G$56:$G$105,MATCH($L41,ACTIVITES!$A$56:$A$105,0)),"")</f>
        <v>0</v>
      </c>
      <c r="N41" s="131"/>
      <c r="O41" s="130" t="n">
        <f aca="false">IFERROR(INDEX(DONATEURS!$B$56:$B$205,MATCH($N41,DONATEURS!$A$56:$A$205,0)),"")</f>
        <v>0</v>
      </c>
      <c r="P41" s="131"/>
      <c r="Q41" s="131"/>
      <c r="R41" s="131"/>
      <c r="S41" s="131"/>
      <c r="T41" s="131"/>
      <c r="U41" s="131"/>
      <c r="V41" s="131"/>
      <c r="W41" s="131"/>
      <c r="X41" s="133"/>
      <c r="Y41" s="133"/>
      <c r="Z41" s="130" t="n">
        <f aca="false">IF(OR($X41="",$Y41=""),0,$X41*$Y41)</f>
        <v>0</v>
      </c>
      <c r="AA41" s="133"/>
      <c r="AB41" s="133"/>
      <c r="AC41" s="130" t="str">
        <f aca="false">IF(OR($AA41="",$AB41=""),"",$AA41-$AB41)</f>
        <v/>
      </c>
      <c r="AD41" s="133"/>
      <c r="AE41" s="132"/>
      <c r="AF41" s="131"/>
      <c r="AG41" s="131"/>
      <c r="AH41" s="131"/>
      <c r="AI41" s="133"/>
      <c r="AJ41" s="133"/>
      <c r="AK41" s="130" t="n">
        <f aca="false">IF(AND($AD41&lt;&gt;"",$AD41&gt;0),$AD41,IF($AB41="",0,$AB41))</f>
        <v>0</v>
      </c>
      <c r="AL41" s="130" t="n">
        <f aca="false">$AK41-IF($AJ41="",0,$AJ41)</f>
        <v>0</v>
      </c>
      <c r="AM41" s="130" t="n">
        <f aca="false">$AK41-IF($AI41="",0,$AI41)</f>
        <v>0</v>
      </c>
      <c r="AN41" s="130" t="n">
        <f aca="false">IF($AK41=0,0,IF($AJ41="",0,$AJ41)/$AK41)</f>
        <v>0</v>
      </c>
      <c r="AO41" s="130" t="n">
        <f aca="false">$AK41-IF($AJ41="",0,$AJ41)</f>
        <v>0</v>
      </c>
      <c r="AP41" s="130" t="n">
        <f aca="false">IF($AK41=0,0,$AO41/$AK41)</f>
        <v>0</v>
      </c>
      <c r="AQ41" s="130" t="str">
        <f aca="false">IF($AK41=0,"",IF($AN41&gt;Seuil_Depassement,"Depassement",IF($AN41&gt;=Seuil_Vigilance,"Vigilance","Normal")))</f>
        <v/>
      </c>
      <c r="AR41" s="133"/>
      <c r="AS41" s="133"/>
      <c r="AT41" s="133"/>
      <c r="AU41" s="133"/>
      <c r="AV41" s="130" t="n">
        <f aca="false">SUM($AR41:$AU41)</f>
        <v>0</v>
      </c>
      <c r="AW41" s="130" t="n">
        <f aca="false">IF($AV41=0,0,$AR41/$AV41)</f>
        <v>0</v>
      </c>
      <c r="AX41" s="130" t="n">
        <f aca="false">IF($AV41=0,0,$AS41/$AV41)</f>
        <v>0</v>
      </c>
      <c r="AY41" s="131"/>
      <c r="AZ41" s="130" t="str">
        <f aca="false">IF($H41="","",COUNTIFS($H$28:$H41,$H41))</f>
        <v/>
      </c>
      <c r="BA41" s="130" t="str">
        <f aca="false">IF($H41="","",COUNTIFS($H$28:$H41,$H41,$B$28:$B41,$B41))</f>
        <v/>
      </c>
    </row>
    <row r="42" customFormat="false" ht="15" hidden="false" customHeight="true" outlineLevel="0" collapsed="false">
      <c r="A42" s="130" t="str">
        <f aca="false">IF($U42="","","BUD"&amp;TEXT(ROW()-27,"0000"))</f>
        <v/>
      </c>
      <c r="B42" s="131"/>
      <c r="C42" s="131"/>
      <c r="D42" s="132"/>
      <c r="E42" s="132"/>
      <c r="F42" s="131"/>
      <c r="G42" s="131"/>
      <c r="H42" s="131"/>
      <c r="I42" s="130" t="n">
        <f aca="false">IFERROR(INDEX(PROJETS!$C$56:$C$95,MATCH($H42,PROJETS!$A$56:$A$95,0)),"")</f>
        <v>0</v>
      </c>
      <c r="J42" s="130" t="n">
        <f aca="false">IFERROR(INDEX(PROJETS!$J$56:$J$95,MATCH($H42,PROJETS!$A$56:$A$95,0)),"")</f>
        <v>0</v>
      </c>
      <c r="K42" s="130" t="n">
        <f aca="false">IFERROR(INDEX(PROJETS!$N$56:$N$95,MATCH($H42,PROJETS!$A$56:$A$95,0)),"")</f>
        <v>0</v>
      </c>
      <c r="L42" s="131"/>
      <c r="M42" s="130" t="n">
        <f aca="false">IFERROR(INDEX(ACTIVITES!$G$56:$G$105,MATCH($L42,ACTIVITES!$A$56:$A$105,0)),"")</f>
        <v>0</v>
      </c>
      <c r="N42" s="131"/>
      <c r="O42" s="130" t="n">
        <f aca="false">IFERROR(INDEX(DONATEURS!$B$56:$B$205,MATCH($N42,DONATEURS!$A$56:$A$205,0)),"")</f>
        <v>0</v>
      </c>
      <c r="P42" s="131"/>
      <c r="Q42" s="131"/>
      <c r="R42" s="131"/>
      <c r="S42" s="131"/>
      <c r="T42" s="131"/>
      <c r="U42" s="131"/>
      <c r="V42" s="131"/>
      <c r="W42" s="131"/>
      <c r="X42" s="133"/>
      <c r="Y42" s="133"/>
      <c r="Z42" s="130" t="n">
        <f aca="false">IF(OR($X42="",$Y42=""),0,$X42*$Y42)</f>
        <v>0</v>
      </c>
      <c r="AA42" s="133"/>
      <c r="AB42" s="133"/>
      <c r="AC42" s="130" t="str">
        <f aca="false">IF(OR($AA42="",$AB42=""),"",$AA42-$AB42)</f>
        <v/>
      </c>
      <c r="AD42" s="133"/>
      <c r="AE42" s="132"/>
      <c r="AF42" s="131"/>
      <c r="AG42" s="131"/>
      <c r="AH42" s="131"/>
      <c r="AI42" s="133"/>
      <c r="AJ42" s="133"/>
      <c r="AK42" s="130" t="n">
        <f aca="false">IF(AND($AD42&lt;&gt;"",$AD42&gt;0),$AD42,IF($AB42="",0,$AB42))</f>
        <v>0</v>
      </c>
      <c r="AL42" s="130" t="n">
        <f aca="false">$AK42-IF($AJ42="",0,$AJ42)</f>
        <v>0</v>
      </c>
      <c r="AM42" s="130" t="n">
        <f aca="false">$AK42-IF($AI42="",0,$AI42)</f>
        <v>0</v>
      </c>
      <c r="AN42" s="130" t="n">
        <f aca="false">IF($AK42=0,0,IF($AJ42="",0,$AJ42)/$AK42)</f>
        <v>0</v>
      </c>
      <c r="AO42" s="130" t="n">
        <f aca="false">$AK42-IF($AJ42="",0,$AJ42)</f>
        <v>0</v>
      </c>
      <c r="AP42" s="130" t="n">
        <f aca="false">IF($AK42=0,0,$AO42/$AK42)</f>
        <v>0</v>
      </c>
      <c r="AQ42" s="130" t="str">
        <f aca="false">IF($AK42=0,"",IF($AN42&gt;Seuil_Depassement,"Depassement",IF($AN42&gt;=Seuil_Vigilance,"Vigilance","Normal")))</f>
        <v/>
      </c>
      <c r="AR42" s="133"/>
      <c r="AS42" s="133"/>
      <c r="AT42" s="133"/>
      <c r="AU42" s="133"/>
      <c r="AV42" s="130" t="n">
        <f aca="false">SUM($AR42:$AU42)</f>
        <v>0</v>
      </c>
      <c r="AW42" s="130" t="n">
        <f aca="false">IF($AV42=0,0,$AR42/$AV42)</f>
        <v>0</v>
      </c>
      <c r="AX42" s="130" t="n">
        <f aca="false">IF($AV42=0,0,$AS42/$AV42)</f>
        <v>0</v>
      </c>
      <c r="AY42" s="131"/>
      <c r="AZ42" s="130" t="str">
        <f aca="false">IF($H42="","",COUNTIFS($H$28:$H42,$H42))</f>
        <v/>
      </c>
      <c r="BA42" s="130" t="str">
        <f aca="false">IF($H42="","",COUNTIFS($H$28:$H42,$H42,$B$28:$B42,$B42))</f>
        <v/>
      </c>
    </row>
    <row r="43" customFormat="false" ht="15" hidden="false" customHeight="true" outlineLevel="0" collapsed="false">
      <c r="A43" s="130" t="str">
        <f aca="false">IF($U43="","","BUD"&amp;TEXT(ROW()-27,"0000"))</f>
        <v/>
      </c>
      <c r="B43" s="131"/>
      <c r="C43" s="131"/>
      <c r="D43" s="132"/>
      <c r="E43" s="132"/>
      <c r="F43" s="131"/>
      <c r="G43" s="131"/>
      <c r="H43" s="131"/>
      <c r="I43" s="130" t="n">
        <f aca="false">IFERROR(INDEX(PROJETS!$C$56:$C$95,MATCH($H43,PROJETS!$A$56:$A$95,0)),"")</f>
        <v>0</v>
      </c>
      <c r="J43" s="130" t="n">
        <f aca="false">IFERROR(INDEX(PROJETS!$J$56:$J$95,MATCH($H43,PROJETS!$A$56:$A$95,0)),"")</f>
        <v>0</v>
      </c>
      <c r="K43" s="130" t="n">
        <f aca="false">IFERROR(INDEX(PROJETS!$N$56:$N$95,MATCH($H43,PROJETS!$A$56:$A$95,0)),"")</f>
        <v>0</v>
      </c>
      <c r="L43" s="131"/>
      <c r="M43" s="130" t="n">
        <f aca="false">IFERROR(INDEX(ACTIVITES!$G$56:$G$105,MATCH($L43,ACTIVITES!$A$56:$A$105,0)),"")</f>
        <v>0</v>
      </c>
      <c r="N43" s="131"/>
      <c r="O43" s="130" t="n">
        <f aca="false">IFERROR(INDEX(DONATEURS!$B$56:$B$205,MATCH($N43,DONATEURS!$A$56:$A$205,0)),"")</f>
        <v>0</v>
      </c>
      <c r="P43" s="131"/>
      <c r="Q43" s="131"/>
      <c r="R43" s="131"/>
      <c r="S43" s="131"/>
      <c r="T43" s="131"/>
      <c r="U43" s="131"/>
      <c r="V43" s="131"/>
      <c r="W43" s="131"/>
      <c r="X43" s="133"/>
      <c r="Y43" s="133"/>
      <c r="Z43" s="130" t="n">
        <f aca="false">IF(OR($X43="",$Y43=""),0,$X43*$Y43)</f>
        <v>0</v>
      </c>
      <c r="AA43" s="133"/>
      <c r="AB43" s="133"/>
      <c r="AC43" s="130" t="str">
        <f aca="false">IF(OR($AA43="",$AB43=""),"",$AA43-$AB43)</f>
        <v/>
      </c>
      <c r="AD43" s="133"/>
      <c r="AE43" s="132"/>
      <c r="AF43" s="131"/>
      <c r="AG43" s="131"/>
      <c r="AH43" s="131"/>
      <c r="AI43" s="133"/>
      <c r="AJ43" s="133"/>
      <c r="AK43" s="130" t="n">
        <f aca="false">IF(AND($AD43&lt;&gt;"",$AD43&gt;0),$AD43,IF($AB43="",0,$AB43))</f>
        <v>0</v>
      </c>
      <c r="AL43" s="130" t="n">
        <f aca="false">$AK43-IF($AJ43="",0,$AJ43)</f>
        <v>0</v>
      </c>
      <c r="AM43" s="130" t="n">
        <f aca="false">$AK43-IF($AI43="",0,$AI43)</f>
        <v>0</v>
      </c>
      <c r="AN43" s="130" t="n">
        <f aca="false">IF($AK43=0,0,IF($AJ43="",0,$AJ43)/$AK43)</f>
        <v>0</v>
      </c>
      <c r="AO43" s="130" t="n">
        <f aca="false">$AK43-IF($AJ43="",0,$AJ43)</f>
        <v>0</v>
      </c>
      <c r="AP43" s="130" t="n">
        <f aca="false">IF($AK43=0,0,$AO43/$AK43)</f>
        <v>0</v>
      </c>
      <c r="AQ43" s="130" t="str">
        <f aca="false">IF($AK43=0,"",IF($AN43&gt;Seuil_Depassement,"Depassement",IF($AN43&gt;=Seuil_Vigilance,"Vigilance","Normal")))</f>
        <v/>
      </c>
      <c r="AR43" s="133"/>
      <c r="AS43" s="133"/>
      <c r="AT43" s="133"/>
      <c r="AU43" s="133"/>
      <c r="AV43" s="130" t="n">
        <f aca="false">SUM($AR43:$AU43)</f>
        <v>0</v>
      </c>
      <c r="AW43" s="130" t="n">
        <f aca="false">IF($AV43=0,0,$AR43/$AV43)</f>
        <v>0</v>
      </c>
      <c r="AX43" s="130" t="n">
        <f aca="false">IF($AV43=0,0,$AS43/$AV43)</f>
        <v>0</v>
      </c>
      <c r="AY43" s="131"/>
      <c r="AZ43" s="130" t="str">
        <f aca="false">IF($H43="","",COUNTIFS($H$28:$H43,$H43))</f>
        <v/>
      </c>
      <c r="BA43" s="130" t="str">
        <f aca="false">IF($H43="","",COUNTIFS($H$28:$H43,$H43,$B$28:$B43,$B43))</f>
        <v/>
      </c>
    </row>
    <row r="44" customFormat="false" ht="15" hidden="false" customHeight="true" outlineLevel="0" collapsed="false">
      <c r="A44" s="130" t="str">
        <f aca="false">IF($U44="","","BUD"&amp;TEXT(ROW()-27,"0000"))</f>
        <v/>
      </c>
      <c r="B44" s="131"/>
      <c r="C44" s="131"/>
      <c r="D44" s="132"/>
      <c r="E44" s="132"/>
      <c r="F44" s="131"/>
      <c r="G44" s="131"/>
      <c r="H44" s="131"/>
      <c r="I44" s="130" t="n">
        <f aca="false">IFERROR(INDEX(PROJETS!$C$56:$C$95,MATCH($H44,PROJETS!$A$56:$A$95,0)),"")</f>
        <v>0</v>
      </c>
      <c r="J44" s="130" t="n">
        <f aca="false">IFERROR(INDEX(PROJETS!$J$56:$J$95,MATCH($H44,PROJETS!$A$56:$A$95,0)),"")</f>
        <v>0</v>
      </c>
      <c r="K44" s="130" t="n">
        <f aca="false">IFERROR(INDEX(PROJETS!$N$56:$N$95,MATCH($H44,PROJETS!$A$56:$A$95,0)),"")</f>
        <v>0</v>
      </c>
      <c r="L44" s="131"/>
      <c r="M44" s="130" t="n">
        <f aca="false">IFERROR(INDEX(ACTIVITES!$G$56:$G$105,MATCH($L44,ACTIVITES!$A$56:$A$105,0)),"")</f>
        <v>0</v>
      </c>
      <c r="N44" s="131"/>
      <c r="O44" s="130" t="n">
        <f aca="false">IFERROR(INDEX(DONATEURS!$B$56:$B$205,MATCH($N44,DONATEURS!$A$56:$A$205,0)),"")</f>
        <v>0</v>
      </c>
      <c r="P44" s="131"/>
      <c r="Q44" s="131"/>
      <c r="R44" s="131"/>
      <c r="S44" s="131"/>
      <c r="T44" s="131"/>
      <c r="U44" s="131"/>
      <c r="V44" s="131"/>
      <c r="W44" s="131"/>
      <c r="X44" s="133"/>
      <c r="Y44" s="133"/>
      <c r="Z44" s="130" t="n">
        <f aca="false">IF(OR($X44="",$Y44=""),0,$X44*$Y44)</f>
        <v>0</v>
      </c>
      <c r="AA44" s="133"/>
      <c r="AB44" s="133"/>
      <c r="AC44" s="130" t="str">
        <f aca="false">IF(OR($AA44="",$AB44=""),"",$AA44-$AB44)</f>
        <v/>
      </c>
      <c r="AD44" s="133"/>
      <c r="AE44" s="132"/>
      <c r="AF44" s="131"/>
      <c r="AG44" s="131"/>
      <c r="AH44" s="131"/>
      <c r="AI44" s="133"/>
      <c r="AJ44" s="133"/>
      <c r="AK44" s="130" t="n">
        <f aca="false">IF(AND($AD44&lt;&gt;"",$AD44&gt;0),$AD44,IF($AB44="",0,$AB44))</f>
        <v>0</v>
      </c>
      <c r="AL44" s="130" t="n">
        <f aca="false">$AK44-IF($AJ44="",0,$AJ44)</f>
        <v>0</v>
      </c>
      <c r="AM44" s="130" t="n">
        <f aca="false">$AK44-IF($AI44="",0,$AI44)</f>
        <v>0</v>
      </c>
      <c r="AN44" s="130" t="n">
        <f aca="false">IF($AK44=0,0,IF($AJ44="",0,$AJ44)/$AK44)</f>
        <v>0</v>
      </c>
      <c r="AO44" s="130" t="n">
        <f aca="false">$AK44-IF($AJ44="",0,$AJ44)</f>
        <v>0</v>
      </c>
      <c r="AP44" s="130" t="n">
        <f aca="false">IF($AK44=0,0,$AO44/$AK44)</f>
        <v>0</v>
      </c>
      <c r="AQ44" s="130" t="str">
        <f aca="false">IF($AK44=0,"",IF($AN44&gt;Seuil_Depassement,"Depassement",IF($AN44&gt;=Seuil_Vigilance,"Vigilance","Normal")))</f>
        <v/>
      </c>
      <c r="AR44" s="133"/>
      <c r="AS44" s="133"/>
      <c r="AT44" s="133"/>
      <c r="AU44" s="133"/>
      <c r="AV44" s="130" t="n">
        <f aca="false">SUM($AR44:$AU44)</f>
        <v>0</v>
      </c>
      <c r="AW44" s="130" t="n">
        <f aca="false">IF($AV44=0,0,$AR44/$AV44)</f>
        <v>0</v>
      </c>
      <c r="AX44" s="130" t="n">
        <f aca="false">IF($AV44=0,0,$AS44/$AV44)</f>
        <v>0</v>
      </c>
      <c r="AY44" s="131"/>
      <c r="AZ44" s="130" t="str">
        <f aca="false">IF($H44="","",COUNTIFS($H$28:$H44,$H44))</f>
        <v/>
      </c>
      <c r="BA44" s="130" t="str">
        <f aca="false">IF($H44="","",COUNTIFS($H$28:$H44,$H44,$B$28:$B44,$B44))</f>
        <v/>
      </c>
    </row>
    <row r="45" customFormat="false" ht="15" hidden="false" customHeight="true" outlineLevel="0" collapsed="false">
      <c r="A45" s="130" t="str">
        <f aca="false">IF($U45="","","BUD"&amp;TEXT(ROW()-27,"0000"))</f>
        <v/>
      </c>
      <c r="B45" s="131"/>
      <c r="C45" s="131"/>
      <c r="D45" s="132"/>
      <c r="E45" s="132"/>
      <c r="F45" s="131"/>
      <c r="G45" s="131"/>
      <c r="H45" s="131"/>
      <c r="I45" s="130" t="n">
        <f aca="false">IFERROR(INDEX(PROJETS!$C$56:$C$95,MATCH($H45,PROJETS!$A$56:$A$95,0)),"")</f>
        <v>0</v>
      </c>
      <c r="J45" s="130" t="n">
        <f aca="false">IFERROR(INDEX(PROJETS!$J$56:$J$95,MATCH($H45,PROJETS!$A$56:$A$95,0)),"")</f>
        <v>0</v>
      </c>
      <c r="K45" s="130" t="n">
        <f aca="false">IFERROR(INDEX(PROJETS!$N$56:$N$95,MATCH($H45,PROJETS!$A$56:$A$95,0)),"")</f>
        <v>0</v>
      </c>
      <c r="L45" s="131"/>
      <c r="M45" s="130" t="n">
        <f aca="false">IFERROR(INDEX(ACTIVITES!$G$56:$G$105,MATCH($L45,ACTIVITES!$A$56:$A$105,0)),"")</f>
        <v>0</v>
      </c>
      <c r="N45" s="131"/>
      <c r="O45" s="130" t="n">
        <f aca="false">IFERROR(INDEX(DONATEURS!$B$56:$B$205,MATCH($N45,DONATEURS!$A$56:$A$205,0)),"")</f>
        <v>0</v>
      </c>
      <c r="P45" s="131"/>
      <c r="Q45" s="131"/>
      <c r="R45" s="131"/>
      <c r="S45" s="131"/>
      <c r="T45" s="131"/>
      <c r="U45" s="131"/>
      <c r="V45" s="131"/>
      <c r="W45" s="131"/>
      <c r="X45" s="133"/>
      <c r="Y45" s="133"/>
      <c r="Z45" s="130" t="n">
        <f aca="false">IF(OR($X45="",$Y45=""),0,$X45*$Y45)</f>
        <v>0</v>
      </c>
      <c r="AA45" s="133"/>
      <c r="AB45" s="133"/>
      <c r="AC45" s="130" t="str">
        <f aca="false">IF(OR($AA45="",$AB45=""),"",$AA45-$AB45)</f>
        <v/>
      </c>
      <c r="AD45" s="133"/>
      <c r="AE45" s="132"/>
      <c r="AF45" s="131"/>
      <c r="AG45" s="131"/>
      <c r="AH45" s="131"/>
      <c r="AI45" s="133"/>
      <c r="AJ45" s="133"/>
      <c r="AK45" s="130" t="n">
        <f aca="false">IF(AND($AD45&lt;&gt;"",$AD45&gt;0),$AD45,IF($AB45="",0,$AB45))</f>
        <v>0</v>
      </c>
      <c r="AL45" s="130" t="n">
        <f aca="false">$AK45-IF($AJ45="",0,$AJ45)</f>
        <v>0</v>
      </c>
      <c r="AM45" s="130" t="n">
        <f aca="false">$AK45-IF($AI45="",0,$AI45)</f>
        <v>0</v>
      </c>
      <c r="AN45" s="130" t="n">
        <f aca="false">IF($AK45=0,0,IF($AJ45="",0,$AJ45)/$AK45)</f>
        <v>0</v>
      </c>
      <c r="AO45" s="130" t="n">
        <f aca="false">$AK45-IF($AJ45="",0,$AJ45)</f>
        <v>0</v>
      </c>
      <c r="AP45" s="130" t="n">
        <f aca="false">IF($AK45=0,0,$AO45/$AK45)</f>
        <v>0</v>
      </c>
      <c r="AQ45" s="130" t="str">
        <f aca="false">IF($AK45=0,"",IF($AN45&gt;Seuil_Depassement,"Depassement",IF($AN45&gt;=Seuil_Vigilance,"Vigilance","Normal")))</f>
        <v/>
      </c>
      <c r="AR45" s="133"/>
      <c r="AS45" s="133"/>
      <c r="AT45" s="133"/>
      <c r="AU45" s="133"/>
      <c r="AV45" s="130" t="n">
        <f aca="false">SUM($AR45:$AU45)</f>
        <v>0</v>
      </c>
      <c r="AW45" s="130" t="n">
        <f aca="false">IF($AV45=0,0,$AR45/$AV45)</f>
        <v>0</v>
      </c>
      <c r="AX45" s="130" t="n">
        <f aca="false">IF($AV45=0,0,$AS45/$AV45)</f>
        <v>0</v>
      </c>
      <c r="AY45" s="131"/>
      <c r="AZ45" s="130" t="str">
        <f aca="false">IF($H45="","",COUNTIFS($H$28:$H45,$H45))</f>
        <v/>
      </c>
      <c r="BA45" s="130" t="str">
        <f aca="false">IF($H45="","",COUNTIFS($H$28:$H45,$H45,$B$28:$B45,$B45))</f>
        <v/>
      </c>
    </row>
    <row r="46" customFormat="false" ht="15" hidden="false" customHeight="true" outlineLevel="0" collapsed="false">
      <c r="A46" s="130" t="str">
        <f aca="false">IF($U46="","","BUD"&amp;TEXT(ROW()-27,"0000"))</f>
        <v/>
      </c>
      <c r="B46" s="131"/>
      <c r="C46" s="131"/>
      <c r="D46" s="132"/>
      <c r="E46" s="132"/>
      <c r="F46" s="131"/>
      <c r="G46" s="131"/>
      <c r="H46" s="131"/>
      <c r="I46" s="130" t="n">
        <f aca="false">IFERROR(INDEX(PROJETS!$C$56:$C$95,MATCH($H46,PROJETS!$A$56:$A$95,0)),"")</f>
        <v>0</v>
      </c>
      <c r="J46" s="130" t="n">
        <f aca="false">IFERROR(INDEX(PROJETS!$J$56:$J$95,MATCH($H46,PROJETS!$A$56:$A$95,0)),"")</f>
        <v>0</v>
      </c>
      <c r="K46" s="130" t="n">
        <f aca="false">IFERROR(INDEX(PROJETS!$N$56:$N$95,MATCH($H46,PROJETS!$A$56:$A$95,0)),"")</f>
        <v>0</v>
      </c>
      <c r="L46" s="131"/>
      <c r="M46" s="130" t="n">
        <f aca="false">IFERROR(INDEX(ACTIVITES!$G$56:$G$105,MATCH($L46,ACTIVITES!$A$56:$A$105,0)),"")</f>
        <v>0</v>
      </c>
      <c r="N46" s="131"/>
      <c r="O46" s="130" t="n">
        <f aca="false">IFERROR(INDEX(DONATEURS!$B$56:$B$205,MATCH($N46,DONATEURS!$A$56:$A$205,0)),"")</f>
        <v>0</v>
      </c>
      <c r="P46" s="131"/>
      <c r="Q46" s="131"/>
      <c r="R46" s="131"/>
      <c r="S46" s="131"/>
      <c r="T46" s="131"/>
      <c r="U46" s="131"/>
      <c r="V46" s="131"/>
      <c r="W46" s="131"/>
      <c r="X46" s="133"/>
      <c r="Y46" s="133"/>
      <c r="Z46" s="130" t="n">
        <f aca="false">IF(OR($X46="",$Y46=""),0,$X46*$Y46)</f>
        <v>0</v>
      </c>
      <c r="AA46" s="133"/>
      <c r="AB46" s="133"/>
      <c r="AC46" s="130" t="str">
        <f aca="false">IF(OR($AA46="",$AB46=""),"",$AA46-$AB46)</f>
        <v/>
      </c>
      <c r="AD46" s="133"/>
      <c r="AE46" s="132"/>
      <c r="AF46" s="131"/>
      <c r="AG46" s="131"/>
      <c r="AH46" s="131"/>
      <c r="AI46" s="133"/>
      <c r="AJ46" s="133"/>
      <c r="AK46" s="130" t="n">
        <f aca="false">IF(AND($AD46&lt;&gt;"",$AD46&gt;0),$AD46,IF($AB46="",0,$AB46))</f>
        <v>0</v>
      </c>
      <c r="AL46" s="130" t="n">
        <f aca="false">$AK46-IF($AJ46="",0,$AJ46)</f>
        <v>0</v>
      </c>
      <c r="AM46" s="130" t="n">
        <f aca="false">$AK46-IF($AI46="",0,$AI46)</f>
        <v>0</v>
      </c>
      <c r="AN46" s="130" t="n">
        <f aca="false">IF($AK46=0,0,IF($AJ46="",0,$AJ46)/$AK46)</f>
        <v>0</v>
      </c>
      <c r="AO46" s="130" t="n">
        <f aca="false">$AK46-IF($AJ46="",0,$AJ46)</f>
        <v>0</v>
      </c>
      <c r="AP46" s="130" t="n">
        <f aca="false">IF($AK46=0,0,$AO46/$AK46)</f>
        <v>0</v>
      </c>
      <c r="AQ46" s="130" t="str">
        <f aca="false">IF($AK46=0,"",IF($AN46&gt;Seuil_Depassement,"Depassement",IF($AN46&gt;=Seuil_Vigilance,"Vigilance","Normal")))</f>
        <v/>
      </c>
      <c r="AR46" s="133"/>
      <c r="AS46" s="133"/>
      <c r="AT46" s="133"/>
      <c r="AU46" s="133"/>
      <c r="AV46" s="130" t="n">
        <f aca="false">SUM($AR46:$AU46)</f>
        <v>0</v>
      </c>
      <c r="AW46" s="130" t="n">
        <f aca="false">IF($AV46=0,0,$AR46/$AV46)</f>
        <v>0</v>
      </c>
      <c r="AX46" s="130" t="n">
        <f aca="false">IF($AV46=0,0,$AS46/$AV46)</f>
        <v>0</v>
      </c>
      <c r="AY46" s="131"/>
      <c r="AZ46" s="130" t="str">
        <f aca="false">IF($H46="","",COUNTIFS($H$28:$H46,$H46))</f>
        <v/>
      </c>
      <c r="BA46" s="130" t="str">
        <f aca="false">IF($H46="","",COUNTIFS($H$28:$H46,$H46,$B$28:$B46,$B46))</f>
        <v/>
      </c>
    </row>
    <row r="47" customFormat="false" ht="15" hidden="false" customHeight="true" outlineLevel="0" collapsed="false">
      <c r="A47" s="130" t="str">
        <f aca="false">IF($U47="","","BUD"&amp;TEXT(ROW()-27,"0000"))</f>
        <v/>
      </c>
      <c r="B47" s="131"/>
      <c r="C47" s="131"/>
      <c r="D47" s="132"/>
      <c r="E47" s="132"/>
      <c r="F47" s="131"/>
      <c r="G47" s="131"/>
      <c r="H47" s="131"/>
      <c r="I47" s="130" t="n">
        <f aca="false">IFERROR(INDEX(PROJETS!$C$56:$C$95,MATCH($H47,PROJETS!$A$56:$A$95,0)),"")</f>
        <v>0</v>
      </c>
      <c r="J47" s="130" t="n">
        <f aca="false">IFERROR(INDEX(PROJETS!$J$56:$J$95,MATCH($H47,PROJETS!$A$56:$A$95,0)),"")</f>
        <v>0</v>
      </c>
      <c r="K47" s="130" t="n">
        <f aca="false">IFERROR(INDEX(PROJETS!$N$56:$N$95,MATCH($H47,PROJETS!$A$56:$A$95,0)),"")</f>
        <v>0</v>
      </c>
      <c r="L47" s="131"/>
      <c r="M47" s="130" t="n">
        <f aca="false">IFERROR(INDEX(ACTIVITES!$G$56:$G$105,MATCH($L47,ACTIVITES!$A$56:$A$105,0)),"")</f>
        <v>0</v>
      </c>
      <c r="N47" s="131"/>
      <c r="O47" s="130" t="n">
        <f aca="false">IFERROR(INDEX(DONATEURS!$B$56:$B$205,MATCH($N47,DONATEURS!$A$56:$A$205,0)),"")</f>
        <v>0</v>
      </c>
      <c r="P47" s="131"/>
      <c r="Q47" s="131"/>
      <c r="R47" s="131"/>
      <c r="S47" s="131"/>
      <c r="T47" s="131"/>
      <c r="U47" s="131"/>
      <c r="V47" s="131"/>
      <c r="W47" s="131"/>
      <c r="X47" s="133"/>
      <c r="Y47" s="133"/>
      <c r="Z47" s="130" t="n">
        <f aca="false">IF(OR($X47="",$Y47=""),0,$X47*$Y47)</f>
        <v>0</v>
      </c>
      <c r="AA47" s="133"/>
      <c r="AB47" s="133"/>
      <c r="AC47" s="130" t="str">
        <f aca="false">IF(OR($AA47="",$AB47=""),"",$AA47-$AB47)</f>
        <v/>
      </c>
      <c r="AD47" s="133"/>
      <c r="AE47" s="132"/>
      <c r="AF47" s="131"/>
      <c r="AG47" s="131"/>
      <c r="AH47" s="131"/>
      <c r="AI47" s="133"/>
      <c r="AJ47" s="133"/>
      <c r="AK47" s="130" t="n">
        <f aca="false">IF(AND($AD47&lt;&gt;"",$AD47&gt;0),$AD47,IF($AB47="",0,$AB47))</f>
        <v>0</v>
      </c>
      <c r="AL47" s="130" t="n">
        <f aca="false">$AK47-IF($AJ47="",0,$AJ47)</f>
        <v>0</v>
      </c>
      <c r="AM47" s="130" t="n">
        <f aca="false">$AK47-IF($AI47="",0,$AI47)</f>
        <v>0</v>
      </c>
      <c r="AN47" s="130" t="n">
        <f aca="false">IF($AK47=0,0,IF($AJ47="",0,$AJ47)/$AK47)</f>
        <v>0</v>
      </c>
      <c r="AO47" s="130" t="n">
        <f aca="false">$AK47-IF($AJ47="",0,$AJ47)</f>
        <v>0</v>
      </c>
      <c r="AP47" s="130" t="n">
        <f aca="false">IF($AK47=0,0,$AO47/$AK47)</f>
        <v>0</v>
      </c>
      <c r="AQ47" s="130" t="str">
        <f aca="false">IF($AK47=0,"",IF($AN47&gt;Seuil_Depassement,"Depassement",IF($AN47&gt;=Seuil_Vigilance,"Vigilance","Normal")))</f>
        <v/>
      </c>
      <c r="AR47" s="133"/>
      <c r="AS47" s="133"/>
      <c r="AT47" s="133"/>
      <c r="AU47" s="133"/>
      <c r="AV47" s="130" t="n">
        <f aca="false">SUM($AR47:$AU47)</f>
        <v>0</v>
      </c>
      <c r="AW47" s="130" t="n">
        <f aca="false">IF($AV47=0,0,$AR47/$AV47)</f>
        <v>0</v>
      </c>
      <c r="AX47" s="130" t="n">
        <f aca="false">IF($AV47=0,0,$AS47/$AV47)</f>
        <v>0</v>
      </c>
      <c r="AY47" s="131"/>
      <c r="AZ47" s="130" t="str">
        <f aca="false">IF($H47="","",COUNTIFS($H$28:$H47,$H47))</f>
        <v/>
      </c>
      <c r="BA47" s="130" t="str">
        <f aca="false">IF($H47="","",COUNTIFS($H$28:$H47,$H47,$B$28:$B47,$B47))</f>
        <v/>
      </c>
    </row>
    <row r="48" customFormat="false" ht="15" hidden="false" customHeight="true" outlineLevel="0" collapsed="false">
      <c r="A48" s="130" t="str">
        <f aca="false">IF($U48="","","BUD"&amp;TEXT(ROW()-27,"0000"))</f>
        <v/>
      </c>
      <c r="B48" s="131"/>
      <c r="C48" s="131"/>
      <c r="D48" s="132"/>
      <c r="E48" s="132"/>
      <c r="F48" s="131"/>
      <c r="G48" s="131"/>
      <c r="H48" s="131"/>
      <c r="I48" s="130" t="n">
        <f aca="false">IFERROR(INDEX(PROJETS!$C$56:$C$95,MATCH($H48,PROJETS!$A$56:$A$95,0)),"")</f>
        <v>0</v>
      </c>
      <c r="J48" s="130" t="n">
        <f aca="false">IFERROR(INDEX(PROJETS!$J$56:$J$95,MATCH($H48,PROJETS!$A$56:$A$95,0)),"")</f>
        <v>0</v>
      </c>
      <c r="K48" s="130" t="n">
        <f aca="false">IFERROR(INDEX(PROJETS!$N$56:$N$95,MATCH($H48,PROJETS!$A$56:$A$95,0)),"")</f>
        <v>0</v>
      </c>
      <c r="L48" s="131"/>
      <c r="M48" s="130" t="n">
        <f aca="false">IFERROR(INDEX(ACTIVITES!$G$56:$G$105,MATCH($L48,ACTIVITES!$A$56:$A$105,0)),"")</f>
        <v>0</v>
      </c>
      <c r="N48" s="131"/>
      <c r="O48" s="130" t="n">
        <f aca="false">IFERROR(INDEX(DONATEURS!$B$56:$B$205,MATCH($N48,DONATEURS!$A$56:$A$205,0)),"")</f>
        <v>0</v>
      </c>
      <c r="P48" s="131"/>
      <c r="Q48" s="131"/>
      <c r="R48" s="131"/>
      <c r="S48" s="131"/>
      <c r="T48" s="131"/>
      <c r="U48" s="131"/>
      <c r="V48" s="131"/>
      <c r="W48" s="131"/>
      <c r="X48" s="133"/>
      <c r="Y48" s="133"/>
      <c r="Z48" s="130" t="n">
        <f aca="false">IF(OR($X48="",$Y48=""),0,$X48*$Y48)</f>
        <v>0</v>
      </c>
      <c r="AA48" s="133"/>
      <c r="AB48" s="133"/>
      <c r="AC48" s="130" t="str">
        <f aca="false">IF(OR($AA48="",$AB48=""),"",$AA48-$AB48)</f>
        <v/>
      </c>
      <c r="AD48" s="133"/>
      <c r="AE48" s="132"/>
      <c r="AF48" s="131"/>
      <c r="AG48" s="131"/>
      <c r="AH48" s="131"/>
      <c r="AI48" s="133"/>
      <c r="AJ48" s="133"/>
      <c r="AK48" s="130" t="n">
        <f aca="false">IF(AND($AD48&lt;&gt;"",$AD48&gt;0),$AD48,IF($AB48="",0,$AB48))</f>
        <v>0</v>
      </c>
      <c r="AL48" s="130" t="n">
        <f aca="false">$AK48-IF($AJ48="",0,$AJ48)</f>
        <v>0</v>
      </c>
      <c r="AM48" s="130" t="n">
        <f aca="false">$AK48-IF($AI48="",0,$AI48)</f>
        <v>0</v>
      </c>
      <c r="AN48" s="130" t="n">
        <f aca="false">IF($AK48=0,0,IF($AJ48="",0,$AJ48)/$AK48)</f>
        <v>0</v>
      </c>
      <c r="AO48" s="130" t="n">
        <f aca="false">$AK48-IF($AJ48="",0,$AJ48)</f>
        <v>0</v>
      </c>
      <c r="AP48" s="130" t="n">
        <f aca="false">IF($AK48=0,0,$AO48/$AK48)</f>
        <v>0</v>
      </c>
      <c r="AQ48" s="130" t="str">
        <f aca="false">IF($AK48=0,"",IF($AN48&gt;Seuil_Depassement,"Depassement",IF($AN48&gt;=Seuil_Vigilance,"Vigilance","Normal")))</f>
        <v/>
      </c>
      <c r="AR48" s="133"/>
      <c r="AS48" s="133"/>
      <c r="AT48" s="133"/>
      <c r="AU48" s="133"/>
      <c r="AV48" s="130" t="n">
        <f aca="false">SUM($AR48:$AU48)</f>
        <v>0</v>
      </c>
      <c r="AW48" s="130" t="n">
        <f aca="false">IF($AV48=0,0,$AR48/$AV48)</f>
        <v>0</v>
      </c>
      <c r="AX48" s="130" t="n">
        <f aca="false">IF($AV48=0,0,$AS48/$AV48)</f>
        <v>0</v>
      </c>
      <c r="AY48" s="131"/>
      <c r="AZ48" s="130" t="str">
        <f aca="false">IF($H48="","",COUNTIFS($H$28:$H48,$H48))</f>
        <v/>
      </c>
      <c r="BA48" s="130" t="str">
        <f aca="false">IF($H48="","",COUNTIFS($H$28:$H48,$H48,$B$28:$B48,$B48))</f>
        <v/>
      </c>
    </row>
    <row r="49" customFormat="false" ht="15" hidden="false" customHeight="true" outlineLevel="0" collapsed="false">
      <c r="A49" s="130" t="str">
        <f aca="false">IF($U49="","","BUD"&amp;TEXT(ROW()-27,"0000"))</f>
        <v/>
      </c>
      <c r="B49" s="131"/>
      <c r="C49" s="131"/>
      <c r="D49" s="132"/>
      <c r="E49" s="132"/>
      <c r="F49" s="131"/>
      <c r="G49" s="131"/>
      <c r="H49" s="131"/>
      <c r="I49" s="130" t="n">
        <f aca="false">IFERROR(INDEX(PROJETS!$C$56:$C$95,MATCH($H49,PROJETS!$A$56:$A$95,0)),"")</f>
        <v>0</v>
      </c>
      <c r="J49" s="130" t="n">
        <f aca="false">IFERROR(INDEX(PROJETS!$J$56:$J$95,MATCH($H49,PROJETS!$A$56:$A$95,0)),"")</f>
        <v>0</v>
      </c>
      <c r="K49" s="130" t="n">
        <f aca="false">IFERROR(INDEX(PROJETS!$N$56:$N$95,MATCH($H49,PROJETS!$A$56:$A$95,0)),"")</f>
        <v>0</v>
      </c>
      <c r="L49" s="131"/>
      <c r="M49" s="130" t="n">
        <f aca="false">IFERROR(INDEX(ACTIVITES!$G$56:$G$105,MATCH($L49,ACTIVITES!$A$56:$A$105,0)),"")</f>
        <v>0</v>
      </c>
      <c r="N49" s="131"/>
      <c r="O49" s="130" t="n">
        <f aca="false">IFERROR(INDEX(DONATEURS!$B$56:$B$205,MATCH($N49,DONATEURS!$A$56:$A$205,0)),"")</f>
        <v>0</v>
      </c>
      <c r="P49" s="131"/>
      <c r="Q49" s="131"/>
      <c r="R49" s="131"/>
      <c r="S49" s="131"/>
      <c r="T49" s="131"/>
      <c r="U49" s="131"/>
      <c r="V49" s="131"/>
      <c r="W49" s="131"/>
      <c r="X49" s="133"/>
      <c r="Y49" s="133"/>
      <c r="Z49" s="130" t="n">
        <f aca="false">IF(OR($X49="",$Y49=""),0,$X49*$Y49)</f>
        <v>0</v>
      </c>
      <c r="AA49" s="133"/>
      <c r="AB49" s="133"/>
      <c r="AC49" s="130" t="str">
        <f aca="false">IF(OR($AA49="",$AB49=""),"",$AA49-$AB49)</f>
        <v/>
      </c>
      <c r="AD49" s="133"/>
      <c r="AE49" s="132"/>
      <c r="AF49" s="131"/>
      <c r="AG49" s="131"/>
      <c r="AH49" s="131"/>
      <c r="AI49" s="133"/>
      <c r="AJ49" s="133"/>
      <c r="AK49" s="130" t="n">
        <f aca="false">IF(AND($AD49&lt;&gt;"",$AD49&gt;0),$AD49,IF($AB49="",0,$AB49))</f>
        <v>0</v>
      </c>
      <c r="AL49" s="130" t="n">
        <f aca="false">$AK49-IF($AJ49="",0,$AJ49)</f>
        <v>0</v>
      </c>
      <c r="AM49" s="130" t="n">
        <f aca="false">$AK49-IF($AI49="",0,$AI49)</f>
        <v>0</v>
      </c>
      <c r="AN49" s="130" t="n">
        <f aca="false">IF($AK49=0,0,IF($AJ49="",0,$AJ49)/$AK49)</f>
        <v>0</v>
      </c>
      <c r="AO49" s="130" t="n">
        <f aca="false">$AK49-IF($AJ49="",0,$AJ49)</f>
        <v>0</v>
      </c>
      <c r="AP49" s="130" t="n">
        <f aca="false">IF($AK49=0,0,$AO49/$AK49)</f>
        <v>0</v>
      </c>
      <c r="AQ49" s="130" t="str">
        <f aca="false">IF($AK49=0,"",IF($AN49&gt;Seuil_Depassement,"Depassement",IF($AN49&gt;=Seuil_Vigilance,"Vigilance","Normal")))</f>
        <v/>
      </c>
      <c r="AR49" s="133"/>
      <c r="AS49" s="133"/>
      <c r="AT49" s="133"/>
      <c r="AU49" s="133"/>
      <c r="AV49" s="130" t="n">
        <f aca="false">SUM($AR49:$AU49)</f>
        <v>0</v>
      </c>
      <c r="AW49" s="130" t="n">
        <f aca="false">IF($AV49=0,0,$AR49/$AV49)</f>
        <v>0</v>
      </c>
      <c r="AX49" s="130" t="n">
        <f aca="false">IF($AV49=0,0,$AS49/$AV49)</f>
        <v>0</v>
      </c>
      <c r="AY49" s="131"/>
      <c r="AZ49" s="130" t="str">
        <f aca="false">IF($H49="","",COUNTIFS($H$28:$H49,$H49))</f>
        <v/>
      </c>
      <c r="BA49" s="130" t="str">
        <f aca="false">IF($H49="","",COUNTIFS($H$28:$H49,$H49,$B$28:$B49,$B49))</f>
        <v/>
      </c>
    </row>
    <row r="50" customFormat="false" ht="15" hidden="false" customHeight="true" outlineLevel="0" collapsed="false">
      <c r="A50" s="130" t="str">
        <f aca="false">IF($U50="","","BUD"&amp;TEXT(ROW()-27,"0000"))</f>
        <v/>
      </c>
      <c r="B50" s="131"/>
      <c r="C50" s="131"/>
      <c r="D50" s="132"/>
      <c r="E50" s="132"/>
      <c r="F50" s="131"/>
      <c r="G50" s="131"/>
      <c r="H50" s="131"/>
      <c r="I50" s="130" t="n">
        <f aca="false">IFERROR(INDEX(PROJETS!$C$56:$C$95,MATCH($H50,PROJETS!$A$56:$A$95,0)),"")</f>
        <v>0</v>
      </c>
      <c r="J50" s="130" t="n">
        <f aca="false">IFERROR(INDEX(PROJETS!$J$56:$J$95,MATCH($H50,PROJETS!$A$56:$A$95,0)),"")</f>
        <v>0</v>
      </c>
      <c r="K50" s="130" t="n">
        <f aca="false">IFERROR(INDEX(PROJETS!$N$56:$N$95,MATCH($H50,PROJETS!$A$56:$A$95,0)),"")</f>
        <v>0</v>
      </c>
      <c r="L50" s="131"/>
      <c r="M50" s="130" t="n">
        <f aca="false">IFERROR(INDEX(ACTIVITES!$G$56:$G$105,MATCH($L50,ACTIVITES!$A$56:$A$105,0)),"")</f>
        <v>0</v>
      </c>
      <c r="N50" s="131"/>
      <c r="O50" s="130" t="n">
        <f aca="false">IFERROR(INDEX(DONATEURS!$B$56:$B$205,MATCH($N50,DONATEURS!$A$56:$A$205,0)),"")</f>
        <v>0</v>
      </c>
      <c r="P50" s="131"/>
      <c r="Q50" s="131"/>
      <c r="R50" s="131"/>
      <c r="S50" s="131"/>
      <c r="T50" s="131"/>
      <c r="U50" s="131"/>
      <c r="V50" s="131"/>
      <c r="W50" s="131"/>
      <c r="X50" s="133"/>
      <c r="Y50" s="133"/>
      <c r="Z50" s="130" t="n">
        <f aca="false">IF(OR($X50="",$Y50=""),0,$X50*$Y50)</f>
        <v>0</v>
      </c>
      <c r="AA50" s="133"/>
      <c r="AB50" s="133"/>
      <c r="AC50" s="130" t="str">
        <f aca="false">IF(OR($AA50="",$AB50=""),"",$AA50-$AB50)</f>
        <v/>
      </c>
      <c r="AD50" s="133"/>
      <c r="AE50" s="132"/>
      <c r="AF50" s="131"/>
      <c r="AG50" s="131"/>
      <c r="AH50" s="131"/>
      <c r="AI50" s="133"/>
      <c r="AJ50" s="133"/>
      <c r="AK50" s="130" t="n">
        <f aca="false">IF(AND($AD50&lt;&gt;"",$AD50&gt;0),$AD50,IF($AB50="",0,$AB50))</f>
        <v>0</v>
      </c>
      <c r="AL50" s="130" t="n">
        <f aca="false">$AK50-IF($AJ50="",0,$AJ50)</f>
        <v>0</v>
      </c>
      <c r="AM50" s="130" t="n">
        <f aca="false">$AK50-IF($AI50="",0,$AI50)</f>
        <v>0</v>
      </c>
      <c r="AN50" s="130" t="n">
        <f aca="false">IF($AK50=0,0,IF($AJ50="",0,$AJ50)/$AK50)</f>
        <v>0</v>
      </c>
      <c r="AO50" s="130" t="n">
        <f aca="false">$AK50-IF($AJ50="",0,$AJ50)</f>
        <v>0</v>
      </c>
      <c r="AP50" s="130" t="n">
        <f aca="false">IF($AK50=0,0,$AO50/$AK50)</f>
        <v>0</v>
      </c>
      <c r="AQ50" s="130" t="str">
        <f aca="false">IF($AK50=0,"",IF($AN50&gt;Seuil_Depassement,"Depassement",IF($AN50&gt;=Seuil_Vigilance,"Vigilance","Normal")))</f>
        <v/>
      </c>
      <c r="AR50" s="133"/>
      <c r="AS50" s="133"/>
      <c r="AT50" s="133"/>
      <c r="AU50" s="133"/>
      <c r="AV50" s="130" t="n">
        <f aca="false">SUM($AR50:$AU50)</f>
        <v>0</v>
      </c>
      <c r="AW50" s="130" t="n">
        <f aca="false">IF($AV50=0,0,$AR50/$AV50)</f>
        <v>0</v>
      </c>
      <c r="AX50" s="130" t="n">
        <f aca="false">IF($AV50=0,0,$AS50/$AV50)</f>
        <v>0</v>
      </c>
      <c r="AY50" s="131"/>
      <c r="AZ50" s="130" t="str">
        <f aca="false">IF($H50="","",COUNTIFS($H$28:$H50,$H50))</f>
        <v/>
      </c>
      <c r="BA50" s="130" t="str">
        <f aca="false">IF($H50="","",COUNTIFS($H$28:$H50,$H50,$B$28:$B50,$B50))</f>
        <v/>
      </c>
    </row>
    <row r="51" customFormat="false" ht="15" hidden="false" customHeight="true" outlineLevel="0" collapsed="false">
      <c r="A51" s="130" t="str">
        <f aca="false">IF($U51="","","BUD"&amp;TEXT(ROW()-27,"0000"))</f>
        <v/>
      </c>
      <c r="B51" s="131"/>
      <c r="C51" s="131"/>
      <c r="D51" s="132"/>
      <c r="E51" s="132"/>
      <c r="F51" s="131"/>
      <c r="G51" s="131"/>
      <c r="H51" s="131"/>
      <c r="I51" s="130" t="n">
        <f aca="false">IFERROR(INDEX(PROJETS!$C$56:$C$95,MATCH($H51,PROJETS!$A$56:$A$95,0)),"")</f>
        <v>0</v>
      </c>
      <c r="J51" s="130" t="n">
        <f aca="false">IFERROR(INDEX(PROJETS!$J$56:$J$95,MATCH($H51,PROJETS!$A$56:$A$95,0)),"")</f>
        <v>0</v>
      </c>
      <c r="K51" s="130" t="n">
        <f aca="false">IFERROR(INDEX(PROJETS!$N$56:$N$95,MATCH($H51,PROJETS!$A$56:$A$95,0)),"")</f>
        <v>0</v>
      </c>
      <c r="L51" s="131"/>
      <c r="M51" s="130" t="n">
        <f aca="false">IFERROR(INDEX(ACTIVITES!$G$56:$G$105,MATCH($L51,ACTIVITES!$A$56:$A$105,0)),"")</f>
        <v>0</v>
      </c>
      <c r="N51" s="131"/>
      <c r="O51" s="130" t="n">
        <f aca="false">IFERROR(INDEX(DONATEURS!$B$56:$B$205,MATCH($N51,DONATEURS!$A$56:$A$205,0)),"")</f>
        <v>0</v>
      </c>
      <c r="P51" s="131"/>
      <c r="Q51" s="131"/>
      <c r="R51" s="131"/>
      <c r="S51" s="131"/>
      <c r="T51" s="131"/>
      <c r="U51" s="131"/>
      <c r="V51" s="131"/>
      <c r="W51" s="131"/>
      <c r="X51" s="133"/>
      <c r="Y51" s="133"/>
      <c r="Z51" s="130" t="n">
        <f aca="false">IF(OR($X51="",$Y51=""),0,$X51*$Y51)</f>
        <v>0</v>
      </c>
      <c r="AA51" s="133"/>
      <c r="AB51" s="133"/>
      <c r="AC51" s="130" t="str">
        <f aca="false">IF(OR($AA51="",$AB51=""),"",$AA51-$AB51)</f>
        <v/>
      </c>
      <c r="AD51" s="133"/>
      <c r="AE51" s="132"/>
      <c r="AF51" s="131"/>
      <c r="AG51" s="131"/>
      <c r="AH51" s="131"/>
      <c r="AI51" s="133"/>
      <c r="AJ51" s="133"/>
      <c r="AK51" s="130" t="n">
        <f aca="false">IF(AND($AD51&lt;&gt;"",$AD51&gt;0),$AD51,IF($AB51="",0,$AB51))</f>
        <v>0</v>
      </c>
      <c r="AL51" s="130" t="n">
        <f aca="false">$AK51-IF($AJ51="",0,$AJ51)</f>
        <v>0</v>
      </c>
      <c r="AM51" s="130" t="n">
        <f aca="false">$AK51-IF($AI51="",0,$AI51)</f>
        <v>0</v>
      </c>
      <c r="AN51" s="130" t="n">
        <f aca="false">IF($AK51=0,0,IF($AJ51="",0,$AJ51)/$AK51)</f>
        <v>0</v>
      </c>
      <c r="AO51" s="130" t="n">
        <f aca="false">$AK51-IF($AJ51="",0,$AJ51)</f>
        <v>0</v>
      </c>
      <c r="AP51" s="130" t="n">
        <f aca="false">IF($AK51=0,0,$AO51/$AK51)</f>
        <v>0</v>
      </c>
      <c r="AQ51" s="130" t="str">
        <f aca="false">IF($AK51=0,"",IF($AN51&gt;Seuil_Depassement,"Depassement",IF($AN51&gt;=Seuil_Vigilance,"Vigilance","Normal")))</f>
        <v/>
      </c>
      <c r="AR51" s="133"/>
      <c r="AS51" s="133"/>
      <c r="AT51" s="133"/>
      <c r="AU51" s="133"/>
      <c r="AV51" s="130" t="n">
        <f aca="false">SUM($AR51:$AU51)</f>
        <v>0</v>
      </c>
      <c r="AW51" s="130" t="n">
        <f aca="false">IF($AV51=0,0,$AR51/$AV51)</f>
        <v>0</v>
      </c>
      <c r="AX51" s="130" t="n">
        <f aca="false">IF($AV51=0,0,$AS51/$AV51)</f>
        <v>0</v>
      </c>
      <c r="AY51" s="131"/>
      <c r="AZ51" s="130" t="str">
        <f aca="false">IF($H51="","",COUNTIFS($H$28:$H51,$H51))</f>
        <v/>
      </c>
      <c r="BA51" s="130" t="str">
        <f aca="false">IF($H51="","",COUNTIFS($H$28:$H51,$H51,$B$28:$B51,$B51))</f>
        <v/>
      </c>
    </row>
    <row r="52" customFormat="false" ht="15" hidden="false" customHeight="true" outlineLevel="0" collapsed="false">
      <c r="A52" s="130" t="str">
        <f aca="false">IF($U52="","","BUD"&amp;TEXT(ROW()-27,"0000"))</f>
        <v/>
      </c>
      <c r="B52" s="131"/>
      <c r="C52" s="131"/>
      <c r="D52" s="132"/>
      <c r="E52" s="132"/>
      <c r="F52" s="131"/>
      <c r="G52" s="131"/>
      <c r="H52" s="131"/>
      <c r="I52" s="130" t="n">
        <f aca="false">IFERROR(INDEX(PROJETS!$C$56:$C$95,MATCH($H52,PROJETS!$A$56:$A$95,0)),"")</f>
        <v>0</v>
      </c>
      <c r="J52" s="130" t="n">
        <f aca="false">IFERROR(INDEX(PROJETS!$J$56:$J$95,MATCH($H52,PROJETS!$A$56:$A$95,0)),"")</f>
        <v>0</v>
      </c>
      <c r="K52" s="130" t="n">
        <f aca="false">IFERROR(INDEX(PROJETS!$N$56:$N$95,MATCH($H52,PROJETS!$A$56:$A$95,0)),"")</f>
        <v>0</v>
      </c>
      <c r="L52" s="131"/>
      <c r="M52" s="130" t="n">
        <f aca="false">IFERROR(INDEX(ACTIVITES!$G$56:$G$105,MATCH($L52,ACTIVITES!$A$56:$A$105,0)),"")</f>
        <v>0</v>
      </c>
      <c r="N52" s="131"/>
      <c r="O52" s="130" t="n">
        <f aca="false">IFERROR(INDEX(DONATEURS!$B$56:$B$205,MATCH($N52,DONATEURS!$A$56:$A$205,0)),"")</f>
        <v>0</v>
      </c>
      <c r="P52" s="131"/>
      <c r="Q52" s="131"/>
      <c r="R52" s="131"/>
      <c r="S52" s="131"/>
      <c r="T52" s="131"/>
      <c r="U52" s="131"/>
      <c r="V52" s="131"/>
      <c r="W52" s="131"/>
      <c r="X52" s="133"/>
      <c r="Y52" s="133"/>
      <c r="Z52" s="130" t="n">
        <f aca="false">IF(OR($X52="",$Y52=""),0,$X52*$Y52)</f>
        <v>0</v>
      </c>
      <c r="AA52" s="133"/>
      <c r="AB52" s="133"/>
      <c r="AC52" s="130" t="str">
        <f aca="false">IF(OR($AA52="",$AB52=""),"",$AA52-$AB52)</f>
        <v/>
      </c>
      <c r="AD52" s="133"/>
      <c r="AE52" s="132"/>
      <c r="AF52" s="131"/>
      <c r="AG52" s="131"/>
      <c r="AH52" s="131"/>
      <c r="AI52" s="133"/>
      <c r="AJ52" s="133"/>
      <c r="AK52" s="130" t="n">
        <f aca="false">IF(AND($AD52&lt;&gt;"",$AD52&gt;0),$AD52,IF($AB52="",0,$AB52))</f>
        <v>0</v>
      </c>
      <c r="AL52" s="130" t="n">
        <f aca="false">$AK52-IF($AJ52="",0,$AJ52)</f>
        <v>0</v>
      </c>
      <c r="AM52" s="130" t="n">
        <f aca="false">$AK52-IF($AI52="",0,$AI52)</f>
        <v>0</v>
      </c>
      <c r="AN52" s="130" t="n">
        <f aca="false">IF($AK52=0,0,IF($AJ52="",0,$AJ52)/$AK52)</f>
        <v>0</v>
      </c>
      <c r="AO52" s="130" t="n">
        <f aca="false">$AK52-IF($AJ52="",0,$AJ52)</f>
        <v>0</v>
      </c>
      <c r="AP52" s="130" t="n">
        <f aca="false">IF($AK52=0,0,$AO52/$AK52)</f>
        <v>0</v>
      </c>
      <c r="AQ52" s="130" t="str">
        <f aca="false">IF($AK52=0,"",IF($AN52&gt;Seuil_Depassement,"Depassement",IF($AN52&gt;=Seuil_Vigilance,"Vigilance","Normal")))</f>
        <v/>
      </c>
      <c r="AR52" s="133"/>
      <c r="AS52" s="133"/>
      <c r="AT52" s="133"/>
      <c r="AU52" s="133"/>
      <c r="AV52" s="130" t="n">
        <f aca="false">SUM($AR52:$AU52)</f>
        <v>0</v>
      </c>
      <c r="AW52" s="130" t="n">
        <f aca="false">IF($AV52=0,0,$AR52/$AV52)</f>
        <v>0</v>
      </c>
      <c r="AX52" s="130" t="n">
        <f aca="false">IF($AV52=0,0,$AS52/$AV52)</f>
        <v>0</v>
      </c>
      <c r="AY52" s="131"/>
      <c r="AZ52" s="130" t="str">
        <f aca="false">IF($H52="","",COUNTIFS($H$28:$H52,$H52))</f>
        <v/>
      </c>
      <c r="BA52" s="130" t="str">
        <f aca="false">IF($H52="","",COUNTIFS($H$28:$H52,$H52,$B$28:$B52,$B52))</f>
        <v/>
      </c>
    </row>
    <row r="53" customFormat="false" ht="15" hidden="false" customHeight="true" outlineLevel="0" collapsed="false">
      <c r="A53" s="130" t="str">
        <f aca="false">IF($U53="","","BUD"&amp;TEXT(ROW()-27,"0000"))</f>
        <v/>
      </c>
      <c r="B53" s="131"/>
      <c r="C53" s="131"/>
      <c r="D53" s="132"/>
      <c r="E53" s="132"/>
      <c r="F53" s="131"/>
      <c r="G53" s="131"/>
      <c r="H53" s="131"/>
      <c r="I53" s="130" t="n">
        <f aca="false">IFERROR(INDEX(PROJETS!$C$56:$C$95,MATCH($H53,PROJETS!$A$56:$A$95,0)),"")</f>
        <v>0</v>
      </c>
      <c r="J53" s="130" t="n">
        <f aca="false">IFERROR(INDEX(PROJETS!$J$56:$J$95,MATCH($H53,PROJETS!$A$56:$A$95,0)),"")</f>
        <v>0</v>
      </c>
      <c r="K53" s="130" t="n">
        <f aca="false">IFERROR(INDEX(PROJETS!$N$56:$N$95,MATCH($H53,PROJETS!$A$56:$A$95,0)),"")</f>
        <v>0</v>
      </c>
      <c r="L53" s="131"/>
      <c r="M53" s="130" t="n">
        <f aca="false">IFERROR(INDEX(ACTIVITES!$G$56:$G$105,MATCH($L53,ACTIVITES!$A$56:$A$105,0)),"")</f>
        <v>0</v>
      </c>
      <c r="N53" s="131"/>
      <c r="O53" s="130" t="n">
        <f aca="false">IFERROR(INDEX(DONATEURS!$B$56:$B$205,MATCH($N53,DONATEURS!$A$56:$A$205,0)),"")</f>
        <v>0</v>
      </c>
      <c r="P53" s="131"/>
      <c r="Q53" s="131"/>
      <c r="R53" s="131"/>
      <c r="S53" s="131"/>
      <c r="T53" s="131"/>
      <c r="U53" s="131"/>
      <c r="V53" s="131"/>
      <c r="W53" s="131"/>
      <c r="X53" s="133"/>
      <c r="Y53" s="133"/>
      <c r="Z53" s="130" t="n">
        <f aca="false">IF(OR($X53="",$Y53=""),0,$X53*$Y53)</f>
        <v>0</v>
      </c>
      <c r="AA53" s="133"/>
      <c r="AB53" s="133"/>
      <c r="AC53" s="130" t="str">
        <f aca="false">IF(OR($AA53="",$AB53=""),"",$AA53-$AB53)</f>
        <v/>
      </c>
      <c r="AD53" s="133"/>
      <c r="AE53" s="132"/>
      <c r="AF53" s="131"/>
      <c r="AG53" s="131"/>
      <c r="AH53" s="131"/>
      <c r="AI53" s="133"/>
      <c r="AJ53" s="133"/>
      <c r="AK53" s="130" t="n">
        <f aca="false">IF(AND($AD53&lt;&gt;"",$AD53&gt;0),$AD53,IF($AB53="",0,$AB53))</f>
        <v>0</v>
      </c>
      <c r="AL53" s="130" t="n">
        <f aca="false">$AK53-IF($AJ53="",0,$AJ53)</f>
        <v>0</v>
      </c>
      <c r="AM53" s="130" t="n">
        <f aca="false">$AK53-IF($AI53="",0,$AI53)</f>
        <v>0</v>
      </c>
      <c r="AN53" s="130" t="n">
        <f aca="false">IF($AK53=0,0,IF($AJ53="",0,$AJ53)/$AK53)</f>
        <v>0</v>
      </c>
      <c r="AO53" s="130" t="n">
        <f aca="false">$AK53-IF($AJ53="",0,$AJ53)</f>
        <v>0</v>
      </c>
      <c r="AP53" s="130" t="n">
        <f aca="false">IF($AK53=0,0,$AO53/$AK53)</f>
        <v>0</v>
      </c>
      <c r="AQ53" s="130" t="str">
        <f aca="false">IF($AK53=0,"",IF($AN53&gt;Seuil_Depassement,"Depassement",IF($AN53&gt;=Seuil_Vigilance,"Vigilance","Normal")))</f>
        <v/>
      </c>
      <c r="AR53" s="133"/>
      <c r="AS53" s="133"/>
      <c r="AT53" s="133"/>
      <c r="AU53" s="133"/>
      <c r="AV53" s="130" t="n">
        <f aca="false">SUM($AR53:$AU53)</f>
        <v>0</v>
      </c>
      <c r="AW53" s="130" t="n">
        <f aca="false">IF($AV53=0,0,$AR53/$AV53)</f>
        <v>0</v>
      </c>
      <c r="AX53" s="130" t="n">
        <f aca="false">IF($AV53=0,0,$AS53/$AV53)</f>
        <v>0</v>
      </c>
      <c r="AY53" s="131"/>
      <c r="AZ53" s="130" t="str">
        <f aca="false">IF($H53="","",COUNTIFS($H$28:$H53,$H53))</f>
        <v/>
      </c>
      <c r="BA53" s="130" t="str">
        <f aca="false">IF($H53="","",COUNTIFS($H$28:$H53,$H53,$B$28:$B53,$B53))</f>
        <v/>
      </c>
    </row>
    <row r="54" customFormat="false" ht="15" hidden="false" customHeight="true" outlineLevel="0" collapsed="false">
      <c r="A54" s="130" t="str">
        <f aca="false">IF($U54="","","BUD"&amp;TEXT(ROW()-27,"0000"))</f>
        <v/>
      </c>
      <c r="B54" s="131"/>
      <c r="C54" s="131"/>
      <c r="D54" s="132"/>
      <c r="E54" s="132"/>
      <c r="F54" s="131"/>
      <c r="G54" s="131"/>
      <c r="H54" s="131"/>
      <c r="I54" s="130" t="n">
        <f aca="false">IFERROR(INDEX(PROJETS!$C$56:$C$95,MATCH($H54,PROJETS!$A$56:$A$95,0)),"")</f>
        <v>0</v>
      </c>
      <c r="J54" s="130" t="n">
        <f aca="false">IFERROR(INDEX(PROJETS!$J$56:$J$95,MATCH($H54,PROJETS!$A$56:$A$95,0)),"")</f>
        <v>0</v>
      </c>
      <c r="K54" s="130" t="n">
        <f aca="false">IFERROR(INDEX(PROJETS!$N$56:$N$95,MATCH($H54,PROJETS!$A$56:$A$95,0)),"")</f>
        <v>0</v>
      </c>
      <c r="L54" s="131"/>
      <c r="M54" s="130" t="n">
        <f aca="false">IFERROR(INDEX(ACTIVITES!$G$56:$G$105,MATCH($L54,ACTIVITES!$A$56:$A$105,0)),"")</f>
        <v>0</v>
      </c>
      <c r="N54" s="131"/>
      <c r="O54" s="130" t="n">
        <f aca="false">IFERROR(INDEX(DONATEURS!$B$56:$B$205,MATCH($N54,DONATEURS!$A$56:$A$205,0)),"")</f>
        <v>0</v>
      </c>
      <c r="P54" s="131"/>
      <c r="Q54" s="131"/>
      <c r="R54" s="131"/>
      <c r="S54" s="131"/>
      <c r="T54" s="131"/>
      <c r="U54" s="131"/>
      <c r="V54" s="131"/>
      <c r="W54" s="131"/>
      <c r="X54" s="133"/>
      <c r="Y54" s="133"/>
      <c r="Z54" s="130" t="n">
        <f aca="false">IF(OR($X54="",$Y54=""),0,$X54*$Y54)</f>
        <v>0</v>
      </c>
      <c r="AA54" s="133"/>
      <c r="AB54" s="133"/>
      <c r="AC54" s="130" t="str">
        <f aca="false">IF(OR($AA54="",$AB54=""),"",$AA54-$AB54)</f>
        <v/>
      </c>
      <c r="AD54" s="133"/>
      <c r="AE54" s="132"/>
      <c r="AF54" s="131"/>
      <c r="AG54" s="131"/>
      <c r="AH54" s="131"/>
      <c r="AI54" s="133"/>
      <c r="AJ54" s="133"/>
      <c r="AK54" s="130" t="n">
        <f aca="false">IF(AND($AD54&lt;&gt;"",$AD54&gt;0),$AD54,IF($AB54="",0,$AB54))</f>
        <v>0</v>
      </c>
      <c r="AL54" s="130" t="n">
        <f aca="false">$AK54-IF($AJ54="",0,$AJ54)</f>
        <v>0</v>
      </c>
      <c r="AM54" s="130" t="n">
        <f aca="false">$AK54-IF($AI54="",0,$AI54)</f>
        <v>0</v>
      </c>
      <c r="AN54" s="130" t="n">
        <f aca="false">IF($AK54=0,0,IF($AJ54="",0,$AJ54)/$AK54)</f>
        <v>0</v>
      </c>
      <c r="AO54" s="130" t="n">
        <f aca="false">$AK54-IF($AJ54="",0,$AJ54)</f>
        <v>0</v>
      </c>
      <c r="AP54" s="130" t="n">
        <f aca="false">IF($AK54=0,0,$AO54/$AK54)</f>
        <v>0</v>
      </c>
      <c r="AQ54" s="130" t="str">
        <f aca="false">IF($AK54=0,"",IF($AN54&gt;Seuil_Depassement,"Depassement",IF($AN54&gt;=Seuil_Vigilance,"Vigilance","Normal")))</f>
        <v/>
      </c>
      <c r="AR54" s="133"/>
      <c r="AS54" s="133"/>
      <c r="AT54" s="133"/>
      <c r="AU54" s="133"/>
      <c r="AV54" s="130" t="n">
        <f aca="false">SUM($AR54:$AU54)</f>
        <v>0</v>
      </c>
      <c r="AW54" s="130" t="n">
        <f aca="false">IF($AV54=0,0,$AR54/$AV54)</f>
        <v>0</v>
      </c>
      <c r="AX54" s="130" t="n">
        <f aca="false">IF($AV54=0,0,$AS54/$AV54)</f>
        <v>0</v>
      </c>
      <c r="AY54" s="131"/>
      <c r="AZ54" s="130" t="str">
        <f aca="false">IF($H54="","",COUNTIFS($H$28:$H54,$H54))</f>
        <v/>
      </c>
      <c r="BA54" s="130" t="str">
        <f aca="false">IF($H54="","",COUNTIFS($H$28:$H54,$H54,$B$28:$B54,$B54))</f>
        <v/>
      </c>
    </row>
    <row r="55" customFormat="false" ht="15" hidden="false" customHeight="true" outlineLevel="0" collapsed="false">
      <c r="A55" s="130" t="str">
        <f aca="false">IF($U55="","","BUD"&amp;TEXT(ROW()-27,"0000"))</f>
        <v/>
      </c>
      <c r="B55" s="131"/>
      <c r="C55" s="131"/>
      <c r="D55" s="132"/>
      <c r="E55" s="132"/>
      <c r="F55" s="131"/>
      <c r="G55" s="131"/>
      <c r="H55" s="131"/>
      <c r="I55" s="130" t="n">
        <f aca="false">IFERROR(INDEX(PROJETS!$C$56:$C$95,MATCH($H55,PROJETS!$A$56:$A$95,0)),"")</f>
        <v>0</v>
      </c>
      <c r="J55" s="130" t="n">
        <f aca="false">IFERROR(INDEX(PROJETS!$J$56:$J$95,MATCH($H55,PROJETS!$A$56:$A$95,0)),"")</f>
        <v>0</v>
      </c>
      <c r="K55" s="130" t="n">
        <f aca="false">IFERROR(INDEX(PROJETS!$N$56:$N$95,MATCH($H55,PROJETS!$A$56:$A$95,0)),"")</f>
        <v>0</v>
      </c>
      <c r="L55" s="131"/>
      <c r="M55" s="130" t="n">
        <f aca="false">IFERROR(INDEX(ACTIVITES!$G$56:$G$105,MATCH($L55,ACTIVITES!$A$56:$A$105,0)),"")</f>
        <v>0</v>
      </c>
      <c r="N55" s="131"/>
      <c r="O55" s="130" t="n">
        <f aca="false">IFERROR(INDEX(DONATEURS!$B$56:$B$205,MATCH($N55,DONATEURS!$A$56:$A$205,0)),"")</f>
        <v>0</v>
      </c>
      <c r="P55" s="131"/>
      <c r="Q55" s="131"/>
      <c r="R55" s="131"/>
      <c r="S55" s="131"/>
      <c r="T55" s="131"/>
      <c r="U55" s="131"/>
      <c r="V55" s="131"/>
      <c r="W55" s="131"/>
      <c r="X55" s="133"/>
      <c r="Y55" s="133"/>
      <c r="Z55" s="130" t="n">
        <f aca="false">IF(OR($X55="",$Y55=""),0,$X55*$Y55)</f>
        <v>0</v>
      </c>
      <c r="AA55" s="133"/>
      <c r="AB55" s="133"/>
      <c r="AC55" s="130" t="str">
        <f aca="false">IF(OR($AA55="",$AB55=""),"",$AA55-$AB55)</f>
        <v/>
      </c>
      <c r="AD55" s="133"/>
      <c r="AE55" s="132"/>
      <c r="AF55" s="131"/>
      <c r="AG55" s="131"/>
      <c r="AH55" s="131"/>
      <c r="AI55" s="133"/>
      <c r="AJ55" s="133"/>
      <c r="AK55" s="130" t="n">
        <f aca="false">IF(AND($AD55&lt;&gt;"",$AD55&gt;0),$AD55,IF($AB55="",0,$AB55))</f>
        <v>0</v>
      </c>
      <c r="AL55" s="130" t="n">
        <f aca="false">$AK55-IF($AJ55="",0,$AJ55)</f>
        <v>0</v>
      </c>
      <c r="AM55" s="130" t="n">
        <f aca="false">$AK55-IF($AI55="",0,$AI55)</f>
        <v>0</v>
      </c>
      <c r="AN55" s="130" t="n">
        <f aca="false">IF($AK55=0,0,IF($AJ55="",0,$AJ55)/$AK55)</f>
        <v>0</v>
      </c>
      <c r="AO55" s="130" t="n">
        <f aca="false">$AK55-IF($AJ55="",0,$AJ55)</f>
        <v>0</v>
      </c>
      <c r="AP55" s="130" t="n">
        <f aca="false">IF($AK55=0,0,$AO55/$AK55)</f>
        <v>0</v>
      </c>
      <c r="AQ55" s="130" t="str">
        <f aca="false">IF($AK55=0,"",IF($AN55&gt;Seuil_Depassement,"Depassement",IF($AN55&gt;=Seuil_Vigilance,"Vigilance","Normal")))</f>
        <v/>
      </c>
      <c r="AR55" s="133"/>
      <c r="AS55" s="133"/>
      <c r="AT55" s="133"/>
      <c r="AU55" s="133"/>
      <c r="AV55" s="130" t="n">
        <f aca="false">SUM($AR55:$AU55)</f>
        <v>0</v>
      </c>
      <c r="AW55" s="130" t="n">
        <f aca="false">IF($AV55=0,0,$AR55/$AV55)</f>
        <v>0</v>
      </c>
      <c r="AX55" s="130" t="n">
        <f aca="false">IF($AV55=0,0,$AS55/$AV55)</f>
        <v>0</v>
      </c>
      <c r="AY55" s="131"/>
      <c r="AZ55" s="130" t="str">
        <f aca="false">IF($H55="","",COUNTIFS($H$28:$H55,$H55))</f>
        <v/>
      </c>
      <c r="BA55" s="130" t="str">
        <f aca="false">IF($H55="","",COUNTIFS($H$28:$H55,$H55,$B$28:$B55,$B55))</f>
        <v/>
      </c>
    </row>
    <row r="56" customFormat="false" ht="15" hidden="false" customHeight="true" outlineLevel="0" collapsed="false">
      <c r="A56" s="130" t="str">
        <f aca="false">IF($U56="","","BUD"&amp;TEXT(ROW()-27,"0000"))</f>
        <v/>
      </c>
      <c r="B56" s="131"/>
      <c r="C56" s="131"/>
      <c r="D56" s="132"/>
      <c r="E56" s="132"/>
      <c r="F56" s="131"/>
      <c r="G56" s="131"/>
      <c r="H56" s="131"/>
      <c r="I56" s="130" t="n">
        <f aca="false">IFERROR(INDEX(PROJETS!$C$56:$C$95,MATCH($H56,PROJETS!$A$56:$A$95,0)),"")</f>
        <v>0</v>
      </c>
      <c r="J56" s="130" t="n">
        <f aca="false">IFERROR(INDEX(PROJETS!$J$56:$J$95,MATCH($H56,PROJETS!$A$56:$A$95,0)),"")</f>
        <v>0</v>
      </c>
      <c r="K56" s="130" t="n">
        <f aca="false">IFERROR(INDEX(PROJETS!$N$56:$N$95,MATCH($H56,PROJETS!$A$56:$A$95,0)),"")</f>
        <v>0</v>
      </c>
      <c r="L56" s="131"/>
      <c r="M56" s="130" t="n">
        <f aca="false">IFERROR(INDEX(ACTIVITES!$G$56:$G$105,MATCH($L56,ACTIVITES!$A$56:$A$105,0)),"")</f>
        <v>0</v>
      </c>
      <c r="N56" s="131"/>
      <c r="O56" s="130" t="n">
        <f aca="false">IFERROR(INDEX(DONATEURS!$B$56:$B$205,MATCH($N56,DONATEURS!$A$56:$A$205,0)),"")</f>
        <v>0</v>
      </c>
      <c r="P56" s="131"/>
      <c r="Q56" s="131"/>
      <c r="R56" s="131"/>
      <c r="S56" s="131"/>
      <c r="T56" s="131"/>
      <c r="U56" s="131"/>
      <c r="V56" s="131"/>
      <c r="W56" s="131"/>
      <c r="X56" s="133"/>
      <c r="Y56" s="133"/>
      <c r="Z56" s="130" t="n">
        <f aca="false">IF(OR($X56="",$Y56=""),0,$X56*$Y56)</f>
        <v>0</v>
      </c>
      <c r="AA56" s="133"/>
      <c r="AB56" s="133"/>
      <c r="AC56" s="130" t="str">
        <f aca="false">IF(OR($AA56="",$AB56=""),"",$AA56-$AB56)</f>
        <v/>
      </c>
      <c r="AD56" s="133"/>
      <c r="AE56" s="132"/>
      <c r="AF56" s="131"/>
      <c r="AG56" s="131"/>
      <c r="AH56" s="131"/>
      <c r="AI56" s="133"/>
      <c r="AJ56" s="133"/>
      <c r="AK56" s="130" t="n">
        <f aca="false">IF(AND($AD56&lt;&gt;"",$AD56&gt;0),$AD56,IF($AB56="",0,$AB56))</f>
        <v>0</v>
      </c>
      <c r="AL56" s="130" t="n">
        <f aca="false">$AK56-IF($AJ56="",0,$AJ56)</f>
        <v>0</v>
      </c>
      <c r="AM56" s="130" t="n">
        <f aca="false">$AK56-IF($AI56="",0,$AI56)</f>
        <v>0</v>
      </c>
      <c r="AN56" s="130" t="n">
        <f aca="false">IF($AK56=0,0,IF($AJ56="",0,$AJ56)/$AK56)</f>
        <v>0</v>
      </c>
      <c r="AO56" s="130" t="n">
        <f aca="false">$AK56-IF($AJ56="",0,$AJ56)</f>
        <v>0</v>
      </c>
      <c r="AP56" s="130" t="n">
        <f aca="false">IF($AK56=0,0,$AO56/$AK56)</f>
        <v>0</v>
      </c>
      <c r="AQ56" s="130" t="str">
        <f aca="false">IF($AK56=0,"",IF($AN56&gt;Seuil_Depassement,"Depassement",IF($AN56&gt;=Seuil_Vigilance,"Vigilance","Normal")))</f>
        <v/>
      </c>
      <c r="AR56" s="133"/>
      <c r="AS56" s="133"/>
      <c r="AT56" s="133"/>
      <c r="AU56" s="133"/>
      <c r="AV56" s="130" t="n">
        <f aca="false">SUM($AR56:$AU56)</f>
        <v>0</v>
      </c>
      <c r="AW56" s="130" t="n">
        <f aca="false">IF($AV56=0,0,$AR56/$AV56)</f>
        <v>0</v>
      </c>
      <c r="AX56" s="130" t="n">
        <f aca="false">IF($AV56=0,0,$AS56/$AV56)</f>
        <v>0</v>
      </c>
      <c r="AY56" s="131"/>
      <c r="AZ56" s="130" t="str">
        <f aca="false">IF($H56="","",COUNTIFS($H$28:$H56,$H56))</f>
        <v/>
      </c>
      <c r="BA56" s="130" t="str">
        <f aca="false">IF($H56="","",COUNTIFS($H$28:$H56,$H56,$B$28:$B56,$B56))</f>
        <v/>
      </c>
    </row>
    <row r="57" customFormat="false" ht="15" hidden="false" customHeight="true" outlineLevel="0" collapsed="false">
      <c r="A57" s="130" t="str">
        <f aca="false">IF($U57="","","BUD"&amp;TEXT(ROW()-27,"0000"))</f>
        <v/>
      </c>
      <c r="B57" s="131"/>
      <c r="C57" s="131"/>
      <c r="D57" s="132"/>
      <c r="E57" s="132"/>
      <c r="F57" s="131"/>
      <c r="G57" s="131"/>
      <c r="H57" s="131"/>
      <c r="I57" s="130" t="n">
        <f aca="false">IFERROR(INDEX(PROJETS!$C$56:$C$95,MATCH($H57,PROJETS!$A$56:$A$95,0)),"")</f>
        <v>0</v>
      </c>
      <c r="J57" s="130" t="n">
        <f aca="false">IFERROR(INDEX(PROJETS!$J$56:$J$95,MATCH($H57,PROJETS!$A$56:$A$95,0)),"")</f>
        <v>0</v>
      </c>
      <c r="K57" s="130" t="n">
        <f aca="false">IFERROR(INDEX(PROJETS!$N$56:$N$95,MATCH($H57,PROJETS!$A$56:$A$95,0)),"")</f>
        <v>0</v>
      </c>
      <c r="L57" s="131"/>
      <c r="M57" s="130" t="n">
        <f aca="false">IFERROR(INDEX(ACTIVITES!$G$56:$G$105,MATCH($L57,ACTIVITES!$A$56:$A$105,0)),"")</f>
        <v>0</v>
      </c>
      <c r="N57" s="131"/>
      <c r="O57" s="130" t="n">
        <f aca="false">IFERROR(INDEX(DONATEURS!$B$56:$B$205,MATCH($N57,DONATEURS!$A$56:$A$205,0)),"")</f>
        <v>0</v>
      </c>
      <c r="P57" s="131"/>
      <c r="Q57" s="131"/>
      <c r="R57" s="131"/>
      <c r="S57" s="131"/>
      <c r="T57" s="131"/>
      <c r="U57" s="131"/>
      <c r="V57" s="131"/>
      <c r="W57" s="131"/>
      <c r="X57" s="133"/>
      <c r="Y57" s="133"/>
      <c r="Z57" s="130" t="n">
        <f aca="false">IF(OR($X57="",$Y57=""),0,$X57*$Y57)</f>
        <v>0</v>
      </c>
      <c r="AA57" s="133"/>
      <c r="AB57" s="133"/>
      <c r="AC57" s="130" t="str">
        <f aca="false">IF(OR($AA57="",$AB57=""),"",$AA57-$AB57)</f>
        <v/>
      </c>
      <c r="AD57" s="133"/>
      <c r="AE57" s="132"/>
      <c r="AF57" s="131"/>
      <c r="AG57" s="131"/>
      <c r="AH57" s="131"/>
      <c r="AI57" s="133"/>
      <c r="AJ57" s="133"/>
      <c r="AK57" s="130" t="n">
        <f aca="false">IF(AND($AD57&lt;&gt;"",$AD57&gt;0),$AD57,IF($AB57="",0,$AB57))</f>
        <v>0</v>
      </c>
      <c r="AL57" s="130" t="n">
        <f aca="false">$AK57-IF($AJ57="",0,$AJ57)</f>
        <v>0</v>
      </c>
      <c r="AM57" s="130" t="n">
        <f aca="false">$AK57-IF($AI57="",0,$AI57)</f>
        <v>0</v>
      </c>
      <c r="AN57" s="130" t="n">
        <f aca="false">IF($AK57=0,0,IF($AJ57="",0,$AJ57)/$AK57)</f>
        <v>0</v>
      </c>
      <c r="AO57" s="130" t="n">
        <f aca="false">$AK57-IF($AJ57="",0,$AJ57)</f>
        <v>0</v>
      </c>
      <c r="AP57" s="130" t="n">
        <f aca="false">IF($AK57=0,0,$AO57/$AK57)</f>
        <v>0</v>
      </c>
      <c r="AQ57" s="130" t="str">
        <f aca="false">IF($AK57=0,"",IF($AN57&gt;Seuil_Depassement,"Depassement",IF($AN57&gt;=Seuil_Vigilance,"Vigilance","Normal")))</f>
        <v/>
      </c>
      <c r="AR57" s="133"/>
      <c r="AS57" s="133"/>
      <c r="AT57" s="133"/>
      <c r="AU57" s="133"/>
      <c r="AV57" s="130" t="n">
        <f aca="false">SUM($AR57:$AU57)</f>
        <v>0</v>
      </c>
      <c r="AW57" s="130" t="n">
        <f aca="false">IF($AV57=0,0,$AR57/$AV57)</f>
        <v>0</v>
      </c>
      <c r="AX57" s="130" t="n">
        <f aca="false">IF($AV57=0,0,$AS57/$AV57)</f>
        <v>0</v>
      </c>
      <c r="AY57" s="131"/>
      <c r="AZ57" s="130" t="str">
        <f aca="false">IF($H57="","",COUNTIFS($H$28:$H57,$H57))</f>
        <v/>
      </c>
      <c r="BA57" s="130" t="str">
        <f aca="false">IF($H57="","",COUNTIFS($H$28:$H57,$H57,$B$28:$B57,$B57))</f>
        <v/>
      </c>
    </row>
    <row r="58" customFormat="false" ht="15" hidden="false" customHeight="true" outlineLevel="0" collapsed="false">
      <c r="A58" s="130" t="str">
        <f aca="false">IF($U58="","","BUD"&amp;TEXT(ROW()-27,"0000"))</f>
        <v/>
      </c>
      <c r="B58" s="131"/>
      <c r="C58" s="131"/>
      <c r="D58" s="132"/>
      <c r="E58" s="132"/>
      <c r="F58" s="131"/>
      <c r="G58" s="131"/>
      <c r="H58" s="131"/>
      <c r="I58" s="130" t="n">
        <f aca="false">IFERROR(INDEX(PROJETS!$C$56:$C$95,MATCH($H58,PROJETS!$A$56:$A$95,0)),"")</f>
        <v>0</v>
      </c>
      <c r="J58" s="130" t="n">
        <f aca="false">IFERROR(INDEX(PROJETS!$J$56:$J$95,MATCH($H58,PROJETS!$A$56:$A$95,0)),"")</f>
        <v>0</v>
      </c>
      <c r="K58" s="130" t="n">
        <f aca="false">IFERROR(INDEX(PROJETS!$N$56:$N$95,MATCH($H58,PROJETS!$A$56:$A$95,0)),"")</f>
        <v>0</v>
      </c>
      <c r="L58" s="131"/>
      <c r="M58" s="130" t="n">
        <f aca="false">IFERROR(INDEX(ACTIVITES!$G$56:$G$105,MATCH($L58,ACTIVITES!$A$56:$A$105,0)),"")</f>
        <v>0</v>
      </c>
      <c r="N58" s="131"/>
      <c r="O58" s="130" t="n">
        <f aca="false">IFERROR(INDEX(DONATEURS!$B$56:$B$205,MATCH($N58,DONATEURS!$A$56:$A$205,0)),"")</f>
        <v>0</v>
      </c>
      <c r="P58" s="131"/>
      <c r="Q58" s="131"/>
      <c r="R58" s="131"/>
      <c r="S58" s="131"/>
      <c r="T58" s="131"/>
      <c r="U58" s="131"/>
      <c r="V58" s="131"/>
      <c r="W58" s="131"/>
      <c r="X58" s="133"/>
      <c r="Y58" s="133"/>
      <c r="Z58" s="130" t="n">
        <f aca="false">IF(OR($X58="",$Y58=""),0,$X58*$Y58)</f>
        <v>0</v>
      </c>
      <c r="AA58" s="133"/>
      <c r="AB58" s="133"/>
      <c r="AC58" s="130" t="str">
        <f aca="false">IF(OR($AA58="",$AB58=""),"",$AA58-$AB58)</f>
        <v/>
      </c>
      <c r="AD58" s="133"/>
      <c r="AE58" s="132"/>
      <c r="AF58" s="131"/>
      <c r="AG58" s="131"/>
      <c r="AH58" s="131"/>
      <c r="AI58" s="133"/>
      <c r="AJ58" s="133"/>
      <c r="AK58" s="130" t="n">
        <f aca="false">IF(AND($AD58&lt;&gt;"",$AD58&gt;0),$AD58,IF($AB58="",0,$AB58))</f>
        <v>0</v>
      </c>
      <c r="AL58" s="130" t="n">
        <f aca="false">$AK58-IF($AJ58="",0,$AJ58)</f>
        <v>0</v>
      </c>
      <c r="AM58" s="130" t="n">
        <f aca="false">$AK58-IF($AI58="",0,$AI58)</f>
        <v>0</v>
      </c>
      <c r="AN58" s="130" t="n">
        <f aca="false">IF($AK58=0,0,IF($AJ58="",0,$AJ58)/$AK58)</f>
        <v>0</v>
      </c>
      <c r="AO58" s="130" t="n">
        <f aca="false">$AK58-IF($AJ58="",0,$AJ58)</f>
        <v>0</v>
      </c>
      <c r="AP58" s="130" t="n">
        <f aca="false">IF($AK58=0,0,$AO58/$AK58)</f>
        <v>0</v>
      </c>
      <c r="AQ58" s="130" t="str">
        <f aca="false">IF($AK58=0,"",IF($AN58&gt;Seuil_Depassement,"Depassement",IF($AN58&gt;=Seuil_Vigilance,"Vigilance","Normal")))</f>
        <v/>
      </c>
      <c r="AR58" s="133"/>
      <c r="AS58" s="133"/>
      <c r="AT58" s="133"/>
      <c r="AU58" s="133"/>
      <c r="AV58" s="130" t="n">
        <f aca="false">SUM($AR58:$AU58)</f>
        <v>0</v>
      </c>
      <c r="AW58" s="130" t="n">
        <f aca="false">IF($AV58=0,0,$AR58/$AV58)</f>
        <v>0</v>
      </c>
      <c r="AX58" s="130" t="n">
        <f aca="false">IF($AV58=0,0,$AS58/$AV58)</f>
        <v>0</v>
      </c>
      <c r="AY58" s="131"/>
      <c r="AZ58" s="130" t="str">
        <f aca="false">IF($H58="","",COUNTIFS($H$28:$H58,$H58))</f>
        <v/>
      </c>
      <c r="BA58" s="130" t="str">
        <f aca="false">IF($H58="","",COUNTIFS($H$28:$H58,$H58,$B$28:$B58,$B58))</f>
        <v/>
      </c>
    </row>
    <row r="59" customFormat="false" ht="15" hidden="false" customHeight="true" outlineLevel="0" collapsed="false">
      <c r="A59" s="130" t="str">
        <f aca="false">IF($U59="","","BUD"&amp;TEXT(ROW()-27,"0000"))</f>
        <v/>
      </c>
      <c r="B59" s="131"/>
      <c r="C59" s="131"/>
      <c r="D59" s="132"/>
      <c r="E59" s="132"/>
      <c r="F59" s="131"/>
      <c r="G59" s="131"/>
      <c r="H59" s="131"/>
      <c r="I59" s="130" t="n">
        <f aca="false">IFERROR(INDEX(PROJETS!$C$56:$C$95,MATCH($H59,PROJETS!$A$56:$A$95,0)),"")</f>
        <v>0</v>
      </c>
      <c r="J59" s="130" t="n">
        <f aca="false">IFERROR(INDEX(PROJETS!$J$56:$J$95,MATCH($H59,PROJETS!$A$56:$A$95,0)),"")</f>
        <v>0</v>
      </c>
      <c r="K59" s="130" t="n">
        <f aca="false">IFERROR(INDEX(PROJETS!$N$56:$N$95,MATCH($H59,PROJETS!$A$56:$A$95,0)),"")</f>
        <v>0</v>
      </c>
      <c r="L59" s="131"/>
      <c r="M59" s="130" t="n">
        <f aca="false">IFERROR(INDEX(ACTIVITES!$G$56:$G$105,MATCH($L59,ACTIVITES!$A$56:$A$105,0)),"")</f>
        <v>0</v>
      </c>
      <c r="N59" s="131"/>
      <c r="O59" s="130" t="n">
        <f aca="false">IFERROR(INDEX(DONATEURS!$B$56:$B$205,MATCH($N59,DONATEURS!$A$56:$A$205,0)),"")</f>
        <v>0</v>
      </c>
      <c r="P59" s="131"/>
      <c r="Q59" s="131"/>
      <c r="R59" s="131"/>
      <c r="S59" s="131"/>
      <c r="T59" s="131"/>
      <c r="U59" s="131"/>
      <c r="V59" s="131"/>
      <c r="W59" s="131"/>
      <c r="X59" s="133"/>
      <c r="Y59" s="133"/>
      <c r="Z59" s="130" t="n">
        <f aca="false">IF(OR($X59="",$Y59=""),0,$X59*$Y59)</f>
        <v>0</v>
      </c>
      <c r="AA59" s="133"/>
      <c r="AB59" s="133"/>
      <c r="AC59" s="130" t="str">
        <f aca="false">IF(OR($AA59="",$AB59=""),"",$AA59-$AB59)</f>
        <v/>
      </c>
      <c r="AD59" s="133"/>
      <c r="AE59" s="132"/>
      <c r="AF59" s="131"/>
      <c r="AG59" s="131"/>
      <c r="AH59" s="131"/>
      <c r="AI59" s="133"/>
      <c r="AJ59" s="133"/>
      <c r="AK59" s="130" t="n">
        <f aca="false">IF(AND($AD59&lt;&gt;"",$AD59&gt;0),$AD59,IF($AB59="",0,$AB59))</f>
        <v>0</v>
      </c>
      <c r="AL59" s="130" t="n">
        <f aca="false">$AK59-IF($AJ59="",0,$AJ59)</f>
        <v>0</v>
      </c>
      <c r="AM59" s="130" t="n">
        <f aca="false">$AK59-IF($AI59="",0,$AI59)</f>
        <v>0</v>
      </c>
      <c r="AN59" s="130" t="n">
        <f aca="false">IF($AK59=0,0,IF($AJ59="",0,$AJ59)/$AK59)</f>
        <v>0</v>
      </c>
      <c r="AO59" s="130" t="n">
        <f aca="false">$AK59-IF($AJ59="",0,$AJ59)</f>
        <v>0</v>
      </c>
      <c r="AP59" s="130" t="n">
        <f aca="false">IF($AK59=0,0,$AO59/$AK59)</f>
        <v>0</v>
      </c>
      <c r="AQ59" s="130" t="str">
        <f aca="false">IF($AK59=0,"",IF($AN59&gt;Seuil_Depassement,"Depassement",IF($AN59&gt;=Seuil_Vigilance,"Vigilance","Normal")))</f>
        <v/>
      </c>
      <c r="AR59" s="133"/>
      <c r="AS59" s="133"/>
      <c r="AT59" s="133"/>
      <c r="AU59" s="133"/>
      <c r="AV59" s="130" t="n">
        <f aca="false">SUM($AR59:$AU59)</f>
        <v>0</v>
      </c>
      <c r="AW59" s="130" t="n">
        <f aca="false">IF($AV59=0,0,$AR59/$AV59)</f>
        <v>0</v>
      </c>
      <c r="AX59" s="130" t="n">
        <f aca="false">IF($AV59=0,0,$AS59/$AV59)</f>
        <v>0</v>
      </c>
      <c r="AY59" s="131"/>
      <c r="AZ59" s="130" t="str">
        <f aca="false">IF($H59="","",COUNTIFS($H$28:$H59,$H59))</f>
        <v/>
      </c>
      <c r="BA59" s="130" t="str">
        <f aca="false">IF($H59="","",COUNTIFS($H$28:$H59,$H59,$B$28:$B59,$B59))</f>
        <v/>
      </c>
    </row>
    <row r="60" customFormat="false" ht="15" hidden="false" customHeight="true" outlineLevel="0" collapsed="false">
      <c r="A60" s="130" t="str">
        <f aca="false">IF($U60="","","BUD"&amp;TEXT(ROW()-27,"0000"))</f>
        <v/>
      </c>
      <c r="B60" s="131"/>
      <c r="C60" s="131"/>
      <c r="D60" s="132"/>
      <c r="E60" s="132"/>
      <c r="F60" s="131"/>
      <c r="G60" s="131"/>
      <c r="H60" s="131"/>
      <c r="I60" s="130" t="n">
        <f aca="false">IFERROR(INDEX(PROJETS!$C$56:$C$95,MATCH($H60,PROJETS!$A$56:$A$95,0)),"")</f>
        <v>0</v>
      </c>
      <c r="J60" s="130" t="n">
        <f aca="false">IFERROR(INDEX(PROJETS!$J$56:$J$95,MATCH($H60,PROJETS!$A$56:$A$95,0)),"")</f>
        <v>0</v>
      </c>
      <c r="K60" s="130" t="n">
        <f aca="false">IFERROR(INDEX(PROJETS!$N$56:$N$95,MATCH($H60,PROJETS!$A$56:$A$95,0)),"")</f>
        <v>0</v>
      </c>
      <c r="L60" s="131"/>
      <c r="M60" s="130" t="n">
        <f aca="false">IFERROR(INDEX(ACTIVITES!$G$56:$G$105,MATCH($L60,ACTIVITES!$A$56:$A$105,0)),"")</f>
        <v>0</v>
      </c>
      <c r="N60" s="131"/>
      <c r="O60" s="130" t="n">
        <f aca="false">IFERROR(INDEX(DONATEURS!$B$56:$B$205,MATCH($N60,DONATEURS!$A$56:$A$205,0)),"")</f>
        <v>0</v>
      </c>
      <c r="P60" s="131"/>
      <c r="Q60" s="131"/>
      <c r="R60" s="131"/>
      <c r="S60" s="131"/>
      <c r="T60" s="131"/>
      <c r="U60" s="131"/>
      <c r="V60" s="131"/>
      <c r="W60" s="131"/>
      <c r="X60" s="133"/>
      <c r="Y60" s="133"/>
      <c r="Z60" s="130" t="n">
        <f aca="false">IF(OR($X60="",$Y60=""),0,$X60*$Y60)</f>
        <v>0</v>
      </c>
      <c r="AA60" s="133"/>
      <c r="AB60" s="133"/>
      <c r="AC60" s="130" t="str">
        <f aca="false">IF(OR($AA60="",$AB60=""),"",$AA60-$AB60)</f>
        <v/>
      </c>
      <c r="AD60" s="133"/>
      <c r="AE60" s="132"/>
      <c r="AF60" s="131"/>
      <c r="AG60" s="131"/>
      <c r="AH60" s="131"/>
      <c r="AI60" s="133"/>
      <c r="AJ60" s="133"/>
      <c r="AK60" s="130" t="n">
        <f aca="false">IF(AND($AD60&lt;&gt;"",$AD60&gt;0),$AD60,IF($AB60="",0,$AB60))</f>
        <v>0</v>
      </c>
      <c r="AL60" s="130" t="n">
        <f aca="false">$AK60-IF($AJ60="",0,$AJ60)</f>
        <v>0</v>
      </c>
      <c r="AM60" s="130" t="n">
        <f aca="false">$AK60-IF($AI60="",0,$AI60)</f>
        <v>0</v>
      </c>
      <c r="AN60" s="130" t="n">
        <f aca="false">IF($AK60=0,0,IF($AJ60="",0,$AJ60)/$AK60)</f>
        <v>0</v>
      </c>
      <c r="AO60" s="130" t="n">
        <f aca="false">$AK60-IF($AJ60="",0,$AJ60)</f>
        <v>0</v>
      </c>
      <c r="AP60" s="130" t="n">
        <f aca="false">IF($AK60=0,0,$AO60/$AK60)</f>
        <v>0</v>
      </c>
      <c r="AQ60" s="130" t="str">
        <f aca="false">IF($AK60=0,"",IF($AN60&gt;Seuil_Depassement,"Depassement",IF($AN60&gt;=Seuil_Vigilance,"Vigilance","Normal")))</f>
        <v/>
      </c>
      <c r="AR60" s="133"/>
      <c r="AS60" s="133"/>
      <c r="AT60" s="133"/>
      <c r="AU60" s="133"/>
      <c r="AV60" s="130" t="n">
        <f aca="false">SUM($AR60:$AU60)</f>
        <v>0</v>
      </c>
      <c r="AW60" s="130" t="n">
        <f aca="false">IF($AV60=0,0,$AR60/$AV60)</f>
        <v>0</v>
      </c>
      <c r="AX60" s="130" t="n">
        <f aca="false">IF($AV60=0,0,$AS60/$AV60)</f>
        <v>0</v>
      </c>
      <c r="AY60" s="131"/>
      <c r="AZ60" s="130" t="str">
        <f aca="false">IF($H60="","",COUNTIFS($H$28:$H60,$H60))</f>
        <v/>
      </c>
      <c r="BA60" s="130" t="str">
        <f aca="false">IF($H60="","",COUNTIFS($H$28:$H60,$H60,$B$28:$B60,$B60))</f>
        <v/>
      </c>
    </row>
    <row r="61" customFormat="false" ht="15" hidden="false" customHeight="true" outlineLevel="0" collapsed="false">
      <c r="A61" s="130" t="str">
        <f aca="false">IF($U61="","","BUD"&amp;TEXT(ROW()-27,"0000"))</f>
        <v/>
      </c>
      <c r="B61" s="131"/>
      <c r="C61" s="131"/>
      <c r="D61" s="132"/>
      <c r="E61" s="132"/>
      <c r="F61" s="131"/>
      <c r="G61" s="131"/>
      <c r="H61" s="131"/>
      <c r="I61" s="130" t="n">
        <f aca="false">IFERROR(INDEX(PROJETS!$C$56:$C$95,MATCH($H61,PROJETS!$A$56:$A$95,0)),"")</f>
        <v>0</v>
      </c>
      <c r="J61" s="130" t="n">
        <f aca="false">IFERROR(INDEX(PROJETS!$J$56:$J$95,MATCH($H61,PROJETS!$A$56:$A$95,0)),"")</f>
        <v>0</v>
      </c>
      <c r="K61" s="130" t="n">
        <f aca="false">IFERROR(INDEX(PROJETS!$N$56:$N$95,MATCH($H61,PROJETS!$A$56:$A$95,0)),"")</f>
        <v>0</v>
      </c>
      <c r="L61" s="131"/>
      <c r="M61" s="130" t="n">
        <f aca="false">IFERROR(INDEX(ACTIVITES!$G$56:$G$105,MATCH($L61,ACTIVITES!$A$56:$A$105,0)),"")</f>
        <v>0</v>
      </c>
      <c r="N61" s="131"/>
      <c r="O61" s="130" t="n">
        <f aca="false">IFERROR(INDEX(DONATEURS!$B$56:$B$205,MATCH($N61,DONATEURS!$A$56:$A$205,0)),"")</f>
        <v>0</v>
      </c>
      <c r="P61" s="131"/>
      <c r="Q61" s="131"/>
      <c r="R61" s="131"/>
      <c r="S61" s="131"/>
      <c r="T61" s="131"/>
      <c r="U61" s="131"/>
      <c r="V61" s="131"/>
      <c r="W61" s="131"/>
      <c r="X61" s="133"/>
      <c r="Y61" s="133"/>
      <c r="Z61" s="130" t="n">
        <f aca="false">IF(OR($X61="",$Y61=""),0,$X61*$Y61)</f>
        <v>0</v>
      </c>
      <c r="AA61" s="133"/>
      <c r="AB61" s="133"/>
      <c r="AC61" s="130" t="str">
        <f aca="false">IF(OR($AA61="",$AB61=""),"",$AA61-$AB61)</f>
        <v/>
      </c>
      <c r="AD61" s="133"/>
      <c r="AE61" s="132"/>
      <c r="AF61" s="131"/>
      <c r="AG61" s="131"/>
      <c r="AH61" s="131"/>
      <c r="AI61" s="133"/>
      <c r="AJ61" s="133"/>
      <c r="AK61" s="130" t="n">
        <f aca="false">IF(AND($AD61&lt;&gt;"",$AD61&gt;0),$AD61,IF($AB61="",0,$AB61))</f>
        <v>0</v>
      </c>
      <c r="AL61" s="130" t="n">
        <f aca="false">$AK61-IF($AJ61="",0,$AJ61)</f>
        <v>0</v>
      </c>
      <c r="AM61" s="130" t="n">
        <f aca="false">$AK61-IF($AI61="",0,$AI61)</f>
        <v>0</v>
      </c>
      <c r="AN61" s="130" t="n">
        <f aca="false">IF($AK61=0,0,IF($AJ61="",0,$AJ61)/$AK61)</f>
        <v>0</v>
      </c>
      <c r="AO61" s="130" t="n">
        <f aca="false">$AK61-IF($AJ61="",0,$AJ61)</f>
        <v>0</v>
      </c>
      <c r="AP61" s="130" t="n">
        <f aca="false">IF($AK61=0,0,$AO61/$AK61)</f>
        <v>0</v>
      </c>
      <c r="AQ61" s="130" t="str">
        <f aca="false">IF($AK61=0,"",IF($AN61&gt;Seuil_Depassement,"Depassement",IF($AN61&gt;=Seuil_Vigilance,"Vigilance","Normal")))</f>
        <v/>
      </c>
      <c r="AR61" s="133"/>
      <c r="AS61" s="133"/>
      <c r="AT61" s="133"/>
      <c r="AU61" s="133"/>
      <c r="AV61" s="130" t="n">
        <f aca="false">SUM($AR61:$AU61)</f>
        <v>0</v>
      </c>
      <c r="AW61" s="130" t="n">
        <f aca="false">IF($AV61=0,0,$AR61/$AV61)</f>
        <v>0</v>
      </c>
      <c r="AX61" s="130" t="n">
        <f aca="false">IF($AV61=0,0,$AS61/$AV61)</f>
        <v>0</v>
      </c>
      <c r="AY61" s="131"/>
      <c r="AZ61" s="130" t="str">
        <f aca="false">IF($H61="","",COUNTIFS($H$28:$H61,$H61))</f>
        <v/>
      </c>
      <c r="BA61" s="130" t="str">
        <f aca="false">IF($H61="","",COUNTIFS($H$28:$H61,$H61,$B$28:$B61,$B61))</f>
        <v/>
      </c>
    </row>
    <row r="62" customFormat="false" ht="15" hidden="false" customHeight="true" outlineLevel="0" collapsed="false">
      <c r="A62" s="130" t="str">
        <f aca="false">IF($U62="","","BUD"&amp;TEXT(ROW()-27,"0000"))</f>
        <v/>
      </c>
      <c r="B62" s="131"/>
      <c r="C62" s="131"/>
      <c r="D62" s="132"/>
      <c r="E62" s="132"/>
      <c r="F62" s="131"/>
      <c r="G62" s="131"/>
      <c r="H62" s="131"/>
      <c r="I62" s="130" t="n">
        <f aca="false">IFERROR(INDEX(PROJETS!$C$56:$C$95,MATCH($H62,PROJETS!$A$56:$A$95,0)),"")</f>
        <v>0</v>
      </c>
      <c r="J62" s="130" t="n">
        <f aca="false">IFERROR(INDEX(PROJETS!$J$56:$J$95,MATCH($H62,PROJETS!$A$56:$A$95,0)),"")</f>
        <v>0</v>
      </c>
      <c r="K62" s="130" t="n">
        <f aca="false">IFERROR(INDEX(PROJETS!$N$56:$N$95,MATCH($H62,PROJETS!$A$56:$A$95,0)),"")</f>
        <v>0</v>
      </c>
      <c r="L62" s="131"/>
      <c r="M62" s="130" t="n">
        <f aca="false">IFERROR(INDEX(ACTIVITES!$G$56:$G$105,MATCH($L62,ACTIVITES!$A$56:$A$105,0)),"")</f>
        <v>0</v>
      </c>
      <c r="N62" s="131"/>
      <c r="O62" s="130" t="n">
        <f aca="false">IFERROR(INDEX(DONATEURS!$B$56:$B$205,MATCH($N62,DONATEURS!$A$56:$A$205,0)),"")</f>
        <v>0</v>
      </c>
      <c r="P62" s="131"/>
      <c r="Q62" s="131"/>
      <c r="R62" s="131"/>
      <c r="S62" s="131"/>
      <c r="T62" s="131"/>
      <c r="U62" s="131"/>
      <c r="V62" s="131"/>
      <c r="W62" s="131"/>
      <c r="X62" s="133"/>
      <c r="Y62" s="133"/>
      <c r="Z62" s="130" t="n">
        <f aca="false">IF(OR($X62="",$Y62=""),0,$X62*$Y62)</f>
        <v>0</v>
      </c>
      <c r="AA62" s="133"/>
      <c r="AB62" s="133"/>
      <c r="AC62" s="130" t="str">
        <f aca="false">IF(OR($AA62="",$AB62=""),"",$AA62-$AB62)</f>
        <v/>
      </c>
      <c r="AD62" s="133"/>
      <c r="AE62" s="132"/>
      <c r="AF62" s="131"/>
      <c r="AG62" s="131"/>
      <c r="AH62" s="131"/>
      <c r="AI62" s="133"/>
      <c r="AJ62" s="133"/>
      <c r="AK62" s="130" t="n">
        <f aca="false">IF(AND($AD62&lt;&gt;"",$AD62&gt;0),$AD62,IF($AB62="",0,$AB62))</f>
        <v>0</v>
      </c>
      <c r="AL62" s="130" t="n">
        <f aca="false">$AK62-IF($AJ62="",0,$AJ62)</f>
        <v>0</v>
      </c>
      <c r="AM62" s="130" t="n">
        <f aca="false">$AK62-IF($AI62="",0,$AI62)</f>
        <v>0</v>
      </c>
      <c r="AN62" s="130" t="n">
        <f aca="false">IF($AK62=0,0,IF($AJ62="",0,$AJ62)/$AK62)</f>
        <v>0</v>
      </c>
      <c r="AO62" s="130" t="n">
        <f aca="false">$AK62-IF($AJ62="",0,$AJ62)</f>
        <v>0</v>
      </c>
      <c r="AP62" s="130" t="n">
        <f aca="false">IF($AK62=0,0,$AO62/$AK62)</f>
        <v>0</v>
      </c>
      <c r="AQ62" s="130" t="str">
        <f aca="false">IF($AK62=0,"",IF($AN62&gt;Seuil_Depassement,"Depassement",IF($AN62&gt;=Seuil_Vigilance,"Vigilance","Normal")))</f>
        <v/>
      </c>
      <c r="AR62" s="133"/>
      <c r="AS62" s="133"/>
      <c r="AT62" s="133"/>
      <c r="AU62" s="133"/>
      <c r="AV62" s="130" t="n">
        <f aca="false">SUM($AR62:$AU62)</f>
        <v>0</v>
      </c>
      <c r="AW62" s="130" t="n">
        <f aca="false">IF($AV62=0,0,$AR62/$AV62)</f>
        <v>0</v>
      </c>
      <c r="AX62" s="130" t="n">
        <f aca="false">IF($AV62=0,0,$AS62/$AV62)</f>
        <v>0</v>
      </c>
      <c r="AY62" s="131"/>
      <c r="AZ62" s="130" t="str">
        <f aca="false">IF($H62="","",COUNTIFS($H$28:$H62,$H62))</f>
        <v/>
      </c>
      <c r="BA62" s="130" t="str">
        <f aca="false">IF($H62="","",COUNTIFS($H$28:$H62,$H62,$B$28:$B62,$B62))</f>
        <v/>
      </c>
    </row>
    <row r="63" customFormat="false" ht="15" hidden="false" customHeight="true" outlineLevel="0" collapsed="false">
      <c r="A63" s="130" t="str">
        <f aca="false">IF($U63="","","BUD"&amp;TEXT(ROW()-27,"0000"))</f>
        <v/>
      </c>
      <c r="B63" s="131"/>
      <c r="C63" s="131"/>
      <c r="D63" s="132"/>
      <c r="E63" s="132"/>
      <c r="F63" s="131"/>
      <c r="G63" s="131"/>
      <c r="H63" s="131"/>
      <c r="I63" s="130" t="n">
        <f aca="false">IFERROR(INDEX(PROJETS!$C$56:$C$95,MATCH($H63,PROJETS!$A$56:$A$95,0)),"")</f>
        <v>0</v>
      </c>
      <c r="J63" s="130" t="n">
        <f aca="false">IFERROR(INDEX(PROJETS!$J$56:$J$95,MATCH($H63,PROJETS!$A$56:$A$95,0)),"")</f>
        <v>0</v>
      </c>
      <c r="K63" s="130" t="n">
        <f aca="false">IFERROR(INDEX(PROJETS!$N$56:$N$95,MATCH($H63,PROJETS!$A$56:$A$95,0)),"")</f>
        <v>0</v>
      </c>
      <c r="L63" s="131"/>
      <c r="M63" s="130" t="n">
        <f aca="false">IFERROR(INDEX(ACTIVITES!$G$56:$G$105,MATCH($L63,ACTIVITES!$A$56:$A$105,0)),"")</f>
        <v>0</v>
      </c>
      <c r="N63" s="131"/>
      <c r="O63" s="130" t="n">
        <f aca="false">IFERROR(INDEX(DONATEURS!$B$56:$B$205,MATCH($N63,DONATEURS!$A$56:$A$205,0)),"")</f>
        <v>0</v>
      </c>
      <c r="P63" s="131"/>
      <c r="Q63" s="131"/>
      <c r="R63" s="131"/>
      <c r="S63" s="131"/>
      <c r="T63" s="131"/>
      <c r="U63" s="131"/>
      <c r="V63" s="131"/>
      <c r="W63" s="131"/>
      <c r="X63" s="133"/>
      <c r="Y63" s="133"/>
      <c r="Z63" s="130" t="n">
        <f aca="false">IF(OR($X63="",$Y63=""),0,$X63*$Y63)</f>
        <v>0</v>
      </c>
      <c r="AA63" s="133"/>
      <c r="AB63" s="133"/>
      <c r="AC63" s="130" t="str">
        <f aca="false">IF(OR($AA63="",$AB63=""),"",$AA63-$AB63)</f>
        <v/>
      </c>
      <c r="AD63" s="133"/>
      <c r="AE63" s="132"/>
      <c r="AF63" s="131"/>
      <c r="AG63" s="131"/>
      <c r="AH63" s="131"/>
      <c r="AI63" s="133"/>
      <c r="AJ63" s="133"/>
      <c r="AK63" s="130" t="n">
        <f aca="false">IF(AND($AD63&lt;&gt;"",$AD63&gt;0),$AD63,IF($AB63="",0,$AB63))</f>
        <v>0</v>
      </c>
      <c r="AL63" s="130" t="n">
        <f aca="false">$AK63-IF($AJ63="",0,$AJ63)</f>
        <v>0</v>
      </c>
      <c r="AM63" s="130" t="n">
        <f aca="false">$AK63-IF($AI63="",0,$AI63)</f>
        <v>0</v>
      </c>
      <c r="AN63" s="130" t="n">
        <f aca="false">IF($AK63=0,0,IF($AJ63="",0,$AJ63)/$AK63)</f>
        <v>0</v>
      </c>
      <c r="AO63" s="130" t="n">
        <f aca="false">$AK63-IF($AJ63="",0,$AJ63)</f>
        <v>0</v>
      </c>
      <c r="AP63" s="130" t="n">
        <f aca="false">IF($AK63=0,0,$AO63/$AK63)</f>
        <v>0</v>
      </c>
      <c r="AQ63" s="130" t="str">
        <f aca="false">IF($AK63=0,"",IF($AN63&gt;Seuil_Depassement,"Depassement",IF($AN63&gt;=Seuil_Vigilance,"Vigilance","Normal")))</f>
        <v/>
      </c>
      <c r="AR63" s="133"/>
      <c r="AS63" s="133"/>
      <c r="AT63" s="133"/>
      <c r="AU63" s="133"/>
      <c r="AV63" s="130" t="n">
        <f aca="false">SUM($AR63:$AU63)</f>
        <v>0</v>
      </c>
      <c r="AW63" s="130" t="n">
        <f aca="false">IF($AV63=0,0,$AR63/$AV63)</f>
        <v>0</v>
      </c>
      <c r="AX63" s="130" t="n">
        <f aca="false">IF($AV63=0,0,$AS63/$AV63)</f>
        <v>0</v>
      </c>
      <c r="AY63" s="131"/>
      <c r="AZ63" s="130" t="str">
        <f aca="false">IF($H63="","",COUNTIFS($H$28:$H63,$H63))</f>
        <v/>
      </c>
      <c r="BA63" s="130" t="str">
        <f aca="false">IF($H63="","",COUNTIFS($H$28:$H63,$H63,$B$28:$B63,$B63))</f>
        <v/>
      </c>
    </row>
    <row r="64" customFormat="false" ht="15" hidden="false" customHeight="true" outlineLevel="0" collapsed="false">
      <c r="A64" s="130" t="str">
        <f aca="false">IF($U64="","","BUD"&amp;TEXT(ROW()-27,"0000"))</f>
        <v/>
      </c>
      <c r="B64" s="131"/>
      <c r="C64" s="131"/>
      <c r="D64" s="132"/>
      <c r="E64" s="132"/>
      <c r="F64" s="131"/>
      <c r="G64" s="131"/>
      <c r="H64" s="131"/>
      <c r="I64" s="130" t="n">
        <f aca="false">IFERROR(INDEX(PROJETS!$C$56:$C$95,MATCH($H64,PROJETS!$A$56:$A$95,0)),"")</f>
        <v>0</v>
      </c>
      <c r="J64" s="130" t="n">
        <f aca="false">IFERROR(INDEX(PROJETS!$J$56:$J$95,MATCH($H64,PROJETS!$A$56:$A$95,0)),"")</f>
        <v>0</v>
      </c>
      <c r="K64" s="130" t="n">
        <f aca="false">IFERROR(INDEX(PROJETS!$N$56:$N$95,MATCH($H64,PROJETS!$A$56:$A$95,0)),"")</f>
        <v>0</v>
      </c>
      <c r="L64" s="131"/>
      <c r="M64" s="130" t="n">
        <f aca="false">IFERROR(INDEX(ACTIVITES!$G$56:$G$105,MATCH($L64,ACTIVITES!$A$56:$A$105,0)),"")</f>
        <v>0</v>
      </c>
      <c r="N64" s="131"/>
      <c r="O64" s="130" t="n">
        <f aca="false">IFERROR(INDEX(DONATEURS!$B$56:$B$205,MATCH($N64,DONATEURS!$A$56:$A$205,0)),"")</f>
        <v>0</v>
      </c>
      <c r="P64" s="131"/>
      <c r="Q64" s="131"/>
      <c r="R64" s="131"/>
      <c r="S64" s="131"/>
      <c r="T64" s="131"/>
      <c r="U64" s="131"/>
      <c r="V64" s="131"/>
      <c r="W64" s="131"/>
      <c r="X64" s="133"/>
      <c r="Y64" s="133"/>
      <c r="Z64" s="130" t="n">
        <f aca="false">IF(OR($X64="",$Y64=""),0,$X64*$Y64)</f>
        <v>0</v>
      </c>
      <c r="AA64" s="133"/>
      <c r="AB64" s="133"/>
      <c r="AC64" s="130" t="str">
        <f aca="false">IF(OR($AA64="",$AB64=""),"",$AA64-$AB64)</f>
        <v/>
      </c>
      <c r="AD64" s="133"/>
      <c r="AE64" s="132"/>
      <c r="AF64" s="131"/>
      <c r="AG64" s="131"/>
      <c r="AH64" s="131"/>
      <c r="AI64" s="133"/>
      <c r="AJ64" s="133"/>
      <c r="AK64" s="130" t="n">
        <f aca="false">IF(AND($AD64&lt;&gt;"",$AD64&gt;0),$AD64,IF($AB64="",0,$AB64))</f>
        <v>0</v>
      </c>
      <c r="AL64" s="130" t="n">
        <f aca="false">$AK64-IF($AJ64="",0,$AJ64)</f>
        <v>0</v>
      </c>
      <c r="AM64" s="130" t="n">
        <f aca="false">$AK64-IF($AI64="",0,$AI64)</f>
        <v>0</v>
      </c>
      <c r="AN64" s="130" t="n">
        <f aca="false">IF($AK64=0,0,IF($AJ64="",0,$AJ64)/$AK64)</f>
        <v>0</v>
      </c>
      <c r="AO64" s="130" t="n">
        <f aca="false">$AK64-IF($AJ64="",0,$AJ64)</f>
        <v>0</v>
      </c>
      <c r="AP64" s="130" t="n">
        <f aca="false">IF($AK64=0,0,$AO64/$AK64)</f>
        <v>0</v>
      </c>
      <c r="AQ64" s="130" t="str">
        <f aca="false">IF($AK64=0,"",IF($AN64&gt;Seuil_Depassement,"Depassement",IF($AN64&gt;=Seuil_Vigilance,"Vigilance","Normal")))</f>
        <v/>
      </c>
      <c r="AR64" s="133"/>
      <c r="AS64" s="133"/>
      <c r="AT64" s="133"/>
      <c r="AU64" s="133"/>
      <c r="AV64" s="130" t="n">
        <f aca="false">SUM($AR64:$AU64)</f>
        <v>0</v>
      </c>
      <c r="AW64" s="130" t="n">
        <f aca="false">IF($AV64=0,0,$AR64/$AV64)</f>
        <v>0</v>
      </c>
      <c r="AX64" s="130" t="n">
        <f aca="false">IF($AV64=0,0,$AS64/$AV64)</f>
        <v>0</v>
      </c>
      <c r="AY64" s="131"/>
      <c r="AZ64" s="130" t="str">
        <f aca="false">IF($H64="","",COUNTIFS($H$28:$H64,$H64))</f>
        <v/>
      </c>
      <c r="BA64" s="130" t="str">
        <f aca="false">IF($H64="","",COUNTIFS($H$28:$H64,$H64,$B$28:$B64,$B64))</f>
        <v/>
      </c>
    </row>
    <row r="65" customFormat="false" ht="15" hidden="false" customHeight="true" outlineLevel="0" collapsed="false">
      <c r="A65" s="130" t="str">
        <f aca="false">IF($U65="","","BUD"&amp;TEXT(ROW()-27,"0000"))</f>
        <v/>
      </c>
      <c r="B65" s="131"/>
      <c r="C65" s="131"/>
      <c r="D65" s="132"/>
      <c r="E65" s="132"/>
      <c r="F65" s="131"/>
      <c r="G65" s="131"/>
      <c r="H65" s="131"/>
      <c r="I65" s="130" t="n">
        <f aca="false">IFERROR(INDEX(PROJETS!$C$56:$C$95,MATCH($H65,PROJETS!$A$56:$A$95,0)),"")</f>
        <v>0</v>
      </c>
      <c r="J65" s="130" t="n">
        <f aca="false">IFERROR(INDEX(PROJETS!$J$56:$J$95,MATCH($H65,PROJETS!$A$56:$A$95,0)),"")</f>
        <v>0</v>
      </c>
      <c r="K65" s="130" t="n">
        <f aca="false">IFERROR(INDEX(PROJETS!$N$56:$N$95,MATCH($H65,PROJETS!$A$56:$A$95,0)),"")</f>
        <v>0</v>
      </c>
      <c r="L65" s="131"/>
      <c r="M65" s="130" t="n">
        <f aca="false">IFERROR(INDEX(ACTIVITES!$G$56:$G$105,MATCH($L65,ACTIVITES!$A$56:$A$105,0)),"")</f>
        <v>0</v>
      </c>
      <c r="N65" s="131"/>
      <c r="O65" s="130" t="n">
        <f aca="false">IFERROR(INDEX(DONATEURS!$B$56:$B$205,MATCH($N65,DONATEURS!$A$56:$A$205,0)),"")</f>
        <v>0</v>
      </c>
      <c r="P65" s="131"/>
      <c r="Q65" s="131"/>
      <c r="R65" s="131"/>
      <c r="S65" s="131"/>
      <c r="T65" s="131"/>
      <c r="U65" s="131"/>
      <c r="V65" s="131"/>
      <c r="W65" s="131"/>
      <c r="X65" s="133"/>
      <c r="Y65" s="133"/>
      <c r="Z65" s="130" t="n">
        <f aca="false">IF(OR($X65="",$Y65=""),0,$X65*$Y65)</f>
        <v>0</v>
      </c>
      <c r="AA65" s="133"/>
      <c r="AB65" s="133"/>
      <c r="AC65" s="130" t="str">
        <f aca="false">IF(OR($AA65="",$AB65=""),"",$AA65-$AB65)</f>
        <v/>
      </c>
      <c r="AD65" s="133"/>
      <c r="AE65" s="132"/>
      <c r="AF65" s="131"/>
      <c r="AG65" s="131"/>
      <c r="AH65" s="131"/>
      <c r="AI65" s="133"/>
      <c r="AJ65" s="133"/>
      <c r="AK65" s="130" t="n">
        <f aca="false">IF(AND($AD65&lt;&gt;"",$AD65&gt;0),$AD65,IF($AB65="",0,$AB65))</f>
        <v>0</v>
      </c>
      <c r="AL65" s="130" t="n">
        <f aca="false">$AK65-IF($AJ65="",0,$AJ65)</f>
        <v>0</v>
      </c>
      <c r="AM65" s="130" t="n">
        <f aca="false">$AK65-IF($AI65="",0,$AI65)</f>
        <v>0</v>
      </c>
      <c r="AN65" s="130" t="n">
        <f aca="false">IF($AK65=0,0,IF($AJ65="",0,$AJ65)/$AK65)</f>
        <v>0</v>
      </c>
      <c r="AO65" s="130" t="n">
        <f aca="false">$AK65-IF($AJ65="",0,$AJ65)</f>
        <v>0</v>
      </c>
      <c r="AP65" s="130" t="n">
        <f aca="false">IF($AK65=0,0,$AO65/$AK65)</f>
        <v>0</v>
      </c>
      <c r="AQ65" s="130" t="str">
        <f aca="false">IF($AK65=0,"",IF($AN65&gt;Seuil_Depassement,"Depassement",IF($AN65&gt;=Seuil_Vigilance,"Vigilance","Normal")))</f>
        <v/>
      </c>
      <c r="AR65" s="133"/>
      <c r="AS65" s="133"/>
      <c r="AT65" s="133"/>
      <c r="AU65" s="133"/>
      <c r="AV65" s="130" t="n">
        <f aca="false">SUM($AR65:$AU65)</f>
        <v>0</v>
      </c>
      <c r="AW65" s="130" t="n">
        <f aca="false">IF($AV65=0,0,$AR65/$AV65)</f>
        <v>0</v>
      </c>
      <c r="AX65" s="130" t="n">
        <f aca="false">IF($AV65=0,0,$AS65/$AV65)</f>
        <v>0</v>
      </c>
      <c r="AY65" s="131"/>
      <c r="AZ65" s="130" t="str">
        <f aca="false">IF($H65="","",COUNTIFS($H$28:$H65,$H65))</f>
        <v/>
      </c>
      <c r="BA65" s="130" t="str">
        <f aca="false">IF($H65="","",COUNTIFS($H$28:$H65,$H65,$B$28:$B65,$B65))</f>
        <v/>
      </c>
    </row>
    <row r="66" customFormat="false" ht="15" hidden="false" customHeight="true" outlineLevel="0" collapsed="false">
      <c r="A66" s="130" t="str">
        <f aca="false">IF($U66="","","BUD"&amp;TEXT(ROW()-27,"0000"))</f>
        <v/>
      </c>
      <c r="B66" s="131"/>
      <c r="C66" s="131"/>
      <c r="D66" s="132"/>
      <c r="E66" s="132"/>
      <c r="F66" s="131"/>
      <c r="G66" s="131"/>
      <c r="H66" s="131"/>
      <c r="I66" s="130" t="n">
        <f aca="false">IFERROR(INDEX(PROJETS!$C$56:$C$95,MATCH($H66,PROJETS!$A$56:$A$95,0)),"")</f>
        <v>0</v>
      </c>
      <c r="J66" s="130" t="n">
        <f aca="false">IFERROR(INDEX(PROJETS!$J$56:$J$95,MATCH($H66,PROJETS!$A$56:$A$95,0)),"")</f>
        <v>0</v>
      </c>
      <c r="K66" s="130" t="n">
        <f aca="false">IFERROR(INDEX(PROJETS!$N$56:$N$95,MATCH($H66,PROJETS!$A$56:$A$95,0)),"")</f>
        <v>0</v>
      </c>
      <c r="L66" s="131"/>
      <c r="M66" s="130" t="n">
        <f aca="false">IFERROR(INDEX(ACTIVITES!$G$56:$G$105,MATCH($L66,ACTIVITES!$A$56:$A$105,0)),"")</f>
        <v>0</v>
      </c>
      <c r="N66" s="131"/>
      <c r="O66" s="130" t="n">
        <f aca="false">IFERROR(INDEX(DONATEURS!$B$56:$B$205,MATCH($N66,DONATEURS!$A$56:$A$205,0)),"")</f>
        <v>0</v>
      </c>
      <c r="P66" s="131"/>
      <c r="Q66" s="131"/>
      <c r="R66" s="131"/>
      <c r="S66" s="131"/>
      <c r="T66" s="131"/>
      <c r="U66" s="131"/>
      <c r="V66" s="131"/>
      <c r="W66" s="131"/>
      <c r="X66" s="133"/>
      <c r="Y66" s="133"/>
      <c r="Z66" s="130" t="n">
        <f aca="false">IF(OR($X66="",$Y66=""),0,$X66*$Y66)</f>
        <v>0</v>
      </c>
      <c r="AA66" s="133"/>
      <c r="AB66" s="133"/>
      <c r="AC66" s="130" t="str">
        <f aca="false">IF(OR($AA66="",$AB66=""),"",$AA66-$AB66)</f>
        <v/>
      </c>
      <c r="AD66" s="133"/>
      <c r="AE66" s="132"/>
      <c r="AF66" s="131"/>
      <c r="AG66" s="131"/>
      <c r="AH66" s="131"/>
      <c r="AI66" s="133"/>
      <c r="AJ66" s="133"/>
      <c r="AK66" s="130" t="n">
        <f aca="false">IF(AND($AD66&lt;&gt;"",$AD66&gt;0),$AD66,IF($AB66="",0,$AB66))</f>
        <v>0</v>
      </c>
      <c r="AL66" s="130" t="n">
        <f aca="false">$AK66-IF($AJ66="",0,$AJ66)</f>
        <v>0</v>
      </c>
      <c r="AM66" s="130" t="n">
        <f aca="false">$AK66-IF($AI66="",0,$AI66)</f>
        <v>0</v>
      </c>
      <c r="AN66" s="130" t="n">
        <f aca="false">IF($AK66=0,0,IF($AJ66="",0,$AJ66)/$AK66)</f>
        <v>0</v>
      </c>
      <c r="AO66" s="130" t="n">
        <f aca="false">$AK66-IF($AJ66="",0,$AJ66)</f>
        <v>0</v>
      </c>
      <c r="AP66" s="130" t="n">
        <f aca="false">IF($AK66=0,0,$AO66/$AK66)</f>
        <v>0</v>
      </c>
      <c r="AQ66" s="130" t="str">
        <f aca="false">IF($AK66=0,"",IF($AN66&gt;Seuil_Depassement,"Depassement",IF($AN66&gt;=Seuil_Vigilance,"Vigilance","Normal")))</f>
        <v/>
      </c>
      <c r="AR66" s="133"/>
      <c r="AS66" s="133"/>
      <c r="AT66" s="133"/>
      <c r="AU66" s="133"/>
      <c r="AV66" s="130" t="n">
        <f aca="false">SUM($AR66:$AU66)</f>
        <v>0</v>
      </c>
      <c r="AW66" s="130" t="n">
        <f aca="false">IF($AV66=0,0,$AR66/$AV66)</f>
        <v>0</v>
      </c>
      <c r="AX66" s="130" t="n">
        <f aca="false">IF($AV66=0,0,$AS66/$AV66)</f>
        <v>0</v>
      </c>
      <c r="AY66" s="131"/>
      <c r="AZ66" s="130" t="str">
        <f aca="false">IF($H66="","",COUNTIFS($H$28:$H66,$H66))</f>
        <v/>
      </c>
      <c r="BA66" s="130" t="str">
        <f aca="false">IF($H66="","",COUNTIFS($H$28:$H66,$H66,$B$28:$B66,$B66))</f>
        <v/>
      </c>
    </row>
    <row r="67" customFormat="false" ht="15" hidden="false" customHeight="true" outlineLevel="0" collapsed="false">
      <c r="A67" s="130" t="str">
        <f aca="false">IF($U67="","","BUD"&amp;TEXT(ROW()-27,"0000"))</f>
        <v/>
      </c>
      <c r="B67" s="131"/>
      <c r="C67" s="131"/>
      <c r="D67" s="132"/>
      <c r="E67" s="132"/>
      <c r="F67" s="131"/>
      <c r="G67" s="131"/>
      <c r="H67" s="131"/>
      <c r="I67" s="130" t="n">
        <f aca="false">IFERROR(INDEX(PROJETS!$C$56:$C$95,MATCH($H67,PROJETS!$A$56:$A$95,0)),"")</f>
        <v>0</v>
      </c>
      <c r="J67" s="130" t="n">
        <f aca="false">IFERROR(INDEX(PROJETS!$J$56:$J$95,MATCH($H67,PROJETS!$A$56:$A$95,0)),"")</f>
        <v>0</v>
      </c>
      <c r="K67" s="130" t="n">
        <f aca="false">IFERROR(INDEX(PROJETS!$N$56:$N$95,MATCH($H67,PROJETS!$A$56:$A$95,0)),"")</f>
        <v>0</v>
      </c>
      <c r="L67" s="131"/>
      <c r="M67" s="130" t="n">
        <f aca="false">IFERROR(INDEX(ACTIVITES!$G$56:$G$105,MATCH($L67,ACTIVITES!$A$56:$A$105,0)),"")</f>
        <v>0</v>
      </c>
      <c r="N67" s="131"/>
      <c r="O67" s="130" t="n">
        <f aca="false">IFERROR(INDEX(DONATEURS!$B$56:$B$205,MATCH($N67,DONATEURS!$A$56:$A$205,0)),"")</f>
        <v>0</v>
      </c>
      <c r="P67" s="131"/>
      <c r="Q67" s="131"/>
      <c r="R67" s="131"/>
      <c r="S67" s="131"/>
      <c r="T67" s="131"/>
      <c r="U67" s="131"/>
      <c r="V67" s="131"/>
      <c r="W67" s="131"/>
      <c r="X67" s="133"/>
      <c r="Y67" s="133"/>
      <c r="Z67" s="130" t="n">
        <f aca="false">IF(OR($X67="",$Y67=""),0,$X67*$Y67)</f>
        <v>0</v>
      </c>
      <c r="AA67" s="133"/>
      <c r="AB67" s="133"/>
      <c r="AC67" s="130" t="str">
        <f aca="false">IF(OR($AA67="",$AB67=""),"",$AA67-$AB67)</f>
        <v/>
      </c>
      <c r="AD67" s="133"/>
      <c r="AE67" s="132"/>
      <c r="AF67" s="131"/>
      <c r="AG67" s="131"/>
      <c r="AH67" s="131"/>
      <c r="AI67" s="133"/>
      <c r="AJ67" s="133"/>
      <c r="AK67" s="130" t="n">
        <f aca="false">IF(AND($AD67&lt;&gt;"",$AD67&gt;0),$AD67,IF($AB67="",0,$AB67))</f>
        <v>0</v>
      </c>
      <c r="AL67" s="130" t="n">
        <f aca="false">$AK67-IF($AJ67="",0,$AJ67)</f>
        <v>0</v>
      </c>
      <c r="AM67" s="130" t="n">
        <f aca="false">$AK67-IF($AI67="",0,$AI67)</f>
        <v>0</v>
      </c>
      <c r="AN67" s="130" t="n">
        <f aca="false">IF($AK67=0,0,IF($AJ67="",0,$AJ67)/$AK67)</f>
        <v>0</v>
      </c>
      <c r="AO67" s="130" t="n">
        <f aca="false">$AK67-IF($AJ67="",0,$AJ67)</f>
        <v>0</v>
      </c>
      <c r="AP67" s="130" t="n">
        <f aca="false">IF($AK67=0,0,$AO67/$AK67)</f>
        <v>0</v>
      </c>
      <c r="AQ67" s="130" t="str">
        <f aca="false">IF($AK67=0,"",IF($AN67&gt;Seuil_Depassement,"Depassement",IF($AN67&gt;=Seuil_Vigilance,"Vigilance","Normal")))</f>
        <v/>
      </c>
      <c r="AR67" s="133"/>
      <c r="AS67" s="133"/>
      <c r="AT67" s="133"/>
      <c r="AU67" s="133"/>
      <c r="AV67" s="130" t="n">
        <f aca="false">SUM($AR67:$AU67)</f>
        <v>0</v>
      </c>
      <c r="AW67" s="130" t="n">
        <f aca="false">IF($AV67=0,0,$AR67/$AV67)</f>
        <v>0</v>
      </c>
      <c r="AX67" s="130" t="n">
        <f aca="false">IF($AV67=0,0,$AS67/$AV67)</f>
        <v>0</v>
      </c>
      <c r="AY67" s="131"/>
      <c r="AZ67" s="130" t="str">
        <f aca="false">IF($H67="","",COUNTIFS($H$28:$H67,$H67))</f>
        <v/>
      </c>
      <c r="BA67" s="130" t="str">
        <f aca="false">IF($H67="","",COUNTIFS($H$28:$H67,$H67,$B$28:$B67,$B67))</f>
        <v/>
      </c>
    </row>
    <row r="69" customFormat="false" ht="19.5" hidden="false" customHeight="true" outlineLevel="0" collapsed="false">
      <c r="A69" s="18" t="s">
        <v>2052</v>
      </c>
      <c r="B69" s="18"/>
      <c r="C69" s="18"/>
      <c r="D69" s="18"/>
      <c r="E69" s="18"/>
      <c r="F69" s="18"/>
      <c r="G69" s="18"/>
      <c r="H69" s="18"/>
      <c r="I69" s="18"/>
      <c r="J69" s="18"/>
      <c r="K69" s="18"/>
      <c r="L69" s="18"/>
      <c r="M69" s="18"/>
      <c r="N69" s="18"/>
      <c r="O69" s="18"/>
      <c r="P69" s="18"/>
      <c r="Q69" s="18"/>
      <c r="R69" s="18"/>
      <c r="S69" s="18"/>
      <c r="T69" s="18"/>
    </row>
    <row r="70" customFormat="false" ht="25.5" hidden="false" customHeight="true" outlineLevel="0" collapsed="false">
      <c r="A70" s="19" t="s">
        <v>2022</v>
      </c>
      <c r="B70" s="19" t="s">
        <v>2029</v>
      </c>
      <c r="C70" s="19" t="s">
        <v>96</v>
      </c>
      <c r="D70" s="19" t="s">
        <v>2053</v>
      </c>
      <c r="E70" s="19" t="s">
        <v>2054</v>
      </c>
      <c r="F70" s="19" t="s">
        <v>2055</v>
      </c>
      <c r="G70" s="19" t="s">
        <v>2056</v>
      </c>
      <c r="H70" s="19" t="s">
        <v>75</v>
      </c>
      <c r="I70" s="19" t="s">
        <v>2057</v>
      </c>
      <c r="J70" s="19" t="s">
        <v>2058</v>
      </c>
      <c r="K70" s="19" t="s">
        <v>2059</v>
      </c>
      <c r="L70" s="19" t="s">
        <v>2060</v>
      </c>
      <c r="M70" s="19" t="s">
        <v>2061</v>
      </c>
      <c r="N70" s="19" t="s">
        <v>2062</v>
      </c>
      <c r="O70" s="19" t="s">
        <v>2063</v>
      </c>
      <c r="P70" s="19" t="s">
        <v>70</v>
      </c>
      <c r="Q70" s="19" t="s">
        <v>74</v>
      </c>
      <c r="R70" s="19" t="s">
        <v>78</v>
      </c>
      <c r="S70" s="19" t="s">
        <v>82</v>
      </c>
      <c r="T70" s="19" t="s">
        <v>2064</v>
      </c>
    </row>
    <row r="71" customFormat="false" ht="15" hidden="false" customHeight="true" outlineLevel="0" collapsed="false">
      <c r="A71" s="130" t="str">
        <f aca="false">A28</f>
        <v>BUD0001</v>
      </c>
      <c r="B71" s="130" t="n">
        <f aca="false">T28</f>
        <v>0</v>
      </c>
      <c r="C71" s="130" t="str">
        <f aca="false">U28</f>
        <v>Donne fournisseur</v>
      </c>
      <c r="D71" s="133"/>
      <c r="E71" s="133"/>
      <c r="F71" s="133"/>
      <c r="G71" s="133"/>
      <c r="H71" s="133"/>
      <c r="I71" s="133"/>
      <c r="J71" s="133"/>
      <c r="K71" s="133"/>
      <c r="L71" s="133"/>
      <c r="M71" s="133"/>
      <c r="N71" s="133"/>
      <c r="O71" s="133"/>
      <c r="P71" s="134" t="n">
        <f aca="false">SUM(D71:F71)</f>
        <v>0</v>
      </c>
      <c r="Q71" s="134" t="n">
        <f aca="false">SUM(G71:I71)</f>
        <v>0</v>
      </c>
      <c r="R71" s="134" t="n">
        <f aca="false">SUM(J71:L71)</f>
        <v>0</v>
      </c>
      <c r="S71" s="134" t="n">
        <f aca="false">SUM(M71:O71)</f>
        <v>0</v>
      </c>
      <c r="T71" s="134" t="n">
        <f aca="false">SUM(P71:S71)</f>
        <v>0</v>
      </c>
    </row>
    <row r="72" customFormat="false" ht="15" hidden="false" customHeight="true" outlineLevel="0" collapsed="false">
      <c r="A72" s="130" t="str">
        <f aca="false">A29</f>
        <v/>
      </c>
      <c r="B72" s="130" t="n">
        <f aca="false">T29</f>
        <v>0</v>
      </c>
      <c r="C72" s="130" t="n">
        <f aca="false">U29</f>
        <v>0</v>
      </c>
      <c r="D72" s="133"/>
      <c r="E72" s="133"/>
      <c r="F72" s="133"/>
      <c r="G72" s="133"/>
      <c r="H72" s="133"/>
      <c r="I72" s="133"/>
      <c r="J72" s="133"/>
      <c r="K72" s="133"/>
      <c r="L72" s="133"/>
      <c r="M72" s="133"/>
      <c r="N72" s="133"/>
      <c r="O72" s="133"/>
      <c r="P72" s="134" t="n">
        <f aca="false">SUM(D72:F72)</f>
        <v>0</v>
      </c>
      <c r="Q72" s="134" t="n">
        <f aca="false">SUM(G72:I72)</f>
        <v>0</v>
      </c>
      <c r="R72" s="134" t="n">
        <f aca="false">SUM(J72:L72)</f>
        <v>0</v>
      </c>
      <c r="S72" s="134" t="n">
        <f aca="false">SUM(M72:O72)</f>
        <v>0</v>
      </c>
      <c r="T72" s="134" t="n">
        <f aca="false">SUM(P72:S72)</f>
        <v>0</v>
      </c>
    </row>
    <row r="73" customFormat="false" ht="15" hidden="false" customHeight="true" outlineLevel="0" collapsed="false">
      <c r="A73" s="130" t="str">
        <f aca="false">A30</f>
        <v/>
      </c>
      <c r="B73" s="130" t="n">
        <f aca="false">T30</f>
        <v>0</v>
      </c>
      <c r="C73" s="130" t="n">
        <f aca="false">U30</f>
        <v>0</v>
      </c>
      <c r="D73" s="133"/>
      <c r="E73" s="133"/>
      <c r="F73" s="133"/>
      <c r="G73" s="133"/>
      <c r="H73" s="133"/>
      <c r="I73" s="133"/>
      <c r="J73" s="133"/>
      <c r="K73" s="133"/>
      <c r="L73" s="133"/>
      <c r="M73" s="133"/>
      <c r="N73" s="133"/>
      <c r="O73" s="133"/>
      <c r="P73" s="134" t="n">
        <f aca="false">SUM(D73:F73)</f>
        <v>0</v>
      </c>
      <c r="Q73" s="134" t="n">
        <f aca="false">SUM(G73:I73)</f>
        <v>0</v>
      </c>
      <c r="R73" s="134" t="n">
        <f aca="false">SUM(J73:L73)</f>
        <v>0</v>
      </c>
      <c r="S73" s="134" t="n">
        <f aca="false">SUM(M73:O73)</f>
        <v>0</v>
      </c>
      <c r="T73" s="134" t="n">
        <f aca="false">SUM(P73:S73)</f>
        <v>0</v>
      </c>
    </row>
    <row r="74" customFormat="false" ht="15" hidden="false" customHeight="true" outlineLevel="0" collapsed="false">
      <c r="A74" s="130" t="str">
        <f aca="false">A31</f>
        <v/>
      </c>
      <c r="B74" s="130" t="n">
        <f aca="false">T31</f>
        <v>0</v>
      </c>
      <c r="C74" s="130" t="n">
        <f aca="false">U31</f>
        <v>0</v>
      </c>
      <c r="D74" s="133"/>
      <c r="E74" s="133"/>
      <c r="F74" s="133"/>
      <c r="G74" s="133"/>
      <c r="H74" s="133"/>
      <c r="I74" s="133"/>
      <c r="J74" s="133"/>
      <c r="K74" s="133"/>
      <c r="L74" s="133"/>
      <c r="M74" s="133"/>
      <c r="N74" s="133"/>
      <c r="O74" s="133"/>
      <c r="P74" s="134" t="n">
        <f aca="false">SUM(D74:F74)</f>
        <v>0</v>
      </c>
      <c r="Q74" s="134" t="n">
        <f aca="false">SUM(G74:I74)</f>
        <v>0</v>
      </c>
      <c r="R74" s="134" t="n">
        <f aca="false">SUM(J74:L74)</f>
        <v>0</v>
      </c>
      <c r="S74" s="134" t="n">
        <f aca="false">SUM(M74:O74)</f>
        <v>0</v>
      </c>
      <c r="T74" s="134" t="n">
        <f aca="false">SUM(P74:S74)</f>
        <v>0</v>
      </c>
    </row>
    <row r="75" customFormat="false" ht="15" hidden="false" customHeight="true" outlineLevel="0" collapsed="false">
      <c r="A75" s="130" t="str">
        <f aca="false">A32</f>
        <v/>
      </c>
      <c r="B75" s="130" t="n">
        <f aca="false">T32</f>
        <v>0</v>
      </c>
      <c r="C75" s="130" t="n">
        <f aca="false">U32</f>
        <v>0</v>
      </c>
      <c r="D75" s="133"/>
      <c r="E75" s="133"/>
      <c r="F75" s="133"/>
      <c r="G75" s="133"/>
      <c r="H75" s="133"/>
      <c r="I75" s="133"/>
      <c r="J75" s="133"/>
      <c r="K75" s="133"/>
      <c r="L75" s="133"/>
      <c r="M75" s="133"/>
      <c r="N75" s="133"/>
      <c r="O75" s="133"/>
      <c r="P75" s="134" t="n">
        <f aca="false">SUM(D75:F75)</f>
        <v>0</v>
      </c>
      <c r="Q75" s="134" t="n">
        <f aca="false">SUM(G75:I75)</f>
        <v>0</v>
      </c>
      <c r="R75" s="134" t="n">
        <f aca="false">SUM(J75:L75)</f>
        <v>0</v>
      </c>
      <c r="S75" s="134" t="n">
        <f aca="false">SUM(M75:O75)</f>
        <v>0</v>
      </c>
      <c r="T75" s="134" t="n">
        <f aca="false">SUM(P75:S75)</f>
        <v>0</v>
      </c>
    </row>
    <row r="76" customFormat="false" ht="15" hidden="false" customHeight="true" outlineLevel="0" collapsed="false">
      <c r="A76" s="130" t="str">
        <f aca="false">A33</f>
        <v/>
      </c>
      <c r="B76" s="130" t="n">
        <f aca="false">T33</f>
        <v>0</v>
      </c>
      <c r="C76" s="130" t="n">
        <f aca="false">U33</f>
        <v>0</v>
      </c>
      <c r="D76" s="133"/>
      <c r="E76" s="133"/>
      <c r="F76" s="133"/>
      <c r="G76" s="133"/>
      <c r="H76" s="133"/>
      <c r="I76" s="133"/>
      <c r="J76" s="133"/>
      <c r="K76" s="133"/>
      <c r="L76" s="133"/>
      <c r="M76" s="133"/>
      <c r="N76" s="133"/>
      <c r="O76" s="133"/>
      <c r="P76" s="134" t="n">
        <f aca="false">SUM(D76:F76)</f>
        <v>0</v>
      </c>
      <c r="Q76" s="134" t="n">
        <f aca="false">SUM(G76:I76)</f>
        <v>0</v>
      </c>
      <c r="R76" s="134" t="n">
        <f aca="false">SUM(J76:L76)</f>
        <v>0</v>
      </c>
      <c r="S76" s="134" t="n">
        <f aca="false">SUM(M76:O76)</f>
        <v>0</v>
      </c>
      <c r="T76" s="134" t="n">
        <f aca="false">SUM(P76:S76)</f>
        <v>0</v>
      </c>
    </row>
    <row r="77" customFormat="false" ht="15" hidden="false" customHeight="true" outlineLevel="0" collapsed="false">
      <c r="A77" s="130" t="str">
        <f aca="false">A34</f>
        <v/>
      </c>
      <c r="B77" s="130" t="n">
        <f aca="false">T34</f>
        <v>0</v>
      </c>
      <c r="C77" s="130" t="n">
        <f aca="false">U34</f>
        <v>0</v>
      </c>
      <c r="D77" s="133"/>
      <c r="E77" s="133"/>
      <c r="F77" s="133"/>
      <c r="G77" s="133"/>
      <c r="H77" s="133"/>
      <c r="I77" s="133"/>
      <c r="J77" s="133"/>
      <c r="K77" s="133"/>
      <c r="L77" s="133"/>
      <c r="M77" s="133"/>
      <c r="N77" s="133"/>
      <c r="O77" s="133"/>
      <c r="P77" s="134" t="n">
        <f aca="false">SUM(D77:F77)</f>
        <v>0</v>
      </c>
      <c r="Q77" s="134" t="n">
        <f aca="false">SUM(G77:I77)</f>
        <v>0</v>
      </c>
      <c r="R77" s="134" t="n">
        <f aca="false">SUM(J77:L77)</f>
        <v>0</v>
      </c>
      <c r="S77" s="134" t="n">
        <f aca="false">SUM(M77:O77)</f>
        <v>0</v>
      </c>
      <c r="T77" s="134" t="n">
        <f aca="false">SUM(P77:S77)</f>
        <v>0</v>
      </c>
    </row>
    <row r="78" customFormat="false" ht="15" hidden="false" customHeight="true" outlineLevel="0" collapsed="false">
      <c r="A78" s="130" t="str">
        <f aca="false">A35</f>
        <v/>
      </c>
      <c r="B78" s="130" t="n">
        <f aca="false">T35</f>
        <v>0</v>
      </c>
      <c r="C78" s="130" t="n">
        <f aca="false">U35</f>
        <v>0</v>
      </c>
      <c r="D78" s="133"/>
      <c r="E78" s="133"/>
      <c r="F78" s="133"/>
      <c r="G78" s="133"/>
      <c r="H78" s="133"/>
      <c r="I78" s="133"/>
      <c r="J78" s="133"/>
      <c r="K78" s="133"/>
      <c r="L78" s="133"/>
      <c r="M78" s="133"/>
      <c r="N78" s="133"/>
      <c r="O78" s="133"/>
      <c r="P78" s="134" t="n">
        <f aca="false">SUM(D78:F78)</f>
        <v>0</v>
      </c>
      <c r="Q78" s="134" t="n">
        <f aca="false">SUM(G78:I78)</f>
        <v>0</v>
      </c>
      <c r="R78" s="134" t="n">
        <f aca="false">SUM(J78:L78)</f>
        <v>0</v>
      </c>
      <c r="S78" s="134" t="n">
        <f aca="false">SUM(M78:O78)</f>
        <v>0</v>
      </c>
      <c r="T78" s="134" t="n">
        <f aca="false">SUM(P78:S78)</f>
        <v>0</v>
      </c>
    </row>
    <row r="79" customFormat="false" ht="15" hidden="false" customHeight="true" outlineLevel="0" collapsed="false">
      <c r="A79" s="130" t="str">
        <f aca="false">A36</f>
        <v/>
      </c>
      <c r="B79" s="130" t="n">
        <f aca="false">T36</f>
        <v>0</v>
      </c>
      <c r="C79" s="130" t="n">
        <f aca="false">U36</f>
        <v>0</v>
      </c>
      <c r="D79" s="133"/>
      <c r="E79" s="133"/>
      <c r="F79" s="133"/>
      <c r="G79" s="133"/>
      <c r="H79" s="133"/>
      <c r="I79" s="133"/>
      <c r="J79" s="133"/>
      <c r="K79" s="133"/>
      <c r="L79" s="133"/>
      <c r="M79" s="133"/>
      <c r="N79" s="133"/>
      <c r="O79" s="133"/>
      <c r="P79" s="134" t="n">
        <f aca="false">SUM(D79:F79)</f>
        <v>0</v>
      </c>
      <c r="Q79" s="134" t="n">
        <f aca="false">SUM(G79:I79)</f>
        <v>0</v>
      </c>
      <c r="R79" s="134" t="n">
        <f aca="false">SUM(J79:L79)</f>
        <v>0</v>
      </c>
      <c r="S79" s="134" t="n">
        <f aca="false">SUM(M79:O79)</f>
        <v>0</v>
      </c>
      <c r="T79" s="134" t="n">
        <f aca="false">SUM(P79:S79)</f>
        <v>0</v>
      </c>
    </row>
    <row r="80" customFormat="false" ht="15" hidden="false" customHeight="true" outlineLevel="0" collapsed="false">
      <c r="A80" s="130" t="str">
        <f aca="false">A37</f>
        <v/>
      </c>
      <c r="B80" s="130" t="n">
        <f aca="false">T37</f>
        <v>0</v>
      </c>
      <c r="C80" s="130" t="n">
        <f aca="false">U37</f>
        <v>0</v>
      </c>
      <c r="D80" s="133"/>
      <c r="E80" s="133"/>
      <c r="F80" s="133"/>
      <c r="G80" s="133"/>
      <c r="H80" s="133"/>
      <c r="I80" s="133"/>
      <c r="J80" s="133"/>
      <c r="K80" s="133"/>
      <c r="L80" s="133"/>
      <c r="M80" s="133"/>
      <c r="N80" s="133"/>
      <c r="O80" s="133"/>
      <c r="P80" s="134" t="n">
        <f aca="false">SUM(D80:F80)</f>
        <v>0</v>
      </c>
      <c r="Q80" s="134" t="n">
        <f aca="false">SUM(G80:I80)</f>
        <v>0</v>
      </c>
      <c r="R80" s="134" t="n">
        <f aca="false">SUM(J80:L80)</f>
        <v>0</v>
      </c>
      <c r="S80" s="134" t="n">
        <f aca="false">SUM(M80:O80)</f>
        <v>0</v>
      </c>
      <c r="T80" s="134" t="n">
        <f aca="false">SUM(P80:S80)</f>
        <v>0</v>
      </c>
    </row>
    <row r="81" customFormat="false" ht="15" hidden="false" customHeight="true" outlineLevel="0" collapsed="false">
      <c r="A81" s="130" t="str">
        <f aca="false">A38</f>
        <v/>
      </c>
      <c r="B81" s="130" t="n">
        <f aca="false">T38</f>
        <v>0</v>
      </c>
      <c r="C81" s="130" t="n">
        <f aca="false">U38</f>
        <v>0</v>
      </c>
      <c r="D81" s="133"/>
      <c r="E81" s="133"/>
      <c r="F81" s="133"/>
      <c r="G81" s="133"/>
      <c r="H81" s="133"/>
      <c r="I81" s="133"/>
      <c r="J81" s="133"/>
      <c r="K81" s="133"/>
      <c r="L81" s="133"/>
      <c r="M81" s="133"/>
      <c r="N81" s="133"/>
      <c r="O81" s="133"/>
      <c r="P81" s="134" t="n">
        <f aca="false">SUM(D81:F81)</f>
        <v>0</v>
      </c>
      <c r="Q81" s="134" t="n">
        <f aca="false">SUM(G81:I81)</f>
        <v>0</v>
      </c>
      <c r="R81" s="134" t="n">
        <f aca="false">SUM(J81:L81)</f>
        <v>0</v>
      </c>
      <c r="S81" s="134" t="n">
        <f aca="false">SUM(M81:O81)</f>
        <v>0</v>
      </c>
      <c r="T81" s="134" t="n">
        <f aca="false">SUM(P81:S81)</f>
        <v>0</v>
      </c>
    </row>
    <row r="82" customFormat="false" ht="15" hidden="false" customHeight="true" outlineLevel="0" collapsed="false">
      <c r="A82" s="130" t="str">
        <f aca="false">A39</f>
        <v/>
      </c>
      <c r="B82" s="130" t="n">
        <f aca="false">T39</f>
        <v>0</v>
      </c>
      <c r="C82" s="130" t="n">
        <f aca="false">U39</f>
        <v>0</v>
      </c>
      <c r="D82" s="133"/>
      <c r="E82" s="133"/>
      <c r="F82" s="133"/>
      <c r="G82" s="133"/>
      <c r="H82" s="133"/>
      <c r="I82" s="133"/>
      <c r="J82" s="133"/>
      <c r="K82" s="133"/>
      <c r="L82" s="133"/>
      <c r="M82" s="133"/>
      <c r="N82" s="133"/>
      <c r="O82" s="133"/>
      <c r="P82" s="134" t="n">
        <f aca="false">SUM(D82:F82)</f>
        <v>0</v>
      </c>
      <c r="Q82" s="134" t="n">
        <f aca="false">SUM(G82:I82)</f>
        <v>0</v>
      </c>
      <c r="R82" s="134" t="n">
        <f aca="false">SUM(J82:L82)</f>
        <v>0</v>
      </c>
      <c r="S82" s="134" t="n">
        <f aca="false">SUM(M82:O82)</f>
        <v>0</v>
      </c>
      <c r="T82" s="134" t="n">
        <f aca="false">SUM(P82:S82)</f>
        <v>0</v>
      </c>
    </row>
    <row r="83" customFormat="false" ht="15" hidden="false" customHeight="true" outlineLevel="0" collapsed="false">
      <c r="A83" s="130" t="str">
        <f aca="false">A40</f>
        <v/>
      </c>
      <c r="B83" s="130" t="n">
        <f aca="false">T40</f>
        <v>0</v>
      </c>
      <c r="C83" s="130" t="n">
        <f aca="false">U40</f>
        <v>0</v>
      </c>
      <c r="D83" s="133"/>
      <c r="E83" s="133"/>
      <c r="F83" s="133"/>
      <c r="G83" s="133"/>
      <c r="H83" s="133"/>
      <c r="I83" s="133"/>
      <c r="J83" s="133"/>
      <c r="K83" s="133"/>
      <c r="L83" s="133"/>
      <c r="M83" s="133"/>
      <c r="N83" s="133"/>
      <c r="O83" s="133"/>
      <c r="P83" s="134" t="n">
        <f aca="false">SUM(D83:F83)</f>
        <v>0</v>
      </c>
      <c r="Q83" s="134" t="n">
        <f aca="false">SUM(G83:I83)</f>
        <v>0</v>
      </c>
      <c r="R83" s="134" t="n">
        <f aca="false">SUM(J83:L83)</f>
        <v>0</v>
      </c>
      <c r="S83" s="134" t="n">
        <f aca="false">SUM(M83:O83)</f>
        <v>0</v>
      </c>
      <c r="T83" s="134" t="n">
        <f aca="false">SUM(P83:S83)</f>
        <v>0</v>
      </c>
    </row>
    <row r="84" customFormat="false" ht="15" hidden="false" customHeight="true" outlineLevel="0" collapsed="false">
      <c r="A84" s="130" t="str">
        <f aca="false">A41</f>
        <v/>
      </c>
      <c r="B84" s="130" t="n">
        <f aca="false">T41</f>
        <v>0</v>
      </c>
      <c r="C84" s="130" t="n">
        <f aca="false">U41</f>
        <v>0</v>
      </c>
      <c r="D84" s="133"/>
      <c r="E84" s="133"/>
      <c r="F84" s="133"/>
      <c r="G84" s="133"/>
      <c r="H84" s="133"/>
      <c r="I84" s="133"/>
      <c r="J84" s="133"/>
      <c r="K84" s="133"/>
      <c r="L84" s="133"/>
      <c r="M84" s="133"/>
      <c r="N84" s="133"/>
      <c r="O84" s="133"/>
      <c r="P84" s="134" t="n">
        <f aca="false">SUM(D84:F84)</f>
        <v>0</v>
      </c>
      <c r="Q84" s="134" t="n">
        <f aca="false">SUM(G84:I84)</f>
        <v>0</v>
      </c>
      <c r="R84" s="134" t="n">
        <f aca="false">SUM(J84:L84)</f>
        <v>0</v>
      </c>
      <c r="S84" s="134" t="n">
        <f aca="false">SUM(M84:O84)</f>
        <v>0</v>
      </c>
      <c r="T84" s="134" t="n">
        <f aca="false">SUM(P84:S84)</f>
        <v>0</v>
      </c>
    </row>
    <row r="85" customFormat="false" ht="15" hidden="false" customHeight="true" outlineLevel="0" collapsed="false">
      <c r="A85" s="130" t="str">
        <f aca="false">A42</f>
        <v/>
      </c>
      <c r="B85" s="130" t="n">
        <f aca="false">T42</f>
        <v>0</v>
      </c>
      <c r="C85" s="130" t="n">
        <f aca="false">U42</f>
        <v>0</v>
      </c>
      <c r="D85" s="133"/>
      <c r="E85" s="133"/>
      <c r="F85" s="133"/>
      <c r="G85" s="133"/>
      <c r="H85" s="133"/>
      <c r="I85" s="133"/>
      <c r="J85" s="133"/>
      <c r="K85" s="133"/>
      <c r="L85" s="133"/>
      <c r="M85" s="133"/>
      <c r="N85" s="133"/>
      <c r="O85" s="133"/>
      <c r="P85" s="134" t="n">
        <f aca="false">SUM(D85:F85)</f>
        <v>0</v>
      </c>
      <c r="Q85" s="134" t="n">
        <f aca="false">SUM(G85:I85)</f>
        <v>0</v>
      </c>
      <c r="R85" s="134" t="n">
        <f aca="false">SUM(J85:L85)</f>
        <v>0</v>
      </c>
      <c r="S85" s="134" t="n">
        <f aca="false">SUM(M85:O85)</f>
        <v>0</v>
      </c>
      <c r="T85" s="134" t="n">
        <f aca="false">SUM(P85:S85)</f>
        <v>0</v>
      </c>
    </row>
    <row r="86" customFormat="false" ht="15" hidden="false" customHeight="true" outlineLevel="0" collapsed="false">
      <c r="A86" s="130" t="str">
        <f aca="false">A43</f>
        <v/>
      </c>
      <c r="B86" s="130" t="n">
        <f aca="false">T43</f>
        <v>0</v>
      </c>
      <c r="C86" s="130" t="n">
        <f aca="false">U43</f>
        <v>0</v>
      </c>
      <c r="D86" s="133"/>
      <c r="E86" s="133"/>
      <c r="F86" s="133"/>
      <c r="G86" s="133"/>
      <c r="H86" s="133"/>
      <c r="I86" s="133"/>
      <c r="J86" s="133"/>
      <c r="K86" s="133"/>
      <c r="L86" s="133"/>
      <c r="M86" s="133"/>
      <c r="N86" s="133"/>
      <c r="O86" s="133"/>
      <c r="P86" s="134" t="n">
        <f aca="false">SUM(D86:F86)</f>
        <v>0</v>
      </c>
      <c r="Q86" s="134" t="n">
        <f aca="false">SUM(G86:I86)</f>
        <v>0</v>
      </c>
      <c r="R86" s="134" t="n">
        <f aca="false">SUM(J86:L86)</f>
        <v>0</v>
      </c>
      <c r="S86" s="134" t="n">
        <f aca="false">SUM(M86:O86)</f>
        <v>0</v>
      </c>
      <c r="T86" s="134" t="n">
        <f aca="false">SUM(P86:S86)</f>
        <v>0</v>
      </c>
    </row>
    <row r="87" customFormat="false" ht="15" hidden="false" customHeight="true" outlineLevel="0" collapsed="false">
      <c r="A87" s="130" t="str">
        <f aca="false">A44</f>
        <v/>
      </c>
      <c r="B87" s="130" t="n">
        <f aca="false">T44</f>
        <v>0</v>
      </c>
      <c r="C87" s="130" t="n">
        <f aca="false">U44</f>
        <v>0</v>
      </c>
      <c r="D87" s="133"/>
      <c r="E87" s="133"/>
      <c r="F87" s="133"/>
      <c r="G87" s="133"/>
      <c r="H87" s="133"/>
      <c r="I87" s="133"/>
      <c r="J87" s="133"/>
      <c r="K87" s="133"/>
      <c r="L87" s="133"/>
      <c r="M87" s="133"/>
      <c r="N87" s="133"/>
      <c r="O87" s="133"/>
      <c r="P87" s="134" t="n">
        <f aca="false">SUM(D87:F87)</f>
        <v>0</v>
      </c>
      <c r="Q87" s="134" t="n">
        <f aca="false">SUM(G87:I87)</f>
        <v>0</v>
      </c>
      <c r="R87" s="134" t="n">
        <f aca="false">SUM(J87:L87)</f>
        <v>0</v>
      </c>
      <c r="S87" s="134" t="n">
        <f aca="false">SUM(M87:O87)</f>
        <v>0</v>
      </c>
      <c r="T87" s="134" t="n">
        <f aca="false">SUM(P87:S87)</f>
        <v>0</v>
      </c>
    </row>
    <row r="88" customFormat="false" ht="15" hidden="false" customHeight="true" outlineLevel="0" collapsed="false">
      <c r="A88" s="130" t="str">
        <f aca="false">A45</f>
        <v/>
      </c>
      <c r="B88" s="130" t="n">
        <f aca="false">T45</f>
        <v>0</v>
      </c>
      <c r="C88" s="130" t="n">
        <f aca="false">U45</f>
        <v>0</v>
      </c>
      <c r="D88" s="133"/>
      <c r="E88" s="133"/>
      <c r="F88" s="133"/>
      <c r="G88" s="133"/>
      <c r="H88" s="133"/>
      <c r="I88" s="133"/>
      <c r="J88" s="133"/>
      <c r="K88" s="133"/>
      <c r="L88" s="133"/>
      <c r="M88" s="133"/>
      <c r="N88" s="133"/>
      <c r="O88" s="133"/>
      <c r="P88" s="134" t="n">
        <f aca="false">SUM(D88:F88)</f>
        <v>0</v>
      </c>
      <c r="Q88" s="134" t="n">
        <f aca="false">SUM(G88:I88)</f>
        <v>0</v>
      </c>
      <c r="R88" s="134" t="n">
        <f aca="false">SUM(J88:L88)</f>
        <v>0</v>
      </c>
      <c r="S88" s="134" t="n">
        <f aca="false">SUM(M88:O88)</f>
        <v>0</v>
      </c>
      <c r="T88" s="134" t="n">
        <f aca="false">SUM(P88:S88)</f>
        <v>0</v>
      </c>
    </row>
    <row r="89" customFormat="false" ht="15" hidden="false" customHeight="true" outlineLevel="0" collapsed="false">
      <c r="A89" s="130" t="str">
        <f aca="false">A46</f>
        <v/>
      </c>
      <c r="B89" s="130" t="n">
        <f aca="false">T46</f>
        <v>0</v>
      </c>
      <c r="C89" s="130" t="n">
        <f aca="false">U46</f>
        <v>0</v>
      </c>
      <c r="D89" s="133"/>
      <c r="E89" s="133"/>
      <c r="F89" s="133"/>
      <c r="G89" s="133"/>
      <c r="H89" s="133"/>
      <c r="I89" s="133"/>
      <c r="J89" s="133"/>
      <c r="K89" s="133"/>
      <c r="L89" s="133"/>
      <c r="M89" s="133"/>
      <c r="N89" s="133"/>
      <c r="O89" s="133"/>
      <c r="P89" s="134" t="n">
        <f aca="false">SUM(D89:F89)</f>
        <v>0</v>
      </c>
      <c r="Q89" s="134" t="n">
        <f aca="false">SUM(G89:I89)</f>
        <v>0</v>
      </c>
      <c r="R89" s="134" t="n">
        <f aca="false">SUM(J89:L89)</f>
        <v>0</v>
      </c>
      <c r="S89" s="134" t="n">
        <f aca="false">SUM(M89:O89)</f>
        <v>0</v>
      </c>
      <c r="T89" s="134" t="n">
        <f aca="false">SUM(P89:S89)</f>
        <v>0</v>
      </c>
    </row>
    <row r="90" customFormat="false" ht="15" hidden="false" customHeight="true" outlineLevel="0" collapsed="false">
      <c r="A90" s="130" t="str">
        <f aca="false">A47</f>
        <v/>
      </c>
      <c r="B90" s="130" t="n">
        <f aca="false">T47</f>
        <v>0</v>
      </c>
      <c r="C90" s="130" t="n">
        <f aca="false">U47</f>
        <v>0</v>
      </c>
      <c r="D90" s="133"/>
      <c r="E90" s="133"/>
      <c r="F90" s="133"/>
      <c r="G90" s="133"/>
      <c r="H90" s="133"/>
      <c r="I90" s="133"/>
      <c r="J90" s="133"/>
      <c r="K90" s="133"/>
      <c r="L90" s="133"/>
      <c r="M90" s="133"/>
      <c r="N90" s="133"/>
      <c r="O90" s="133"/>
      <c r="P90" s="134" t="n">
        <f aca="false">SUM(D90:F90)</f>
        <v>0</v>
      </c>
      <c r="Q90" s="134" t="n">
        <f aca="false">SUM(G90:I90)</f>
        <v>0</v>
      </c>
      <c r="R90" s="134" t="n">
        <f aca="false">SUM(J90:L90)</f>
        <v>0</v>
      </c>
      <c r="S90" s="134" t="n">
        <f aca="false">SUM(M90:O90)</f>
        <v>0</v>
      </c>
      <c r="T90" s="134" t="n">
        <f aca="false">SUM(P90:S90)</f>
        <v>0</v>
      </c>
    </row>
    <row r="91" customFormat="false" ht="15" hidden="false" customHeight="true" outlineLevel="0" collapsed="false">
      <c r="A91" s="130" t="str">
        <f aca="false">A48</f>
        <v/>
      </c>
      <c r="B91" s="130" t="n">
        <f aca="false">T48</f>
        <v>0</v>
      </c>
      <c r="C91" s="130" t="n">
        <f aca="false">U48</f>
        <v>0</v>
      </c>
      <c r="D91" s="133"/>
      <c r="E91" s="133"/>
      <c r="F91" s="133"/>
      <c r="G91" s="133"/>
      <c r="H91" s="133"/>
      <c r="I91" s="133"/>
      <c r="J91" s="133"/>
      <c r="K91" s="133"/>
      <c r="L91" s="133"/>
      <c r="M91" s="133"/>
      <c r="N91" s="133"/>
      <c r="O91" s="133"/>
      <c r="P91" s="134" t="n">
        <f aca="false">SUM(D91:F91)</f>
        <v>0</v>
      </c>
      <c r="Q91" s="134" t="n">
        <f aca="false">SUM(G91:I91)</f>
        <v>0</v>
      </c>
      <c r="R91" s="134" t="n">
        <f aca="false">SUM(J91:L91)</f>
        <v>0</v>
      </c>
      <c r="S91" s="134" t="n">
        <f aca="false">SUM(M91:O91)</f>
        <v>0</v>
      </c>
      <c r="T91" s="134" t="n">
        <f aca="false">SUM(P91:S91)</f>
        <v>0</v>
      </c>
    </row>
    <row r="92" customFormat="false" ht="15" hidden="false" customHeight="true" outlineLevel="0" collapsed="false">
      <c r="A92" s="130" t="str">
        <f aca="false">A49</f>
        <v/>
      </c>
      <c r="B92" s="130" t="n">
        <f aca="false">T49</f>
        <v>0</v>
      </c>
      <c r="C92" s="130" t="n">
        <f aca="false">U49</f>
        <v>0</v>
      </c>
      <c r="D92" s="133"/>
      <c r="E92" s="133"/>
      <c r="F92" s="133"/>
      <c r="G92" s="133"/>
      <c r="H92" s="133"/>
      <c r="I92" s="133"/>
      <c r="J92" s="133"/>
      <c r="K92" s="133"/>
      <c r="L92" s="133"/>
      <c r="M92" s="133"/>
      <c r="N92" s="133"/>
      <c r="O92" s="133"/>
      <c r="P92" s="134" t="n">
        <f aca="false">SUM(D92:F92)</f>
        <v>0</v>
      </c>
      <c r="Q92" s="134" t="n">
        <f aca="false">SUM(G92:I92)</f>
        <v>0</v>
      </c>
      <c r="R92" s="134" t="n">
        <f aca="false">SUM(J92:L92)</f>
        <v>0</v>
      </c>
      <c r="S92" s="134" t="n">
        <f aca="false">SUM(M92:O92)</f>
        <v>0</v>
      </c>
      <c r="T92" s="134" t="n">
        <f aca="false">SUM(P92:S92)</f>
        <v>0</v>
      </c>
    </row>
    <row r="93" customFormat="false" ht="15" hidden="false" customHeight="true" outlineLevel="0" collapsed="false">
      <c r="A93" s="130" t="str">
        <f aca="false">A50</f>
        <v/>
      </c>
      <c r="B93" s="130" t="n">
        <f aca="false">T50</f>
        <v>0</v>
      </c>
      <c r="C93" s="130" t="n">
        <f aca="false">U50</f>
        <v>0</v>
      </c>
      <c r="D93" s="133"/>
      <c r="E93" s="133"/>
      <c r="F93" s="133"/>
      <c r="G93" s="133"/>
      <c r="H93" s="133"/>
      <c r="I93" s="133"/>
      <c r="J93" s="133"/>
      <c r="K93" s="133"/>
      <c r="L93" s="133"/>
      <c r="M93" s="133"/>
      <c r="N93" s="133"/>
      <c r="O93" s="133"/>
      <c r="P93" s="134" t="n">
        <f aca="false">SUM(D93:F93)</f>
        <v>0</v>
      </c>
      <c r="Q93" s="134" t="n">
        <f aca="false">SUM(G93:I93)</f>
        <v>0</v>
      </c>
      <c r="R93" s="134" t="n">
        <f aca="false">SUM(J93:L93)</f>
        <v>0</v>
      </c>
      <c r="S93" s="134" t="n">
        <f aca="false">SUM(M93:O93)</f>
        <v>0</v>
      </c>
      <c r="T93" s="134" t="n">
        <f aca="false">SUM(P93:S93)</f>
        <v>0</v>
      </c>
    </row>
    <row r="94" customFormat="false" ht="15" hidden="false" customHeight="true" outlineLevel="0" collapsed="false">
      <c r="A94" s="130" t="str">
        <f aca="false">A51</f>
        <v/>
      </c>
      <c r="B94" s="130" t="n">
        <f aca="false">T51</f>
        <v>0</v>
      </c>
      <c r="C94" s="130" t="n">
        <f aca="false">U51</f>
        <v>0</v>
      </c>
      <c r="D94" s="133"/>
      <c r="E94" s="133"/>
      <c r="F94" s="133"/>
      <c r="G94" s="133"/>
      <c r="H94" s="133"/>
      <c r="I94" s="133"/>
      <c r="J94" s="133"/>
      <c r="K94" s="133"/>
      <c r="L94" s="133"/>
      <c r="M94" s="133"/>
      <c r="N94" s="133"/>
      <c r="O94" s="133"/>
      <c r="P94" s="134" t="n">
        <f aca="false">SUM(D94:F94)</f>
        <v>0</v>
      </c>
      <c r="Q94" s="134" t="n">
        <f aca="false">SUM(G94:I94)</f>
        <v>0</v>
      </c>
      <c r="R94" s="134" t="n">
        <f aca="false">SUM(J94:L94)</f>
        <v>0</v>
      </c>
      <c r="S94" s="134" t="n">
        <f aca="false">SUM(M94:O94)</f>
        <v>0</v>
      </c>
      <c r="T94" s="134" t="n">
        <f aca="false">SUM(P94:S94)</f>
        <v>0</v>
      </c>
    </row>
    <row r="95" customFormat="false" ht="15" hidden="false" customHeight="true" outlineLevel="0" collapsed="false">
      <c r="A95" s="130" t="str">
        <f aca="false">A52</f>
        <v/>
      </c>
      <c r="B95" s="130" t="n">
        <f aca="false">T52</f>
        <v>0</v>
      </c>
      <c r="C95" s="130" t="n">
        <f aca="false">U52</f>
        <v>0</v>
      </c>
      <c r="D95" s="133"/>
      <c r="E95" s="133"/>
      <c r="F95" s="133"/>
      <c r="G95" s="133"/>
      <c r="H95" s="133"/>
      <c r="I95" s="133"/>
      <c r="J95" s="133"/>
      <c r="K95" s="133"/>
      <c r="L95" s="133"/>
      <c r="M95" s="133"/>
      <c r="N95" s="133"/>
      <c r="O95" s="133"/>
      <c r="P95" s="134" t="n">
        <f aca="false">SUM(D95:F95)</f>
        <v>0</v>
      </c>
      <c r="Q95" s="134" t="n">
        <f aca="false">SUM(G95:I95)</f>
        <v>0</v>
      </c>
      <c r="R95" s="134" t="n">
        <f aca="false">SUM(J95:L95)</f>
        <v>0</v>
      </c>
      <c r="S95" s="134" t="n">
        <f aca="false">SUM(M95:O95)</f>
        <v>0</v>
      </c>
      <c r="T95" s="134" t="n">
        <f aca="false">SUM(P95:S95)</f>
        <v>0</v>
      </c>
    </row>
    <row r="96" customFormat="false" ht="15" hidden="false" customHeight="true" outlineLevel="0" collapsed="false">
      <c r="A96" s="130" t="str">
        <f aca="false">A53</f>
        <v/>
      </c>
      <c r="B96" s="130" t="n">
        <f aca="false">T53</f>
        <v>0</v>
      </c>
      <c r="C96" s="130" t="n">
        <f aca="false">U53</f>
        <v>0</v>
      </c>
      <c r="D96" s="133"/>
      <c r="E96" s="133"/>
      <c r="F96" s="133"/>
      <c r="G96" s="133"/>
      <c r="H96" s="133"/>
      <c r="I96" s="133"/>
      <c r="J96" s="133"/>
      <c r="K96" s="133"/>
      <c r="L96" s="133"/>
      <c r="M96" s="133"/>
      <c r="N96" s="133"/>
      <c r="O96" s="133"/>
      <c r="P96" s="134" t="n">
        <f aca="false">SUM(D96:F96)</f>
        <v>0</v>
      </c>
      <c r="Q96" s="134" t="n">
        <f aca="false">SUM(G96:I96)</f>
        <v>0</v>
      </c>
      <c r="R96" s="134" t="n">
        <f aca="false">SUM(J96:L96)</f>
        <v>0</v>
      </c>
      <c r="S96" s="134" t="n">
        <f aca="false">SUM(M96:O96)</f>
        <v>0</v>
      </c>
      <c r="T96" s="134" t="n">
        <f aca="false">SUM(P96:S96)</f>
        <v>0</v>
      </c>
    </row>
    <row r="97" customFormat="false" ht="15" hidden="false" customHeight="true" outlineLevel="0" collapsed="false">
      <c r="A97" s="130" t="str">
        <f aca="false">A54</f>
        <v/>
      </c>
      <c r="B97" s="130" t="n">
        <f aca="false">T54</f>
        <v>0</v>
      </c>
      <c r="C97" s="130" t="n">
        <f aca="false">U54</f>
        <v>0</v>
      </c>
      <c r="D97" s="133"/>
      <c r="E97" s="133"/>
      <c r="F97" s="133"/>
      <c r="G97" s="133"/>
      <c r="H97" s="133"/>
      <c r="I97" s="133"/>
      <c r="J97" s="133"/>
      <c r="K97" s="133"/>
      <c r="L97" s="133"/>
      <c r="M97" s="133"/>
      <c r="N97" s="133"/>
      <c r="O97" s="133"/>
      <c r="P97" s="134" t="n">
        <f aca="false">SUM(D97:F97)</f>
        <v>0</v>
      </c>
      <c r="Q97" s="134" t="n">
        <f aca="false">SUM(G97:I97)</f>
        <v>0</v>
      </c>
      <c r="R97" s="134" t="n">
        <f aca="false">SUM(J97:L97)</f>
        <v>0</v>
      </c>
      <c r="S97" s="134" t="n">
        <f aca="false">SUM(M97:O97)</f>
        <v>0</v>
      </c>
      <c r="T97" s="134" t="n">
        <f aca="false">SUM(P97:S97)</f>
        <v>0</v>
      </c>
    </row>
    <row r="98" customFormat="false" ht="15" hidden="false" customHeight="true" outlineLevel="0" collapsed="false">
      <c r="A98" s="130" t="str">
        <f aca="false">A55</f>
        <v/>
      </c>
      <c r="B98" s="130" t="n">
        <f aca="false">T55</f>
        <v>0</v>
      </c>
      <c r="C98" s="130" t="n">
        <f aca="false">U55</f>
        <v>0</v>
      </c>
      <c r="D98" s="133"/>
      <c r="E98" s="133"/>
      <c r="F98" s="133"/>
      <c r="G98" s="133"/>
      <c r="H98" s="133"/>
      <c r="I98" s="133"/>
      <c r="J98" s="133"/>
      <c r="K98" s="133"/>
      <c r="L98" s="133"/>
      <c r="M98" s="133"/>
      <c r="N98" s="133"/>
      <c r="O98" s="133"/>
      <c r="P98" s="134" t="n">
        <f aca="false">SUM(D98:F98)</f>
        <v>0</v>
      </c>
      <c r="Q98" s="134" t="n">
        <f aca="false">SUM(G98:I98)</f>
        <v>0</v>
      </c>
      <c r="R98" s="134" t="n">
        <f aca="false">SUM(J98:L98)</f>
        <v>0</v>
      </c>
      <c r="S98" s="134" t="n">
        <f aca="false">SUM(M98:O98)</f>
        <v>0</v>
      </c>
      <c r="T98" s="134" t="n">
        <f aca="false">SUM(P98:S98)</f>
        <v>0</v>
      </c>
    </row>
    <row r="99" customFormat="false" ht="15" hidden="false" customHeight="true" outlineLevel="0" collapsed="false">
      <c r="A99" s="130" t="str">
        <f aca="false">A56</f>
        <v/>
      </c>
      <c r="B99" s="130" t="n">
        <f aca="false">T56</f>
        <v>0</v>
      </c>
      <c r="C99" s="130" t="n">
        <f aca="false">U56</f>
        <v>0</v>
      </c>
      <c r="D99" s="133"/>
      <c r="E99" s="133"/>
      <c r="F99" s="133"/>
      <c r="G99" s="133"/>
      <c r="H99" s="133"/>
      <c r="I99" s="133"/>
      <c r="J99" s="133"/>
      <c r="K99" s="133"/>
      <c r="L99" s="133"/>
      <c r="M99" s="133"/>
      <c r="N99" s="133"/>
      <c r="O99" s="133"/>
      <c r="P99" s="134" t="n">
        <f aca="false">SUM(D99:F99)</f>
        <v>0</v>
      </c>
      <c r="Q99" s="134" t="n">
        <f aca="false">SUM(G99:I99)</f>
        <v>0</v>
      </c>
      <c r="R99" s="134" t="n">
        <f aca="false">SUM(J99:L99)</f>
        <v>0</v>
      </c>
      <c r="S99" s="134" t="n">
        <f aca="false">SUM(M99:O99)</f>
        <v>0</v>
      </c>
      <c r="T99" s="134" t="n">
        <f aca="false">SUM(P99:S99)</f>
        <v>0</v>
      </c>
    </row>
    <row r="100" customFormat="false" ht="15" hidden="false" customHeight="true" outlineLevel="0" collapsed="false">
      <c r="A100" s="130" t="str">
        <f aca="false">A57</f>
        <v/>
      </c>
      <c r="B100" s="130" t="n">
        <f aca="false">T57</f>
        <v>0</v>
      </c>
      <c r="C100" s="130" t="n">
        <f aca="false">U57</f>
        <v>0</v>
      </c>
      <c r="D100" s="133"/>
      <c r="E100" s="133"/>
      <c r="F100" s="133"/>
      <c r="G100" s="133"/>
      <c r="H100" s="133"/>
      <c r="I100" s="133"/>
      <c r="J100" s="133"/>
      <c r="K100" s="133"/>
      <c r="L100" s="133"/>
      <c r="M100" s="133"/>
      <c r="N100" s="133"/>
      <c r="O100" s="133"/>
      <c r="P100" s="134" t="n">
        <f aca="false">SUM(D100:F100)</f>
        <v>0</v>
      </c>
      <c r="Q100" s="134" t="n">
        <f aca="false">SUM(G100:I100)</f>
        <v>0</v>
      </c>
      <c r="R100" s="134" t="n">
        <f aca="false">SUM(J100:L100)</f>
        <v>0</v>
      </c>
      <c r="S100" s="134" t="n">
        <f aca="false">SUM(M100:O100)</f>
        <v>0</v>
      </c>
      <c r="T100" s="134" t="n">
        <f aca="false">SUM(P100:S100)</f>
        <v>0</v>
      </c>
    </row>
    <row r="101" customFormat="false" ht="15" hidden="false" customHeight="true" outlineLevel="0" collapsed="false">
      <c r="A101" s="130" t="str">
        <f aca="false">A58</f>
        <v/>
      </c>
      <c r="B101" s="130" t="n">
        <f aca="false">T58</f>
        <v>0</v>
      </c>
      <c r="C101" s="130" t="n">
        <f aca="false">U58</f>
        <v>0</v>
      </c>
      <c r="D101" s="133"/>
      <c r="E101" s="133"/>
      <c r="F101" s="133"/>
      <c r="G101" s="133"/>
      <c r="H101" s="133"/>
      <c r="I101" s="133"/>
      <c r="J101" s="133"/>
      <c r="K101" s="133"/>
      <c r="L101" s="133"/>
      <c r="M101" s="133"/>
      <c r="N101" s="133"/>
      <c r="O101" s="133"/>
      <c r="P101" s="134" t="n">
        <f aca="false">SUM(D101:F101)</f>
        <v>0</v>
      </c>
      <c r="Q101" s="134" t="n">
        <f aca="false">SUM(G101:I101)</f>
        <v>0</v>
      </c>
      <c r="R101" s="134" t="n">
        <f aca="false">SUM(J101:L101)</f>
        <v>0</v>
      </c>
      <c r="S101" s="134" t="n">
        <f aca="false">SUM(M101:O101)</f>
        <v>0</v>
      </c>
      <c r="T101" s="134" t="n">
        <f aca="false">SUM(P101:S101)</f>
        <v>0</v>
      </c>
    </row>
    <row r="102" customFormat="false" ht="15" hidden="false" customHeight="true" outlineLevel="0" collapsed="false">
      <c r="A102" s="130" t="str">
        <f aca="false">A59</f>
        <v/>
      </c>
      <c r="B102" s="130" t="n">
        <f aca="false">T59</f>
        <v>0</v>
      </c>
      <c r="C102" s="130" t="n">
        <f aca="false">U59</f>
        <v>0</v>
      </c>
      <c r="D102" s="133"/>
      <c r="E102" s="133"/>
      <c r="F102" s="133"/>
      <c r="G102" s="133"/>
      <c r="H102" s="133"/>
      <c r="I102" s="133"/>
      <c r="J102" s="133"/>
      <c r="K102" s="133"/>
      <c r="L102" s="133"/>
      <c r="M102" s="133"/>
      <c r="N102" s="133"/>
      <c r="O102" s="133"/>
      <c r="P102" s="134" t="n">
        <f aca="false">SUM(D102:F102)</f>
        <v>0</v>
      </c>
      <c r="Q102" s="134" t="n">
        <f aca="false">SUM(G102:I102)</f>
        <v>0</v>
      </c>
      <c r="R102" s="134" t="n">
        <f aca="false">SUM(J102:L102)</f>
        <v>0</v>
      </c>
      <c r="S102" s="134" t="n">
        <f aca="false">SUM(M102:O102)</f>
        <v>0</v>
      </c>
      <c r="T102" s="134" t="n">
        <f aca="false">SUM(P102:S102)</f>
        <v>0</v>
      </c>
    </row>
    <row r="103" customFormat="false" ht="15" hidden="false" customHeight="true" outlineLevel="0" collapsed="false">
      <c r="A103" s="130" t="str">
        <f aca="false">A60</f>
        <v/>
      </c>
      <c r="B103" s="130" t="n">
        <f aca="false">T60</f>
        <v>0</v>
      </c>
      <c r="C103" s="130" t="n">
        <f aca="false">U60</f>
        <v>0</v>
      </c>
      <c r="D103" s="133"/>
      <c r="E103" s="133"/>
      <c r="F103" s="133"/>
      <c r="G103" s="133"/>
      <c r="H103" s="133"/>
      <c r="I103" s="133"/>
      <c r="J103" s="133"/>
      <c r="K103" s="133"/>
      <c r="L103" s="133"/>
      <c r="M103" s="133"/>
      <c r="N103" s="133"/>
      <c r="O103" s="133"/>
      <c r="P103" s="134" t="n">
        <f aca="false">SUM(D103:F103)</f>
        <v>0</v>
      </c>
      <c r="Q103" s="134" t="n">
        <f aca="false">SUM(G103:I103)</f>
        <v>0</v>
      </c>
      <c r="R103" s="134" t="n">
        <f aca="false">SUM(J103:L103)</f>
        <v>0</v>
      </c>
      <c r="S103" s="134" t="n">
        <f aca="false">SUM(M103:O103)</f>
        <v>0</v>
      </c>
      <c r="T103" s="134" t="n">
        <f aca="false">SUM(P103:S103)</f>
        <v>0</v>
      </c>
    </row>
    <row r="104" customFormat="false" ht="15" hidden="false" customHeight="true" outlineLevel="0" collapsed="false">
      <c r="A104" s="130" t="str">
        <f aca="false">A61</f>
        <v/>
      </c>
      <c r="B104" s="130" t="n">
        <f aca="false">T61</f>
        <v>0</v>
      </c>
      <c r="C104" s="130" t="n">
        <f aca="false">U61</f>
        <v>0</v>
      </c>
      <c r="D104" s="133"/>
      <c r="E104" s="133"/>
      <c r="F104" s="133"/>
      <c r="G104" s="133"/>
      <c r="H104" s="133"/>
      <c r="I104" s="133"/>
      <c r="J104" s="133"/>
      <c r="K104" s="133"/>
      <c r="L104" s="133"/>
      <c r="M104" s="133"/>
      <c r="N104" s="133"/>
      <c r="O104" s="133"/>
      <c r="P104" s="134" t="n">
        <f aca="false">SUM(D104:F104)</f>
        <v>0</v>
      </c>
      <c r="Q104" s="134" t="n">
        <f aca="false">SUM(G104:I104)</f>
        <v>0</v>
      </c>
      <c r="R104" s="134" t="n">
        <f aca="false">SUM(J104:L104)</f>
        <v>0</v>
      </c>
      <c r="S104" s="134" t="n">
        <f aca="false">SUM(M104:O104)</f>
        <v>0</v>
      </c>
      <c r="T104" s="134" t="n">
        <f aca="false">SUM(P104:S104)</f>
        <v>0</v>
      </c>
    </row>
    <row r="105" customFormat="false" ht="15" hidden="false" customHeight="true" outlineLevel="0" collapsed="false">
      <c r="A105" s="130" t="str">
        <f aca="false">A62</f>
        <v/>
      </c>
      <c r="B105" s="130" t="n">
        <f aca="false">T62</f>
        <v>0</v>
      </c>
      <c r="C105" s="130" t="n">
        <f aca="false">U62</f>
        <v>0</v>
      </c>
      <c r="D105" s="133"/>
      <c r="E105" s="133"/>
      <c r="F105" s="133"/>
      <c r="G105" s="133"/>
      <c r="H105" s="133"/>
      <c r="I105" s="133"/>
      <c r="J105" s="133"/>
      <c r="K105" s="133"/>
      <c r="L105" s="133"/>
      <c r="M105" s="133"/>
      <c r="N105" s="133"/>
      <c r="O105" s="133"/>
      <c r="P105" s="134" t="n">
        <f aca="false">SUM(D105:F105)</f>
        <v>0</v>
      </c>
      <c r="Q105" s="134" t="n">
        <f aca="false">SUM(G105:I105)</f>
        <v>0</v>
      </c>
      <c r="R105" s="134" t="n">
        <f aca="false">SUM(J105:L105)</f>
        <v>0</v>
      </c>
      <c r="S105" s="134" t="n">
        <f aca="false">SUM(M105:O105)</f>
        <v>0</v>
      </c>
      <c r="T105" s="134" t="n">
        <f aca="false">SUM(P105:S105)</f>
        <v>0</v>
      </c>
    </row>
    <row r="106" customFormat="false" ht="15" hidden="false" customHeight="true" outlineLevel="0" collapsed="false">
      <c r="A106" s="130" t="str">
        <f aca="false">A63</f>
        <v/>
      </c>
      <c r="B106" s="130" t="n">
        <f aca="false">T63</f>
        <v>0</v>
      </c>
      <c r="C106" s="130" t="n">
        <f aca="false">U63</f>
        <v>0</v>
      </c>
      <c r="D106" s="133"/>
      <c r="E106" s="133"/>
      <c r="F106" s="133"/>
      <c r="G106" s="133"/>
      <c r="H106" s="133"/>
      <c r="I106" s="133"/>
      <c r="J106" s="133"/>
      <c r="K106" s="133"/>
      <c r="L106" s="133"/>
      <c r="M106" s="133"/>
      <c r="N106" s="133"/>
      <c r="O106" s="133"/>
      <c r="P106" s="134" t="n">
        <f aca="false">SUM(D106:F106)</f>
        <v>0</v>
      </c>
      <c r="Q106" s="134" t="n">
        <f aca="false">SUM(G106:I106)</f>
        <v>0</v>
      </c>
      <c r="R106" s="134" t="n">
        <f aca="false">SUM(J106:L106)</f>
        <v>0</v>
      </c>
      <c r="S106" s="134" t="n">
        <f aca="false">SUM(M106:O106)</f>
        <v>0</v>
      </c>
      <c r="T106" s="134" t="n">
        <f aca="false">SUM(P106:S106)</f>
        <v>0</v>
      </c>
    </row>
    <row r="107" customFormat="false" ht="15" hidden="false" customHeight="true" outlineLevel="0" collapsed="false">
      <c r="A107" s="130" t="str">
        <f aca="false">A64</f>
        <v/>
      </c>
      <c r="B107" s="130" t="n">
        <f aca="false">T64</f>
        <v>0</v>
      </c>
      <c r="C107" s="130" t="n">
        <f aca="false">U64</f>
        <v>0</v>
      </c>
      <c r="D107" s="133"/>
      <c r="E107" s="133"/>
      <c r="F107" s="133"/>
      <c r="G107" s="133"/>
      <c r="H107" s="133"/>
      <c r="I107" s="133"/>
      <c r="J107" s="133"/>
      <c r="K107" s="133"/>
      <c r="L107" s="133"/>
      <c r="M107" s="133"/>
      <c r="N107" s="133"/>
      <c r="O107" s="133"/>
      <c r="P107" s="134" t="n">
        <f aca="false">SUM(D107:F107)</f>
        <v>0</v>
      </c>
      <c r="Q107" s="134" t="n">
        <f aca="false">SUM(G107:I107)</f>
        <v>0</v>
      </c>
      <c r="R107" s="134" t="n">
        <f aca="false">SUM(J107:L107)</f>
        <v>0</v>
      </c>
      <c r="S107" s="134" t="n">
        <f aca="false">SUM(M107:O107)</f>
        <v>0</v>
      </c>
      <c r="T107" s="134" t="n">
        <f aca="false">SUM(P107:S107)</f>
        <v>0</v>
      </c>
    </row>
    <row r="108" customFormat="false" ht="15" hidden="false" customHeight="true" outlineLevel="0" collapsed="false">
      <c r="A108" s="130" t="str">
        <f aca="false">A65</f>
        <v/>
      </c>
      <c r="B108" s="130" t="n">
        <f aca="false">T65</f>
        <v>0</v>
      </c>
      <c r="C108" s="130" t="n">
        <f aca="false">U65</f>
        <v>0</v>
      </c>
      <c r="D108" s="133"/>
      <c r="E108" s="133"/>
      <c r="F108" s="133"/>
      <c r="G108" s="133"/>
      <c r="H108" s="133"/>
      <c r="I108" s="133"/>
      <c r="J108" s="133"/>
      <c r="K108" s="133"/>
      <c r="L108" s="133"/>
      <c r="M108" s="133"/>
      <c r="N108" s="133"/>
      <c r="O108" s="133"/>
      <c r="P108" s="134" t="n">
        <f aca="false">SUM(D108:F108)</f>
        <v>0</v>
      </c>
      <c r="Q108" s="134" t="n">
        <f aca="false">SUM(G108:I108)</f>
        <v>0</v>
      </c>
      <c r="R108" s="134" t="n">
        <f aca="false">SUM(J108:L108)</f>
        <v>0</v>
      </c>
      <c r="S108" s="134" t="n">
        <f aca="false">SUM(M108:O108)</f>
        <v>0</v>
      </c>
      <c r="T108" s="134" t="n">
        <f aca="false">SUM(P108:S108)</f>
        <v>0</v>
      </c>
    </row>
    <row r="109" customFormat="false" ht="15" hidden="false" customHeight="true" outlineLevel="0" collapsed="false">
      <c r="A109" s="130" t="str">
        <f aca="false">A66</f>
        <v/>
      </c>
      <c r="B109" s="130" t="n">
        <f aca="false">T66</f>
        <v>0</v>
      </c>
      <c r="C109" s="130" t="n">
        <f aca="false">U66</f>
        <v>0</v>
      </c>
      <c r="D109" s="133"/>
      <c r="E109" s="133"/>
      <c r="F109" s="133"/>
      <c r="G109" s="133"/>
      <c r="H109" s="133"/>
      <c r="I109" s="133"/>
      <c r="J109" s="133"/>
      <c r="K109" s="133"/>
      <c r="L109" s="133"/>
      <c r="M109" s="133"/>
      <c r="N109" s="133"/>
      <c r="O109" s="133"/>
      <c r="P109" s="134" t="n">
        <f aca="false">SUM(D109:F109)</f>
        <v>0</v>
      </c>
      <c r="Q109" s="134" t="n">
        <f aca="false">SUM(G109:I109)</f>
        <v>0</v>
      </c>
      <c r="R109" s="134" t="n">
        <f aca="false">SUM(J109:L109)</f>
        <v>0</v>
      </c>
      <c r="S109" s="134" t="n">
        <f aca="false">SUM(M109:O109)</f>
        <v>0</v>
      </c>
      <c r="T109" s="134" t="n">
        <f aca="false">SUM(P109:S109)</f>
        <v>0</v>
      </c>
    </row>
    <row r="110" customFormat="false" ht="15" hidden="false" customHeight="true" outlineLevel="0" collapsed="false">
      <c r="A110" s="130" t="str">
        <f aca="false">A67</f>
        <v/>
      </c>
      <c r="B110" s="130" t="n">
        <f aca="false">T67</f>
        <v>0</v>
      </c>
      <c r="C110" s="130" t="n">
        <f aca="false">U67</f>
        <v>0</v>
      </c>
      <c r="D110" s="133"/>
      <c r="E110" s="133"/>
      <c r="F110" s="133"/>
      <c r="G110" s="133"/>
      <c r="H110" s="133"/>
      <c r="I110" s="133"/>
      <c r="J110" s="133"/>
      <c r="K110" s="133"/>
      <c r="L110" s="133"/>
      <c r="M110" s="133"/>
      <c r="N110" s="133"/>
      <c r="O110" s="133"/>
      <c r="P110" s="134" t="n">
        <f aca="false">SUM(D110:F110)</f>
        <v>0</v>
      </c>
      <c r="Q110" s="134" t="n">
        <f aca="false">SUM(G110:I110)</f>
        <v>0</v>
      </c>
      <c r="R110" s="134" t="n">
        <f aca="false">SUM(J110:L110)</f>
        <v>0</v>
      </c>
      <c r="S110" s="134" t="n">
        <f aca="false">SUM(M110:O110)</f>
        <v>0</v>
      </c>
      <c r="T110" s="134" t="n">
        <f aca="false">SUM(P110:S110)</f>
        <v>0</v>
      </c>
    </row>
    <row r="112" customFormat="false" ht="19.5" hidden="false" customHeight="true" outlineLevel="0" collapsed="false">
      <c r="A112" s="18" t="s">
        <v>2065</v>
      </c>
      <c r="B112" s="18"/>
      <c r="C112" s="18"/>
      <c r="D112" s="18"/>
      <c r="E112" s="18"/>
      <c r="F112" s="18"/>
      <c r="G112" s="18"/>
      <c r="H112" s="18"/>
    </row>
    <row r="113" customFormat="false" ht="25.5" hidden="false" customHeight="true" outlineLevel="0" collapsed="false">
      <c r="A113" s="19" t="s">
        <v>1570</v>
      </c>
      <c r="B113" s="19" t="s">
        <v>1508</v>
      </c>
      <c r="C113" s="19" t="s">
        <v>1728</v>
      </c>
      <c r="D113" s="19" t="s">
        <v>1997</v>
      </c>
      <c r="E113" s="19" t="s">
        <v>1998</v>
      </c>
      <c r="F113" s="19" t="s">
        <v>1597</v>
      </c>
      <c r="G113" s="19" t="s">
        <v>1599</v>
      </c>
      <c r="H113" s="19" t="s">
        <v>2000</v>
      </c>
    </row>
    <row r="114" customFormat="false" ht="42.75" hidden="false" customHeight="true" outlineLevel="0" collapsed="false">
      <c r="A114" s="130" t="str">
        <f aca="false">PROJETS!A56</f>
        <v>PROJ0001</v>
      </c>
      <c r="B114" s="130" t="str">
        <f aca="false">PROJETS!C56</f>
        <v>Projet d'appui a l'insertion professionnelle des jeunes</v>
      </c>
      <c r="C114" s="134" t="n">
        <f aca="false">IF($A114="",0,SUMIF(tbl_Budget[ID Projet],$A114,tbl_Budget[Montant prevu (FCFA)]))</f>
        <v>0</v>
      </c>
      <c r="D114" s="134" t="n">
        <f aca="false">IF($A114="",0,SUMIF(tbl_Budget[ID Projet],$A114,tbl_Budget[Budget de reference (FCFA)]))</f>
        <v>0</v>
      </c>
      <c r="E114" s="134" t="n">
        <f aca="false">IF($A114="",0,SUMIF(tbl_Budget[ID Projet],$A114,tbl_Budget[Montant engage (FCFA)]))</f>
        <v>0</v>
      </c>
      <c r="F114" s="134" t="n">
        <f aca="false">IF($A114="",0,SUMIF(tbl_Budget[ID Projet],$A114,tbl_Budget[Depenses realisees (FCFA)]))</f>
        <v>0</v>
      </c>
      <c r="G114" s="134" t="n">
        <f aca="false">$D114-$F114</f>
        <v>0</v>
      </c>
      <c r="H114" s="135" t="n">
        <f aca="false">IF($D114=0,0,$F114/$D114)</f>
        <v>0</v>
      </c>
    </row>
    <row r="115" customFormat="false" ht="15" hidden="false" customHeight="true" outlineLevel="0" collapsed="false">
      <c r="A115" s="130" t="str">
        <f aca="false">PROJETS!A57</f>
        <v/>
      </c>
      <c r="B115" s="130" t="n">
        <f aca="false">PROJETS!C57</f>
        <v>0</v>
      </c>
      <c r="C115" s="134" t="n">
        <f aca="false">IF($A115="",0,SUMIF(tbl_Budget[ID Projet],$A115,tbl_Budget[Montant prevu (FCFA)]))</f>
        <v>0</v>
      </c>
      <c r="D115" s="134" t="n">
        <f aca="false">IF($A115="",0,SUMIF(tbl_Budget[ID Projet],$A115,tbl_Budget[Budget de reference (FCFA)]))</f>
        <v>0</v>
      </c>
      <c r="E115" s="134" t="n">
        <f aca="false">IF($A115="",0,SUMIF(tbl_Budget[ID Projet],$A115,tbl_Budget[Montant engage (FCFA)]))</f>
        <v>0</v>
      </c>
      <c r="F115" s="134" t="n">
        <f aca="false">IF($A115="",0,SUMIF(tbl_Budget[ID Projet],$A115,tbl_Budget[Depenses realisees (FCFA)]))</f>
        <v>0</v>
      </c>
      <c r="G115" s="134" t="n">
        <f aca="false">$D115-$F115</f>
        <v>0</v>
      </c>
      <c r="H115" s="135" t="n">
        <f aca="false">IF($D115=0,0,$F115/$D115)</f>
        <v>0</v>
      </c>
    </row>
    <row r="116" customFormat="false" ht="15" hidden="false" customHeight="true" outlineLevel="0" collapsed="false">
      <c r="A116" s="130" t="str">
        <f aca="false">PROJETS!A58</f>
        <v/>
      </c>
      <c r="B116" s="130" t="n">
        <f aca="false">PROJETS!C58</f>
        <v>0</v>
      </c>
      <c r="C116" s="134" t="n">
        <f aca="false">IF($A116="",0,SUMIF(tbl_Budget[ID Projet],$A116,tbl_Budget[Montant prevu (FCFA)]))</f>
        <v>0</v>
      </c>
      <c r="D116" s="134" t="n">
        <f aca="false">IF($A116="",0,SUMIF(tbl_Budget[ID Projet],$A116,tbl_Budget[Budget de reference (FCFA)]))</f>
        <v>0</v>
      </c>
      <c r="E116" s="134" t="n">
        <f aca="false">IF($A116="",0,SUMIF(tbl_Budget[ID Projet],$A116,tbl_Budget[Montant engage (FCFA)]))</f>
        <v>0</v>
      </c>
      <c r="F116" s="134" t="n">
        <f aca="false">IF($A116="",0,SUMIF(tbl_Budget[ID Projet],$A116,tbl_Budget[Depenses realisees (FCFA)]))</f>
        <v>0</v>
      </c>
      <c r="G116" s="134" t="n">
        <f aca="false">$D116-$F116</f>
        <v>0</v>
      </c>
      <c r="H116" s="135" t="n">
        <f aca="false">IF($D116=0,0,$F116/$D116)</f>
        <v>0</v>
      </c>
    </row>
    <row r="117" customFormat="false" ht="15" hidden="false" customHeight="true" outlineLevel="0" collapsed="false">
      <c r="A117" s="130" t="str">
        <f aca="false">PROJETS!A59</f>
        <v/>
      </c>
      <c r="B117" s="130" t="n">
        <f aca="false">PROJETS!C59</f>
        <v>0</v>
      </c>
      <c r="C117" s="134" t="n">
        <f aca="false">IF($A117="",0,SUMIF(tbl_Budget[ID Projet],$A117,tbl_Budget[Montant prevu (FCFA)]))</f>
        <v>0</v>
      </c>
      <c r="D117" s="134" t="n">
        <f aca="false">IF($A117="",0,SUMIF(tbl_Budget[ID Projet],$A117,tbl_Budget[Budget de reference (FCFA)]))</f>
        <v>0</v>
      </c>
      <c r="E117" s="134" t="n">
        <f aca="false">IF($A117="",0,SUMIF(tbl_Budget[ID Projet],$A117,tbl_Budget[Montant engage (FCFA)]))</f>
        <v>0</v>
      </c>
      <c r="F117" s="134" t="n">
        <f aca="false">IF($A117="",0,SUMIF(tbl_Budget[ID Projet],$A117,tbl_Budget[Depenses realisees (FCFA)]))</f>
        <v>0</v>
      </c>
      <c r="G117" s="134" t="n">
        <f aca="false">$D117-$F117</f>
        <v>0</v>
      </c>
      <c r="H117" s="135" t="n">
        <f aca="false">IF($D117=0,0,$F117/$D117)</f>
        <v>0</v>
      </c>
    </row>
    <row r="118" customFormat="false" ht="15" hidden="false" customHeight="true" outlineLevel="0" collapsed="false">
      <c r="A118" s="130" t="str">
        <f aca="false">PROJETS!A60</f>
        <v/>
      </c>
      <c r="B118" s="130" t="n">
        <f aca="false">PROJETS!C60</f>
        <v>0</v>
      </c>
      <c r="C118" s="134" t="n">
        <f aca="false">IF($A118="",0,SUMIF(tbl_Budget[ID Projet],$A118,tbl_Budget[Montant prevu (FCFA)]))</f>
        <v>0</v>
      </c>
      <c r="D118" s="134" t="n">
        <f aca="false">IF($A118="",0,SUMIF(tbl_Budget[ID Projet],$A118,tbl_Budget[Budget de reference (FCFA)]))</f>
        <v>0</v>
      </c>
      <c r="E118" s="134" t="n">
        <f aca="false">IF($A118="",0,SUMIF(tbl_Budget[ID Projet],$A118,tbl_Budget[Montant engage (FCFA)]))</f>
        <v>0</v>
      </c>
      <c r="F118" s="134" t="n">
        <f aca="false">IF($A118="",0,SUMIF(tbl_Budget[ID Projet],$A118,tbl_Budget[Depenses realisees (FCFA)]))</f>
        <v>0</v>
      </c>
      <c r="G118" s="134" t="n">
        <f aca="false">$D118-$F118</f>
        <v>0</v>
      </c>
      <c r="H118" s="135" t="n">
        <f aca="false">IF($D118=0,0,$F118/$D118)</f>
        <v>0</v>
      </c>
    </row>
    <row r="119" customFormat="false" ht="15" hidden="false" customHeight="true" outlineLevel="0" collapsed="false">
      <c r="A119" s="130" t="str">
        <f aca="false">PROJETS!A61</f>
        <v/>
      </c>
      <c r="B119" s="130" t="n">
        <f aca="false">PROJETS!C61</f>
        <v>0</v>
      </c>
      <c r="C119" s="134" t="n">
        <f aca="false">IF($A119="",0,SUMIF(tbl_Budget[ID Projet],$A119,tbl_Budget[Montant prevu (FCFA)]))</f>
        <v>0</v>
      </c>
      <c r="D119" s="134" t="n">
        <f aca="false">IF($A119="",0,SUMIF(tbl_Budget[ID Projet],$A119,tbl_Budget[Budget de reference (FCFA)]))</f>
        <v>0</v>
      </c>
      <c r="E119" s="134" t="n">
        <f aca="false">IF($A119="",0,SUMIF(tbl_Budget[ID Projet],$A119,tbl_Budget[Montant engage (FCFA)]))</f>
        <v>0</v>
      </c>
      <c r="F119" s="134" t="n">
        <f aca="false">IF($A119="",0,SUMIF(tbl_Budget[ID Projet],$A119,tbl_Budget[Depenses realisees (FCFA)]))</f>
        <v>0</v>
      </c>
      <c r="G119" s="134" t="n">
        <f aca="false">$D119-$F119</f>
        <v>0</v>
      </c>
      <c r="H119" s="135" t="n">
        <f aca="false">IF($D119=0,0,$F119/$D119)</f>
        <v>0</v>
      </c>
    </row>
    <row r="120" customFormat="false" ht="15" hidden="false" customHeight="true" outlineLevel="0" collapsed="false">
      <c r="A120" s="130" t="str">
        <f aca="false">PROJETS!A62</f>
        <v/>
      </c>
      <c r="B120" s="130" t="n">
        <f aca="false">PROJETS!C62</f>
        <v>0</v>
      </c>
      <c r="C120" s="134" t="n">
        <f aca="false">IF($A120="",0,SUMIF(tbl_Budget[ID Projet],$A120,tbl_Budget[Montant prevu (FCFA)]))</f>
        <v>0</v>
      </c>
      <c r="D120" s="134" t="n">
        <f aca="false">IF($A120="",0,SUMIF(tbl_Budget[ID Projet],$A120,tbl_Budget[Budget de reference (FCFA)]))</f>
        <v>0</v>
      </c>
      <c r="E120" s="134" t="n">
        <f aca="false">IF($A120="",0,SUMIF(tbl_Budget[ID Projet],$A120,tbl_Budget[Montant engage (FCFA)]))</f>
        <v>0</v>
      </c>
      <c r="F120" s="134" t="n">
        <f aca="false">IF($A120="",0,SUMIF(tbl_Budget[ID Projet],$A120,tbl_Budget[Depenses realisees (FCFA)]))</f>
        <v>0</v>
      </c>
      <c r="G120" s="134" t="n">
        <f aca="false">$D120-$F120</f>
        <v>0</v>
      </c>
      <c r="H120" s="135" t="n">
        <f aca="false">IF($D120=0,0,$F120/$D120)</f>
        <v>0</v>
      </c>
    </row>
    <row r="121" customFormat="false" ht="15" hidden="false" customHeight="true" outlineLevel="0" collapsed="false">
      <c r="A121" s="130" t="str">
        <f aca="false">PROJETS!A63</f>
        <v/>
      </c>
      <c r="B121" s="130" t="n">
        <f aca="false">PROJETS!C63</f>
        <v>0</v>
      </c>
      <c r="C121" s="134" t="n">
        <f aca="false">IF($A121="",0,SUMIF(tbl_Budget[ID Projet],$A121,tbl_Budget[Montant prevu (FCFA)]))</f>
        <v>0</v>
      </c>
      <c r="D121" s="134" t="n">
        <f aca="false">IF($A121="",0,SUMIF(tbl_Budget[ID Projet],$A121,tbl_Budget[Budget de reference (FCFA)]))</f>
        <v>0</v>
      </c>
      <c r="E121" s="134" t="n">
        <f aca="false">IF($A121="",0,SUMIF(tbl_Budget[ID Projet],$A121,tbl_Budget[Montant engage (FCFA)]))</f>
        <v>0</v>
      </c>
      <c r="F121" s="134" t="n">
        <f aca="false">IF($A121="",0,SUMIF(tbl_Budget[ID Projet],$A121,tbl_Budget[Depenses realisees (FCFA)]))</f>
        <v>0</v>
      </c>
      <c r="G121" s="134" t="n">
        <f aca="false">$D121-$F121</f>
        <v>0</v>
      </c>
      <c r="H121" s="135" t="n">
        <f aca="false">IF($D121=0,0,$F121/$D121)</f>
        <v>0</v>
      </c>
    </row>
    <row r="122" customFormat="false" ht="15" hidden="false" customHeight="true" outlineLevel="0" collapsed="false">
      <c r="A122" s="130" t="str">
        <f aca="false">PROJETS!A64</f>
        <v/>
      </c>
      <c r="B122" s="130" t="n">
        <f aca="false">PROJETS!C64</f>
        <v>0</v>
      </c>
      <c r="C122" s="134" t="n">
        <f aca="false">IF($A122="",0,SUMIF(tbl_Budget[ID Projet],$A122,tbl_Budget[Montant prevu (FCFA)]))</f>
        <v>0</v>
      </c>
      <c r="D122" s="134" t="n">
        <f aca="false">IF($A122="",0,SUMIF(tbl_Budget[ID Projet],$A122,tbl_Budget[Budget de reference (FCFA)]))</f>
        <v>0</v>
      </c>
      <c r="E122" s="134" t="n">
        <f aca="false">IF($A122="",0,SUMIF(tbl_Budget[ID Projet],$A122,tbl_Budget[Montant engage (FCFA)]))</f>
        <v>0</v>
      </c>
      <c r="F122" s="134" t="n">
        <f aca="false">IF($A122="",0,SUMIF(tbl_Budget[ID Projet],$A122,tbl_Budget[Depenses realisees (FCFA)]))</f>
        <v>0</v>
      </c>
      <c r="G122" s="134" t="n">
        <f aca="false">$D122-$F122</f>
        <v>0</v>
      </c>
      <c r="H122" s="135" t="n">
        <f aca="false">IF($D122=0,0,$F122/$D122)</f>
        <v>0</v>
      </c>
    </row>
    <row r="123" customFormat="false" ht="15" hidden="false" customHeight="true" outlineLevel="0" collapsed="false">
      <c r="A123" s="130" t="str">
        <f aca="false">PROJETS!A65</f>
        <v/>
      </c>
      <c r="B123" s="130" t="n">
        <f aca="false">PROJETS!C65</f>
        <v>0</v>
      </c>
      <c r="C123" s="134" t="n">
        <f aca="false">IF($A123="",0,SUMIF(tbl_Budget[ID Projet],$A123,tbl_Budget[Montant prevu (FCFA)]))</f>
        <v>0</v>
      </c>
      <c r="D123" s="134" t="n">
        <f aca="false">IF($A123="",0,SUMIF(tbl_Budget[ID Projet],$A123,tbl_Budget[Budget de reference (FCFA)]))</f>
        <v>0</v>
      </c>
      <c r="E123" s="134" t="n">
        <f aca="false">IF($A123="",0,SUMIF(tbl_Budget[ID Projet],$A123,tbl_Budget[Montant engage (FCFA)]))</f>
        <v>0</v>
      </c>
      <c r="F123" s="134" t="n">
        <f aca="false">IF($A123="",0,SUMIF(tbl_Budget[ID Projet],$A123,tbl_Budget[Depenses realisees (FCFA)]))</f>
        <v>0</v>
      </c>
      <c r="G123" s="134" t="n">
        <f aca="false">$D123-$F123</f>
        <v>0</v>
      </c>
      <c r="H123" s="135" t="n">
        <f aca="false">IF($D123=0,0,$F123/$D123)</f>
        <v>0</v>
      </c>
    </row>
    <row r="124" customFormat="false" ht="15" hidden="false" customHeight="true" outlineLevel="0" collapsed="false">
      <c r="A124" s="130" t="str">
        <f aca="false">PROJETS!A66</f>
        <v/>
      </c>
      <c r="B124" s="130" t="n">
        <f aca="false">PROJETS!C66</f>
        <v>0</v>
      </c>
      <c r="C124" s="134" t="n">
        <f aca="false">IF($A124="",0,SUMIF(tbl_Budget[ID Projet],$A124,tbl_Budget[Montant prevu (FCFA)]))</f>
        <v>0</v>
      </c>
      <c r="D124" s="134" t="n">
        <f aca="false">IF($A124="",0,SUMIF(tbl_Budget[ID Projet],$A124,tbl_Budget[Budget de reference (FCFA)]))</f>
        <v>0</v>
      </c>
      <c r="E124" s="134" t="n">
        <f aca="false">IF($A124="",0,SUMIF(tbl_Budget[ID Projet],$A124,tbl_Budget[Montant engage (FCFA)]))</f>
        <v>0</v>
      </c>
      <c r="F124" s="134" t="n">
        <f aca="false">IF($A124="",0,SUMIF(tbl_Budget[ID Projet],$A124,tbl_Budget[Depenses realisees (FCFA)]))</f>
        <v>0</v>
      </c>
      <c r="G124" s="134" t="n">
        <f aca="false">$D124-$F124</f>
        <v>0</v>
      </c>
      <c r="H124" s="135" t="n">
        <f aca="false">IF($D124=0,0,$F124/$D124)</f>
        <v>0</v>
      </c>
    </row>
    <row r="125" customFormat="false" ht="15" hidden="false" customHeight="true" outlineLevel="0" collapsed="false">
      <c r="A125" s="130" t="str">
        <f aca="false">PROJETS!A67</f>
        <v/>
      </c>
      <c r="B125" s="130" t="n">
        <f aca="false">PROJETS!C67</f>
        <v>0</v>
      </c>
      <c r="C125" s="134" t="n">
        <f aca="false">IF($A125="",0,SUMIF(tbl_Budget[ID Projet],$A125,tbl_Budget[Montant prevu (FCFA)]))</f>
        <v>0</v>
      </c>
      <c r="D125" s="134" t="n">
        <f aca="false">IF($A125="",0,SUMIF(tbl_Budget[ID Projet],$A125,tbl_Budget[Budget de reference (FCFA)]))</f>
        <v>0</v>
      </c>
      <c r="E125" s="134" t="n">
        <f aca="false">IF($A125="",0,SUMIF(tbl_Budget[ID Projet],$A125,tbl_Budget[Montant engage (FCFA)]))</f>
        <v>0</v>
      </c>
      <c r="F125" s="134" t="n">
        <f aca="false">IF($A125="",0,SUMIF(tbl_Budget[ID Projet],$A125,tbl_Budget[Depenses realisees (FCFA)]))</f>
        <v>0</v>
      </c>
      <c r="G125" s="134" t="n">
        <f aca="false">$D125-$F125</f>
        <v>0</v>
      </c>
      <c r="H125" s="135" t="n">
        <f aca="false">IF($D125=0,0,$F125/$D125)</f>
        <v>0</v>
      </c>
    </row>
    <row r="126" customFormat="false" ht="15" hidden="false" customHeight="true" outlineLevel="0" collapsed="false">
      <c r="A126" s="130" t="str">
        <f aca="false">PROJETS!A68</f>
        <v/>
      </c>
      <c r="B126" s="130" t="n">
        <f aca="false">PROJETS!C68</f>
        <v>0</v>
      </c>
      <c r="C126" s="134" t="n">
        <f aca="false">IF($A126="",0,SUMIF(tbl_Budget[ID Projet],$A126,tbl_Budget[Montant prevu (FCFA)]))</f>
        <v>0</v>
      </c>
      <c r="D126" s="134" t="n">
        <f aca="false">IF($A126="",0,SUMIF(tbl_Budget[ID Projet],$A126,tbl_Budget[Budget de reference (FCFA)]))</f>
        <v>0</v>
      </c>
      <c r="E126" s="134" t="n">
        <f aca="false">IF($A126="",0,SUMIF(tbl_Budget[ID Projet],$A126,tbl_Budget[Montant engage (FCFA)]))</f>
        <v>0</v>
      </c>
      <c r="F126" s="134" t="n">
        <f aca="false">IF($A126="",0,SUMIF(tbl_Budget[ID Projet],$A126,tbl_Budget[Depenses realisees (FCFA)]))</f>
        <v>0</v>
      </c>
      <c r="G126" s="134" t="n">
        <f aca="false">$D126-$F126</f>
        <v>0</v>
      </c>
      <c r="H126" s="135" t="n">
        <f aca="false">IF($D126=0,0,$F126/$D126)</f>
        <v>0</v>
      </c>
    </row>
    <row r="127" customFormat="false" ht="15" hidden="false" customHeight="true" outlineLevel="0" collapsed="false">
      <c r="A127" s="130" t="str">
        <f aca="false">PROJETS!A69</f>
        <v/>
      </c>
      <c r="B127" s="130" t="n">
        <f aca="false">PROJETS!C69</f>
        <v>0</v>
      </c>
      <c r="C127" s="134" t="n">
        <f aca="false">IF($A127="",0,SUMIF(tbl_Budget[ID Projet],$A127,tbl_Budget[Montant prevu (FCFA)]))</f>
        <v>0</v>
      </c>
      <c r="D127" s="134" t="n">
        <f aca="false">IF($A127="",0,SUMIF(tbl_Budget[ID Projet],$A127,tbl_Budget[Budget de reference (FCFA)]))</f>
        <v>0</v>
      </c>
      <c r="E127" s="134" t="n">
        <f aca="false">IF($A127="",0,SUMIF(tbl_Budget[ID Projet],$A127,tbl_Budget[Montant engage (FCFA)]))</f>
        <v>0</v>
      </c>
      <c r="F127" s="134" t="n">
        <f aca="false">IF($A127="",0,SUMIF(tbl_Budget[ID Projet],$A127,tbl_Budget[Depenses realisees (FCFA)]))</f>
        <v>0</v>
      </c>
      <c r="G127" s="134" t="n">
        <f aca="false">$D127-$F127</f>
        <v>0</v>
      </c>
      <c r="H127" s="135" t="n">
        <f aca="false">IF($D127=0,0,$F127/$D127)</f>
        <v>0</v>
      </c>
    </row>
    <row r="128" customFormat="false" ht="15" hidden="false" customHeight="true" outlineLevel="0" collapsed="false">
      <c r="A128" s="130" t="str">
        <f aca="false">PROJETS!A70</f>
        <v/>
      </c>
      <c r="B128" s="130" t="n">
        <f aca="false">PROJETS!C70</f>
        <v>0</v>
      </c>
      <c r="C128" s="134" t="n">
        <f aca="false">IF($A128="",0,SUMIF(tbl_Budget[ID Projet],$A128,tbl_Budget[Montant prevu (FCFA)]))</f>
        <v>0</v>
      </c>
      <c r="D128" s="134" t="n">
        <f aca="false">IF($A128="",0,SUMIF(tbl_Budget[ID Projet],$A128,tbl_Budget[Budget de reference (FCFA)]))</f>
        <v>0</v>
      </c>
      <c r="E128" s="134" t="n">
        <f aca="false">IF($A128="",0,SUMIF(tbl_Budget[ID Projet],$A128,tbl_Budget[Montant engage (FCFA)]))</f>
        <v>0</v>
      </c>
      <c r="F128" s="134" t="n">
        <f aca="false">IF($A128="",0,SUMIF(tbl_Budget[ID Projet],$A128,tbl_Budget[Depenses realisees (FCFA)]))</f>
        <v>0</v>
      </c>
      <c r="G128" s="134" t="n">
        <f aca="false">$D128-$F128</f>
        <v>0</v>
      </c>
      <c r="H128" s="135" t="n">
        <f aca="false">IF($D128=0,0,$F128/$D128)</f>
        <v>0</v>
      </c>
    </row>
    <row r="129" customFormat="false" ht="15" hidden="false" customHeight="true" outlineLevel="0" collapsed="false">
      <c r="A129" s="130" t="str">
        <f aca="false">PROJETS!A71</f>
        <v/>
      </c>
      <c r="B129" s="130" t="n">
        <f aca="false">PROJETS!C71</f>
        <v>0</v>
      </c>
      <c r="C129" s="134" t="n">
        <f aca="false">IF($A129="",0,SUMIF(tbl_Budget[ID Projet],$A129,tbl_Budget[Montant prevu (FCFA)]))</f>
        <v>0</v>
      </c>
      <c r="D129" s="134" t="n">
        <f aca="false">IF($A129="",0,SUMIF(tbl_Budget[ID Projet],$A129,tbl_Budget[Budget de reference (FCFA)]))</f>
        <v>0</v>
      </c>
      <c r="E129" s="134" t="n">
        <f aca="false">IF($A129="",0,SUMIF(tbl_Budget[ID Projet],$A129,tbl_Budget[Montant engage (FCFA)]))</f>
        <v>0</v>
      </c>
      <c r="F129" s="134" t="n">
        <f aca="false">IF($A129="",0,SUMIF(tbl_Budget[ID Projet],$A129,tbl_Budget[Depenses realisees (FCFA)]))</f>
        <v>0</v>
      </c>
      <c r="G129" s="134" t="n">
        <f aca="false">$D129-$F129</f>
        <v>0</v>
      </c>
      <c r="H129" s="135" t="n">
        <f aca="false">IF($D129=0,0,$F129/$D129)</f>
        <v>0</v>
      </c>
    </row>
    <row r="130" customFormat="false" ht="15" hidden="false" customHeight="true" outlineLevel="0" collapsed="false">
      <c r="A130" s="130" t="str">
        <f aca="false">PROJETS!A72</f>
        <v/>
      </c>
      <c r="B130" s="130" t="n">
        <f aca="false">PROJETS!C72</f>
        <v>0</v>
      </c>
      <c r="C130" s="134" t="n">
        <f aca="false">IF($A130="",0,SUMIF(tbl_Budget[ID Projet],$A130,tbl_Budget[Montant prevu (FCFA)]))</f>
        <v>0</v>
      </c>
      <c r="D130" s="134" t="n">
        <f aca="false">IF($A130="",0,SUMIF(tbl_Budget[ID Projet],$A130,tbl_Budget[Budget de reference (FCFA)]))</f>
        <v>0</v>
      </c>
      <c r="E130" s="134" t="n">
        <f aca="false">IF($A130="",0,SUMIF(tbl_Budget[ID Projet],$A130,tbl_Budget[Montant engage (FCFA)]))</f>
        <v>0</v>
      </c>
      <c r="F130" s="134" t="n">
        <f aca="false">IF($A130="",0,SUMIF(tbl_Budget[ID Projet],$A130,tbl_Budget[Depenses realisees (FCFA)]))</f>
        <v>0</v>
      </c>
      <c r="G130" s="134" t="n">
        <f aca="false">$D130-$F130</f>
        <v>0</v>
      </c>
      <c r="H130" s="135" t="n">
        <f aca="false">IF($D130=0,0,$F130/$D130)</f>
        <v>0</v>
      </c>
    </row>
    <row r="131" customFormat="false" ht="15" hidden="false" customHeight="true" outlineLevel="0" collapsed="false">
      <c r="A131" s="130" t="str">
        <f aca="false">PROJETS!A73</f>
        <v/>
      </c>
      <c r="B131" s="130" t="n">
        <f aca="false">PROJETS!C73</f>
        <v>0</v>
      </c>
      <c r="C131" s="134" t="n">
        <f aca="false">IF($A131="",0,SUMIF(tbl_Budget[ID Projet],$A131,tbl_Budget[Montant prevu (FCFA)]))</f>
        <v>0</v>
      </c>
      <c r="D131" s="134" t="n">
        <f aca="false">IF($A131="",0,SUMIF(tbl_Budget[ID Projet],$A131,tbl_Budget[Budget de reference (FCFA)]))</f>
        <v>0</v>
      </c>
      <c r="E131" s="134" t="n">
        <f aca="false">IF($A131="",0,SUMIF(tbl_Budget[ID Projet],$A131,tbl_Budget[Montant engage (FCFA)]))</f>
        <v>0</v>
      </c>
      <c r="F131" s="134" t="n">
        <f aca="false">IF($A131="",0,SUMIF(tbl_Budget[ID Projet],$A131,tbl_Budget[Depenses realisees (FCFA)]))</f>
        <v>0</v>
      </c>
      <c r="G131" s="134" t="n">
        <f aca="false">$D131-$F131</f>
        <v>0</v>
      </c>
      <c r="H131" s="135" t="n">
        <f aca="false">IF($D131=0,0,$F131/$D131)</f>
        <v>0</v>
      </c>
    </row>
    <row r="132" customFormat="false" ht="15" hidden="false" customHeight="true" outlineLevel="0" collapsed="false">
      <c r="A132" s="130" t="str">
        <f aca="false">PROJETS!A74</f>
        <v/>
      </c>
      <c r="B132" s="130" t="n">
        <f aca="false">PROJETS!C74</f>
        <v>0</v>
      </c>
      <c r="C132" s="134" t="n">
        <f aca="false">IF($A132="",0,SUMIF(tbl_Budget[ID Projet],$A132,tbl_Budget[Montant prevu (FCFA)]))</f>
        <v>0</v>
      </c>
      <c r="D132" s="134" t="n">
        <f aca="false">IF($A132="",0,SUMIF(tbl_Budget[ID Projet],$A132,tbl_Budget[Budget de reference (FCFA)]))</f>
        <v>0</v>
      </c>
      <c r="E132" s="134" t="n">
        <f aca="false">IF($A132="",0,SUMIF(tbl_Budget[ID Projet],$A132,tbl_Budget[Montant engage (FCFA)]))</f>
        <v>0</v>
      </c>
      <c r="F132" s="134" t="n">
        <f aca="false">IF($A132="",0,SUMIF(tbl_Budget[ID Projet],$A132,tbl_Budget[Depenses realisees (FCFA)]))</f>
        <v>0</v>
      </c>
      <c r="G132" s="134" t="n">
        <f aca="false">$D132-$F132</f>
        <v>0</v>
      </c>
      <c r="H132" s="135" t="n">
        <f aca="false">IF($D132=0,0,$F132/$D132)</f>
        <v>0</v>
      </c>
    </row>
    <row r="133" customFormat="false" ht="15" hidden="false" customHeight="true" outlineLevel="0" collapsed="false">
      <c r="A133" s="130" t="str">
        <f aca="false">PROJETS!A75</f>
        <v/>
      </c>
      <c r="B133" s="130" t="n">
        <f aca="false">PROJETS!C75</f>
        <v>0</v>
      </c>
      <c r="C133" s="134" t="n">
        <f aca="false">IF($A133="",0,SUMIF(tbl_Budget[ID Projet],$A133,tbl_Budget[Montant prevu (FCFA)]))</f>
        <v>0</v>
      </c>
      <c r="D133" s="134" t="n">
        <f aca="false">IF($A133="",0,SUMIF(tbl_Budget[ID Projet],$A133,tbl_Budget[Budget de reference (FCFA)]))</f>
        <v>0</v>
      </c>
      <c r="E133" s="134" t="n">
        <f aca="false">IF($A133="",0,SUMIF(tbl_Budget[ID Projet],$A133,tbl_Budget[Montant engage (FCFA)]))</f>
        <v>0</v>
      </c>
      <c r="F133" s="134" t="n">
        <f aca="false">IF($A133="",0,SUMIF(tbl_Budget[ID Projet],$A133,tbl_Budget[Depenses realisees (FCFA)]))</f>
        <v>0</v>
      </c>
      <c r="G133" s="134" t="n">
        <f aca="false">$D133-$F133</f>
        <v>0</v>
      </c>
      <c r="H133" s="135" t="n">
        <f aca="false">IF($D133=0,0,$F133/$D133)</f>
        <v>0</v>
      </c>
    </row>
    <row r="134" customFormat="false" ht="15" hidden="false" customHeight="true" outlineLevel="0" collapsed="false">
      <c r="A134" s="130" t="str">
        <f aca="false">PROJETS!A76</f>
        <v/>
      </c>
      <c r="B134" s="130" t="n">
        <f aca="false">PROJETS!C76</f>
        <v>0</v>
      </c>
      <c r="C134" s="134" t="n">
        <f aca="false">IF($A134="",0,SUMIF(tbl_Budget[ID Projet],$A134,tbl_Budget[Montant prevu (FCFA)]))</f>
        <v>0</v>
      </c>
      <c r="D134" s="134" t="n">
        <f aca="false">IF($A134="",0,SUMIF(tbl_Budget[ID Projet],$A134,tbl_Budget[Budget de reference (FCFA)]))</f>
        <v>0</v>
      </c>
      <c r="E134" s="134" t="n">
        <f aca="false">IF($A134="",0,SUMIF(tbl_Budget[ID Projet],$A134,tbl_Budget[Montant engage (FCFA)]))</f>
        <v>0</v>
      </c>
      <c r="F134" s="134" t="n">
        <f aca="false">IF($A134="",0,SUMIF(tbl_Budget[ID Projet],$A134,tbl_Budget[Depenses realisees (FCFA)]))</f>
        <v>0</v>
      </c>
      <c r="G134" s="134" t="n">
        <f aca="false">$D134-$F134</f>
        <v>0</v>
      </c>
      <c r="H134" s="135" t="n">
        <f aca="false">IF($D134=0,0,$F134/$D134)</f>
        <v>0</v>
      </c>
    </row>
    <row r="135" customFormat="false" ht="15" hidden="false" customHeight="true" outlineLevel="0" collapsed="false">
      <c r="A135" s="130" t="str">
        <f aca="false">PROJETS!A77</f>
        <v/>
      </c>
      <c r="B135" s="130" t="n">
        <f aca="false">PROJETS!C77</f>
        <v>0</v>
      </c>
      <c r="C135" s="134" t="n">
        <f aca="false">IF($A135="",0,SUMIF(tbl_Budget[ID Projet],$A135,tbl_Budget[Montant prevu (FCFA)]))</f>
        <v>0</v>
      </c>
      <c r="D135" s="134" t="n">
        <f aca="false">IF($A135="",0,SUMIF(tbl_Budget[ID Projet],$A135,tbl_Budget[Budget de reference (FCFA)]))</f>
        <v>0</v>
      </c>
      <c r="E135" s="134" t="n">
        <f aca="false">IF($A135="",0,SUMIF(tbl_Budget[ID Projet],$A135,tbl_Budget[Montant engage (FCFA)]))</f>
        <v>0</v>
      </c>
      <c r="F135" s="134" t="n">
        <f aca="false">IF($A135="",0,SUMIF(tbl_Budget[ID Projet],$A135,tbl_Budget[Depenses realisees (FCFA)]))</f>
        <v>0</v>
      </c>
      <c r="G135" s="134" t="n">
        <f aca="false">$D135-$F135</f>
        <v>0</v>
      </c>
      <c r="H135" s="135" t="n">
        <f aca="false">IF($D135=0,0,$F135/$D135)</f>
        <v>0</v>
      </c>
    </row>
    <row r="136" customFormat="false" ht="15" hidden="false" customHeight="true" outlineLevel="0" collapsed="false">
      <c r="A136" s="130" t="str">
        <f aca="false">PROJETS!A78</f>
        <v/>
      </c>
      <c r="B136" s="130" t="n">
        <f aca="false">PROJETS!C78</f>
        <v>0</v>
      </c>
      <c r="C136" s="134" t="n">
        <f aca="false">IF($A136="",0,SUMIF(tbl_Budget[ID Projet],$A136,tbl_Budget[Montant prevu (FCFA)]))</f>
        <v>0</v>
      </c>
      <c r="D136" s="134" t="n">
        <f aca="false">IF($A136="",0,SUMIF(tbl_Budget[ID Projet],$A136,tbl_Budget[Budget de reference (FCFA)]))</f>
        <v>0</v>
      </c>
      <c r="E136" s="134" t="n">
        <f aca="false">IF($A136="",0,SUMIF(tbl_Budget[ID Projet],$A136,tbl_Budget[Montant engage (FCFA)]))</f>
        <v>0</v>
      </c>
      <c r="F136" s="134" t="n">
        <f aca="false">IF($A136="",0,SUMIF(tbl_Budget[ID Projet],$A136,tbl_Budget[Depenses realisees (FCFA)]))</f>
        <v>0</v>
      </c>
      <c r="G136" s="134" t="n">
        <f aca="false">$D136-$F136</f>
        <v>0</v>
      </c>
      <c r="H136" s="135" t="n">
        <f aca="false">IF($D136=0,0,$F136/$D136)</f>
        <v>0</v>
      </c>
    </row>
    <row r="137" customFormat="false" ht="15" hidden="false" customHeight="true" outlineLevel="0" collapsed="false">
      <c r="A137" s="130" t="str">
        <f aca="false">PROJETS!A79</f>
        <v/>
      </c>
      <c r="B137" s="130" t="n">
        <f aca="false">PROJETS!C79</f>
        <v>0</v>
      </c>
      <c r="C137" s="134" t="n">
        <f aca="false">IF($A137="",0,SUMIF(tbl_Budget[ID Projet],$A137,tbl_Budget[Montant prevu (FCFA)]))</f>
        <v>0</v>
      </c>
      <c r="D137" s="134" t="n">
        <f aca="false">IF($A137="",0,SUMIF(tbl_Budget[ID Projet],$A137,tbl_Budget[Budget de reference (FCFA)]))</f>
        <v>0</v>
      </c>
      <c r="E137" s="134" t="n">
        <f aca="false">IF($A137="",0,SUMIF(tbl_Budget[ID Projet],$A137,tbl_Budget[Montant engage (FCFA)]))</f>
        <v>0</v>
      </c>
      <c r="F137" s="134" t="n">
        <f aca="false">IF($A137="",0,SUMIF(tbl_Budget[ID Projet],$A137,tbl_Budget[Depenses realisees (FCFA)]))</f>
        <v>0</v>
      </c>
      <c r="G137" s="134" t="n">
        <f aca="false">$D137-$F137</f>
        <v>0</v>
      </c>
      <c r="H137" s="135" t="n">
        <f aca="false">IF($D137=0,0,$F137/$D137)</f>
        <v>0</v>
      </c>
    </row>
    <row r="138" customFormat="false" ht="15" hidden="false" customHeight="true" outlineLevel="0" collapsed="false">
      <c r="A138" s="130" t="str">
        <f aca="false">PROJETS!A80</f>
        <v/>
      </c>
      <c r="B138" s="130" t="n">
        <f aca="false">PROJETS!C80</f>
        <v>0</v>
      </c>
      <c r="C138" s="134" t="n">
        <f aca="false">IF($A138="",0,SUMIF(tbl_Budget[ID Projet],$A138,tbl_Budget[Montant prevu (FCFA)]))</f>
        <v>0</v>
      </c>
      <c r="D138" s="134" t="n">
        <f aca="false">IF($A138="",0,SUMIF(tbl_Budget[ID Projet],$A138,tbl_Budget[Budget de reference (FCFA)]))</f>
        <v>0</v>
      </c>
      <c r="E138" s="134" t="n">
        <f aca="false">IF($A138="",0,SUMIF(tbl_Budget[ID Projet],$A138,tbl_Budget[Montant engage (FCFA)]))</f>
        <v>0</v>
      </c>
      <c r="F138" s="134" t="n">
        <f aca="false">IF($A138="",0,SUMIF(tbl_Budget[ID Projet],$A138,tbl_Budget[Depenses realisees (FCFA)]))</f>
        <v>0</v>
      </c>
      <c r="G138" s="134" t="n">
        <f aca="false">$D138-$F138</f>
        <v>0</v>
      </c>
      <c r="H138" s="135" t="n">
        <f aca="false">IF($D138=0,0,$F138/$D138)</f>
        <v>0</v>
      </c>
    </row>
    <row r="139" customFormat="false" ht="15" hidden="false" customHeight="true" outlineLevel="0" collapsed="false">
      <c r="A139" s="130" t="str">
        <f aca="false">PROJETS!A81</f>
        <v/>
      </c>
      <c r="B139" s="130" t="n">
        <f aca="false">PROJETS!C81</f>
        <v>0</v>
      </c>
      <c r="C139" s="134" t="n">
        <f aca="false">IF($A139="",0,SUMIF(tbl_Budget[ID Projet],$A139,tbl_Budget[Montant prevu (FCFA)]))</f>
        <v>0</v>
      </c>
      <c r="D139" s="134" t="n">
        <f aca="false">IF($A139="",0,SUMIF(tbl_Budget[ID Projet],$A139,tbl_Budget[Budget de reference (FCFA)]))</f>
        <v>0</v>
      </c>
      <c r="E139" s="134" t="n">
        <f aca="false">IF($A139="",0,SUMIF(tbl_Budget[ID Projet],$A139,tbl_Budget[Montant engage (FCFA)]))</f>
        <v>0</v>
      </c>
      <c r="F139" s="134" t="n">
        <f aca="false">IF($A139="",0,SUMIF(tbl_Budget[ID Projet],$A139,tbl_Budget[Depenses realisees (FCFA)]))</f>
        <v>0</v>
      </c>
      <c r="G139" s="134" t="n">
        <f aca="false">$D139-$F139</f>
        <v>0</v>
      </c>
      <c r="H139" s="135" t="n">
        <f aca="false">IF($D139=0,0,$F139/$D139)</f>
        <v>0</v>
      </c>
    </row>
    <row r="140" customFormat="false" ht="15" hidden="false" customHeight="true" outlineLevel="0" collapsed="false">
      <c r="A140" s="130" t="str">
        <f aca="false">PROJETS!A82</f>
        <v/>
      </c>
      <c r="B140" s="130" t="n">
        <f aca="false">PROJETS!C82</f>
        <v>0</v>
      </c>
      <c r="C140" s="134" t="n">
        <f aca="false">IF($A140="",0,SUMIF(tbl_Budget[ID Projet],$A140,tbl_Budget[Montant prevu (FCFA)]))</f>
        <v>0</v>
      </c>
      <c r="D140" s="134" t="n">
        <f aca="false">IF($A140="",0,SUMIF(tbl_Budget[ID Projet],$A140,tbl_Budget[Budget de reference (FCFA)]))</f>
        <v>0</v>
      </c>
      <c r="E140" s="134" t="n">
        <f aca="false">IF($A140="",0,SUMIF(tbl_Budget[ID Projet],$A140,tbl_Budget[Montant engage (FCFA)]))</f>
        <v>0</v>
      </c>
      <c r="F140" s="134" t="n">
        <f aca="false">IF($A140="",0,SUMIF(tbl_Budget[ID Projet],$A140,tbl_Budget[Depenses realisees (FCFA)]))</f>
        <v>0</v>
      </c>
      <c r="G140" s="134" t="n">
        <f aca="false">$D140-$F140</f>
        <v>0</v>
      </c>
      <c r="H140" s="135" t="n">
        <f aca="false">IF($D140=0,0,$F140/$D140)</f>
        <v>0</v>
      </c>
    </row>
    <row r="141" customFormat="false" ht="15" hidden="false" customHeight="true" outlineLevel="0" collapsed="false">
      <c r="A141" s="130" t="str">
        <f aca="false">PROJETS!A83</f>
        <v/>
      </c>
      <c r="B141" s="130" t="n">
        <f aca="false">PROJETS!C83</f>
        <v>0</v>
      </c>
      <c r="C141" s="134" t="n">
        <f aca="false">IF($A141="",0,SUMIF(tbl_Budget[ID Projet],$A141,tbl_Budget[Montant prevu (FCFA)]))</f>
        <v>0</v>
      </c>
      <c r="D141" s="134" t="n">
        <f aca="false">IF($A141="",0,SUMIF(tbl_Budget[ID Projet],$A141,tbl_Budget[Budget de reference (FCFA)]))</f>
        <v>0</v>
      </c>
      <c r="E141" s="134" t="n">
        <f aca="false">IF($A141="",0,SUMIF(tbl_Budget[ID Projet],$A141,tbl_Budget[Montant engage (FCFA)]))</f>
        <v>0</v>
      </c>
      <c r="F141" s="134" t="n">
        <f aca="false">IF($A141="",0,SUMIF(tbl_Budget[ID Projet],$A141,tbl_Budget[Depenses realisees (FCFA)]))</f>
        <v>0</v>
      </c>
      <c r="G141" s="134" t="n">
        <f aca="false">$D141-$F141</f>
        <v>0</v>
      </c>
      <c r="H141" s="135" t="n">
        <f aca="false">IF($D141=0,0,$F141/$D141)</f>
        <v>0</v>
      </c>
    </row>
    <row r="142" customFormat="false" ht="15" hidden="false" customHeight="true" outlineLevel="0" collapsed="false">
      <c r="A142" s="130" t="str">
        <f aca="false">PROJETS!A84</f>
        <v/>
      </c>
      <c r="B142" s="130" t="n">
        <f aca="false">PROJETS!C84</f>
        <v>0</v>
      </c>
      <c r="C142" s="134" t="n">
        <f aca="false">IF($A142="",0,SUMIF(tbl_Budget[ID Projet],$A142,tbl_Budget[Montant prevu (FCFA)]))</f>
        <v>0</v>
      </c>
      <c r="D142" s="134" t="n">
        <f aca="false">IF($A142="",0,SUMIF(tbl_Budget[ID Projet],$A142,tbl_Budget[Budget de reference (FCFA)]))</f>
        <v>0</v>
      </c>
      <c r="E142" s="134" t="n">
        <f aca="false">IF($A142="",0,SUMIF(tbl_Budget[ID Projet],$A142,tbl_Budget[Montant engage (FCFA)]))</f>
        <v>0</v>
      </c>
      <c r="F142" s="134" t="n">
        <f aca="false">IF($A142="",0,SUMIF(tbl_Budget[ID Projet],$A142,tbl_Budget[Depenses realisees (FCFA)]))</f>
        <v>0</v>
      </c>
      <c r="G142" s="134" t="n">
        <f aca="false">$D142-$F142</f>
        <v>0</v>
      </c>
      <c r="H142" s="135" t="n">
        <f aca="false">IF($D142=0,0,$F142/$D142)</f>
        <v>0</v>
      </c>
    </row>
    <row r="143" customFormat="false" ht="15" hidden="false" customHeight="true" outlineLevel="0" collapsed="false">
      <c r="A143" s="130" t="str">
        <f aca="false">PROJETS!A85</f>
        <v/>
      </c>
      <c r="B143" s="130" t="n">
        <f aca="false">PROJETS!C85</f>
        <v>0</v>
      </c>
      <c r="C143" s="134" t="n">
        <f aca="false">IF($A143="",0,SUMIF(tbl_Budget[ID Projet],$A143,tbl_Budget[Montant prevu (FCFA)]))</f>
        <v>0</v>
      </c>
      <c r="D143" s="134" t="n">
        <f aca="false">IF($A143="",0,SUMIF(tbl_Budget[ID Projet],$A143,tbl_Budget[Budget de reference (FCFA)]))</f>
        <v>0</v>
      </c>
      <c r="E143" s="134" t="n">
        <f aca="false">IF($A143="",0,SUMIF(tbl_Budget[ID Projet],$A143,tbl_Budget[Montant engage (FCFA)]))</f>
        <v>0</v>
      </c>
      <c r="F143" s="134" t="n">
        <f aca="false">IF($A143="",0,SUMIF(tbl_Budget[ID Projet],$A143,tbl_Budget[Depenses realisees (FCFA)]))</f>
        <v>0</v>
      </c>
      <c r="G143" s="134" t="n">
        <f aca="false">$D143-$F143</f>
        <v>0</v>
      </c>
      <c r="H143" s="135" t="n">
        <f aca="false">IF($D143=0,0,$F143/$D143)</f>
        <v>0</v>
      </c>
    </row>
    <row r="144" customFormat="false" ht="15" hidden="false" customHeight="true" outlineLevel="0" collapsed="false">
      <c r="A144" s="130" t="str">
        <f aca="false">PROJETS!A86</f>
        <v/>
      </c>
      <c r="B144" s="130" t="n">
        <f aca="false">PROJETS!C86</f>
        <v>0</v>
      </c>
      <c r="C144" s="134" t="n">
        <f aca="false">IF($A144="",0,SUMIF(tbl_Budget[ID Projet],$A144,tbl_Budget[Montant prevu (FCFA)]))</f>
        <v>0</v>
      </c>
      <c r="D144" s="134" t="n">
        <f aca="false">IF($A144="",0,SUMIF(tbl_Budget[ID Projet],$A144,tbl_Budget[Budget de reference (FCFA)]))</f>
        <v>0</v>
      </c>
      <c r="E144" s="134" t="n">
        <f aca="false">IF($A144="",0,SUMIF(tbl_Budget[ID Projet],$A144,tbl_Budget[Montant engage (FCFA)]))</f>
        <v>0</v>
      </c>
      <c r="F144" s="134" t="n">
        <f aca="false">IF($A144="",0,SUMIF(tbl_Budget[ID Projet],$A144,tbl_Budget[Depenses realisees (FCFA)]))</f>
        <v>0</v>
      </c>
      <c r="G144" s="134" t="n">
        <f aca="false">$D144-$F144</f>
        <v>0</v>
      </c>
      <c r="H144" s="135" t="n">
        <f aca="false">IF($D144=0,0,$F144/$D144)</f>
        <v>0</v>
      </c>
    </row>
    <row r="145" customFormat="false" ht="15" hidden="false" customHeight="true" outlineLevel="0" collapsed="false">
      <c r="A145" s="130" t="str">
        <f aca="false">PROJETS!A87</f>
        <v/>
      </c>
      <c r="B145" s="130" t="n">
        <f aca="false">PROJETS!C87</f>
        <v>0</v>
      </c>
      <c r="C145" s="134" t="n">
        <f aca="false">IF($A145="",0,SUMIF(tbl_Budget[ID Projet],$A145,tbl_Budget[Montant prevu (FCFA)]))</f>
        <v>0</v>
      </c>
      <c r="D145" s="134" t="n">
        <f aca="false">IF($A145="",0,SUMIF(tbl_Budget[ID Projet],$A145,tbl_Budget[Budget de reference (FCFA)]))</f>
        <v>0</v>
      </c>
      <c r="E145" s="134" t="n">
        <f aca="false">IF($A145="",0,SUMIF(tbl_Budget[ID Projet],$A145,tbl_Budget[Montant engage (FCFA)]))</f>
        <v>0</v>
      </c>
      <c r="F145" s="134" t="n">
        <f aca="false">IF($A145="",0,SUMIF(tbl_Budget[ID Projet],$A145,tbl_Budget[Depenses realisees (FCFA)]))</f>
        <v>0</v>
      </c>
      <c r="G145" s="134" t="n">
        <f aca="false">$D145-$F145</f>
        <v>0</v>
      </c>
      <c r="H145" s="135" t="n">
        <f aca="false">IF($D145=0,0,$F145/$D145)</f>
        <v>0</v>
      </c>
    </row>
    <row r="146" customFormat="false" ht="15" hidden="false" customHeight="true" outlineLevel="0" collapsed="false">
      <c r="A146" s="130" t="str">
        <f aca="false">PROJETS!A88</f>
        <v/>
      </c>
      <c r="B146" s="130" t="n">
        <f aca="false">PROJETS!C88</f>
        <v>0</v>
      </c>
      <c r="C146" s="134" t="n">
        <f aca="false">IF($A146="",0,SUMIF(tbl_Budget[ID Projet],$A146,tbl_Budget[Montant prevu (FCFA)]))</f>
        <v>0</v>
      </c>
      <c r="D146" s="134" t="n">
        <f aca="false">IF($A146="",0,SUMIF(tbl_Budget[ID Projet],$A146,tbl_Budget[Budget de reference (FCFA)]))</f>
        <v>0</v>
      </c>
      <c r="E146" s="134" t="n">
        <f aca="false">IF($A146="",0,SUMIF(tbl_Budget[ID Projet],$A146,tbl_Budget[Montant engage (FCFA)]))</f>
        <v>0</v>
      </c>
      <c r="F146" s="134" t="n">
        <f aca="false">IF($A146="",0,SUMIF(tbl_Budget[ID Projet],$A146,tbl_Budget[Depenses realisees (FCFA)]))</f>
        <v>0</v>
      </c>
      <c r="G146" s="134" t="n">
        <f aca="false">$D146-$F146</f>
        <v>0</v>
      </c>
      <c r="H146" s="135" t="n">
        <f aca="false">IF($D146=0,0,$F146/$D146)</f>
        <v>0</v>
      </c>
    </row>
    <row r="147" customFormat="false" ht="15" hidden="false" customHeight="true" outlineLevel="0" collapsed="false">
      <c r="A147" s="130" t="str">
        <f aca="false">PROJETS!A89</f>
        <v/>
      </c>
      <c r="B147" s="130" t="n">
        <f aca="false">PROJETS!C89</f>
        <v>0</v>
      </c>
      <c r="C147" s="134" t="n">
        <f aca="false">IF($A147="",0,SUMIF(tbl_Budget[ID Projet],$A147,tbl_Budget[Montant prevu (FCFA)]))</f>
        <v>0</v>
      </c>
      <c r="D147" s="134" t="n">
        <f aca="false">IF($A147="",0,SUMIF(tbl_Budget[ID Projet],$A147,tbl_Budget[Budget de reference (FCFA)]))</f>
        <v>0</v>
      </c>
      <c r="E147" s="134" t="n">
        <f aca="false">IF($A147="",0,SUMIF(tbl_Budget[ID Projet],$A147,tbl_Budget[Montant engage (FCFA)]))</f>
        <v>0</v>
      </c>
      <c r="F147" s="134" t="n">
        <f aca="false">IF($A147="",0,SUMIF(tbl_Budget[ID Projet],$A147,tbl_Budget[Depenses realisees (FCFA)]))</f>
        <v>0</v>
      </c>
      <c r="G147" s="134" t="n">
        <f aca="false">$D147-$F147</f>
        <v>0</v>
      </c>
      <c r="H147" s="135" t="n">
        <f aca="false">IF($D147=0,0,$F147/$D147)</f>
        <v>0</v>
      </c>
    </row>
    <row r="148" customFormat="false" ht="15" hidden="false" customHeight="true" outlineLevel="0" collapsed="false">
      <c r="A148" s="130" t="str">
        <f aca="false">PROJETS!A90</f>
        <v/>
      </c>
      <c r="B148" s="130" t="n">
        <f aca="false">PROJETS!C90</f>
        <v>0</v>
      </c>
      <c r="C148" s="134" t="n">
        <f aca="false">IF($A148="",0,SUMIF(tbl_Budget[ID Projet],$A148,tbl_Budget[Montant prevu (FCFA)]))</f>
        <v>0</v>
      </c>
      <c r="D148" s="134" t="n">
        <f aca="false">IF($A148="",0,SUMIF(tbl_Budget[ID Projet],$A148,tbl_Budget[Budget de reference (FCFA)]))</f>
        <v>0</v>
      </c>
      <c r="E148" s="134" t="n">
        <f aca="false">IF($A148="",0,SUMIF(tbl_Budget[ID Projet],$A148,tbl_Budget[Montant engage (FCFA)]))</f>
        <v>0</v>
      </c>
      <c r="F148" s="134" t="n">
        <f aca="false">IF($A148="",0,SUMIF(tbl_Budget[ID Projet],$A148,tbl_Budget[Depenses realisees (FCFA)]))</f>
        <v>0</v>
      </c>
      <c r="G148" s="134" t="n">
        <f aca="false">$D148-$F148</f>
        <v>0</v>
      </c>
      <c r="H148" s="135" t="n">
        <f aca="false">IF($D148=0,0,$F148/$D148)</f>
        <v>0</v>
      </c>
    </row>
    <row r="149" customFormat="false" ht="15" hidden="false" customHeight="true" outlineLevel="0" collapsed="false">
      <c r="A149" s="130" t="str">
        <f aca="false">PROJETS!A91</f>
        <v/>
      </c>
      <c r="B149" s="130" t="n">
        <f aca="false">PROJETS!C91</f>
        <v>0</v>
      </c>
      <c r="C149" s="134" t="n">
        <f aca="false">IF($A149="",0,SUMIF(tbl_Budget[ID Projet],$A149,tbl_Budget[Montant prevu (FCFA)]))</f>
        <v>0</v>
      </c>
      <c r="D149" s="134" t="n">
        <f aca="false">IF($A149="",0,SUMIF(tbl_Budget[ID Projet],$A149,tbl_Budget[Budget de reference (FCFA)]))</f>
        <v>0</v>
      </c>
      <c r="E149" s="134" t="n">
        <f aca="false">IF($A149="",0,SUMIF(tbl_Budget[ID Projet],$A149,tbl_Budget[Montant engage (FCFA)]))</f>
        <v>0</v>
      </c>
      <c r="F149" s="134" t="n">
        <f aca="false">IF($A149="",0,SUMIF(tbl_Budget[ID Projet],$A149,tbl_Budget[Depenses realisees (FCFA)]))</f>
        <v>0</v>
      </c>
      <c r="G149" s="134" t="n">
        <f aca="false">$D149-$F149</f>
        <v>0</v>
      </c>
      <c r="H149" s="135" t="n">
        <f aca="false">IF($D149=0,0,$F149/$D149)</f>
        <v>0</v>
      </c>
    </row>
    <row r="150" customFormat="false" ht="15" hidden="false" customHeight="true" outlineLevel="0" collapsed="false">
      <c r="A150" s="130" t="str">
        <f aca="false">PROJETS!A92</f>
        <v/>
      </c>
      <c r="B150" s="130" t="n">
        <f aca="false">PROJETS!C92</f>
        <v>0</v>
      </c>
      <c r="C150" s="134" t="n">
        <f aca="false">IF($A150="",0,SUMIF(tbl_Budget[ID Projet],$A150,tbl_Budget[Montant prevu (FCFA)]))</f>
        <v>0</v>
      </c>
      <c r="D150" s="134" t="n">
        <f aca="false">IF($A150="",0,SUMIF(tbl_Budget[ID Projet],$A150,tbl_Budget[Budget de reference (FCFA)]))</f>
        <v>0</v>
      </c>
      <c r="E150" s="134" t="n">
        <f aca="false">IF($A150="",0,SUMIF(tbl_Budget[ID Projet],$A150,tbl_Budget[Montant engage (FCFA)]))</f>
        <v>0</v>
      </c>
      <c r="F150" s="134" t="n">
        <f aca="false">IF($A150="",0,SUMIF(tbl_Budget[ID Projet],$A150,tbl_Budget[Depenses realisees (FCFA)]))</f>
        <v>0</v>
      </c>
      <c r="G150" s="134" t="n">
        <f aca="false">$D150-$F150</f>
        <v>0</v>
      </c>
      <c r="H150" s="135" t="n">
        <f aca="false">IF($D150=0,0,$F150/$D150)</f>
        <v>0</v>
      </c>
    </row>
    <row r="151" customFormat="false" ht="15" hidden="false" customHeight="true" outlineLevel="0" collapsed="false">
      <c r="A151" s="130" t="str">
        <f aca="false">PROJETS!A93</f>
        <v/>
      </c>
      <c r="B151" s="130" t="n">
        <f aca="false">PROJETS!C93</f>
        <v>0</v>
      </c>
      <c r="C151" s="134" t="n">
        <f aca="false">IF($A151="",0,SUMIF(tbl_Budget[ID Projet],$A151,tbl_Budget[Montant prevu (FCFA)]))</f>
        <v>0</v>
      </c>
      <c r="D151" s="134" t="n">
        <f aca="false">IF($A151="",0,SUMIF(tbl_Budget[ID Projet],$A151,tbl_Budget[Budget de reference (FCFA)]))</f>
        <v>0</v>
      </c>
      <c r="E151" s="134" t="n">
        <f aca="false">IF($A151="",0,SUMIF(tbl_Budget[ID Projet],$A151,tbl_Budget[Montant engage (FCFA)]))</f>
        <v>0</v>
      </c>
      <c r="F151" s="134" t="n">
        <f aca="false">IF($A151="",0,SUMIF(tbl_Budget[ID Projet],$A151,tbl_Budget[Depenses realisees (FCFA)]))</f>
        <v>0</v>
      </c>
      <c r="G151" s="134" t="n">
        <f aca="false">$D151-$F151</f>
        <v>0</v>
      </c>
      <c r="H151" s="135" t="n">
        <f aca="false">IF($D151=0,0,$F151/$D151)</f>
        <v>0</v>
      </c>
    </row>
    <row r="152" customFormat="false" ht="15" hidden="false" customHeight="true" outlineLevel="0" collapsed="false">
      <c r="A152" s="130" t="str">
        <f aca="false">PROJETS!A94</f>
        <v/>
      </c>
      <c r="B152" s="130" t="n">
        <f aca="false">PROJETS!C94</f>
        <v>0</v>
      </c>
      <c r="C152" s="134" t="n">
        <f aca="false">IF($A152="",0,SUMIF(tbl_Budget[ID Projet],$A152,tbl_Budget[Montant prevu (FCFA)]))</f>
        <v>0</v>
      </c>
      <c r="D152" s="134" t="n">
        <f aca="false">IF($A152="",0,SUMIF(tbl_Budget[ID Projet],$A152,tbl_Budget[Budget de reference (FCFA)]))</f>
        <v>0</v>
      </c>
      <c r="E152" s="134" t="n">
        <f aca="false">IF($A152="",0,SUMIF(tbl_Budget[ID Projet],$A152,tbl_Budget[Montant engage (FCFA)]))</f>
        <v>0</v>
      </c>
      <c r="F152" s="134" t="n">
        <f aca="false">IF($A152="",0,SUMIF(tbl_Budget[ID Projet],$A152,tbl_Budget[Depenses realisees (FCFA)]))</f>
        <v>0</v>
      </c>
      <c r="G152" s="134" t="n">
        <f aca="false">$D152-$F152</f>
        <v>0</v>
      </c>
      <c r="H152" s="135" t="n">
        <f aca="false">IF($D152=0,0,$F152/$D152)</f>
        <v>0</v>
      </c>
    </row>
    <row r="153" customFormat="false" ht="15" hidden="false" customHeight="true" outlineLevel="0" collapsed="false">
      <c r="A153" s="130" t="str">
        <f aca="false">PROJETS!A95</f>
        <v/>
      </c>
      <c r="B153" s="130" t="n">
        <f aca="false">PROJETS!C95</f>
        <v>0</v>
      </c>
      <c r="C153" s="134" t="n">
        <f aca="false">IF($A153="",0,SUMIF(tbl_Budget[ID Projet],$A153,tbl_Budget[Montant prevu (FCFA)]))</f>
        <v>0</v>
      </c>
      <c r="D153" s="134" t="n">
        <f aca="false">IF($A153="",0,SUMIF(tbl_Budget[ID Projet],$A153,tbl_Budget[Budget de reference (FCFA)]))</f>
        <v>0</v>
      </c>
      <c r="E153" s="134" t="n">
        <f aca="false">IF($A153="",0,SUMIF(tbl_Budget[ID Projet],$A153,tbl_Budget[Montant engage (FCFA)]))</f>
        <v>0</v>
      </c>
      <c r="F153" s="134" t="n">
        <f aca="false">IF($A153="",0,SUMIF(tbl_Budget[ID Projet],$A153,tbl_Budget[Depenses realisees (FCFA)]))</f>
        <v>0</v>
      </c>
      <c r="G153" s="134" t="n">
        <f aca="false">$D153-$F153</f>
        <v>0</v>
      </c>
      <c r="H153" s="135" t="n">
        <f aca="false">IF($D153=0,0,$F153/$D153)</f>
        <v>0</v>
      </c>
    </row>
    <row r="155" customFormat="false" ht="19.5" hidden="false" customHeight="true" outlineLevel="0" collapsed="false">
      <c r="A155" s="18" t="s">
        <v>2066</v>
      </c>
      <c r="B155" s="18"/>
      <c r="C155" s="18"/>
      <c r="D155" s="18"/>
      <c r="E155" s="18"/>
    </row>
    <row r="156" customFormat="false" ht="25.5" hidden="false" customHeight="true" outlineLevel="0" collapsed="false">
      <c r="A156" s="19" t="s">
        <v>1327</v>
      </c>
      <c r="B156" s="19" t="s">
        <v>1728</v>
      </c>
      <c r="C156" s="19" t="s">
        <v>1597</v>
      </c>
      <c r="D156" s="19" t="s">
        <v>1599</v>
      </c>
      <c r="E156" s="19" t="s">
        <v>2000</v>
      </c>
    </row>
    <row r="157" customFormat="false" ht="15" hidden="false" customHeight="true" outlineLevel="0" collapsed="false">
      <c r="A157" s="130" t="str">
        <f aca="false">IFERROR(INDEX(Liste_Domaines,1),"")</f>
        <v>Education</v>
      </c>
      <c r="B157" s="134" t="n">
        <f aca="false">IF($A157="",0,SUMIF(tbl_Budget[Domaine],$A157,tbl_Budget[Montant prevu (FCFA)]))</f>
        <v>0</v>
      </c>
      <c r="C157" s="134" t="n">
        <f aca="false">IF($A157="",0,SUMIF(tbl_Budget[Domaine],$A157,tbl_Budget[Depenses realisees (FCFA)]))</f>
        <v>0</v>
      </c>
      <c r="D157" s="134" t="n">
        <f aca="false">$B157-$C157</f>
        <v>0</v>
      </c>
      <c r="E157" s="135" t="n">
        <f aca="false">IF($B157=0,0,$C157/$B157)</f>
        <v>0</v>
      </c>
    </row>
    <row r="158" customFormat="false" ht="21.75" hidden="false" customHeight="true" outlineLevel="0" collapsed="false">
      <c r="A158" s="130" t="str">
        <f aca="false">IFERROR(INDEX(Liste_Domaines,2),"")</f>
        <v>Formation professionnelle</v>
      </c>
      <c r="B158" s="134" t="n">
        <f aca="false">IF($A158="",0,SUMIF(tbl_Budget[Domaine],$A158,tbl_Budget[Montant prevu (FCFA)]))</f>
        <v>0</v>
      </c>
      <c r="C158" s="134" t="n">
        <f aca="false">IF($A158="",0,SUMIF(tbl_Budget[Domaine],$A158,tbl_Budget[Depenses realisees (FCFA)]))</f>
        <v>0</v>
      </c>
      <c r="D158" s="134" t="n">
        <f aca="false">$B158-$C158</f>
        <v>0</v>
      </c>
      <c r="E158" s="135" t="n">
        <f aca="false">IF($B158=0,0,$C158/$B158)</f>
        <v>0</v>
      </c>
    </row>
    <row r="159" customFormat="false" ht="15" hidden="false" customHeight="true" outlineLevel="0" collapsed="false">
      <c r="A159" s="130" t="str">
        <f aca="false">IFERROR(INDEX(Liste_Domaines,3),"")</f>
        <v>Entrepreneuriat</v>
      </c>
      <c r="B159" s="134" t="n">
        <f aca="false">IF($A159="",0,SUMIF(tbl_Budget[Domaine],$A159,tbl_Budget[Montant prevu (FCFA)]))</f>
        <v>0</v>
      </c>
      <c r="C159" s="134" t="n">
        <f aca="false">IF($A159="",0,SUMIF(tbl_Budget[Domaine],$A159,tbl_Budget[Depenses realisees (FCFA)]))</f>
        <v>0</v>
      </c>
      <c r="D159" s="134" t="n">
        <f aca="false">$B159-$C159</f>
        <v>0</v>
      </c>
      <c r="E159" s="135" t="n">
        <f aca="false">IF($B159=0,0,$C159/$B159)</f>
        <v>0</v>
      </c>
    </row>
    <row r="160" customFormat="false" ht="15" hidden="false" customHeight="true" outlineLevel="0" collapsed="false">
      <c r="A160" s="130" t="str">
        <f aca="false">IFERROR(INDEX(Liste_Domaines,4),"")</f>
        <v>Culture</v>
      </c>
      <c r="B160" s="134" t="n">
        <f aca="false">IF($A160="",0,SUMIF(tbl_Budget[Domaine],$A160,tbl_Budget[Montant prevu (FCFA)]))</f>
        <v>0</v>
      </c>
      <c r="C160" s="134" t="n">
        <f aca="false">IF($A160="",0,SUMIF(tbl_Budget[Domaine],$A160,tbl_Budget[Depenses realisees (FCFA)]))</f>
        <v>0</v>
      </c>
      <c r="D160" s="134" t="n">
        <f aca="false">$B160-$C160</f>
        <v>0</v>
      </c>
      <c r="E160" s="135" t="n">
        <f aca="false">IF($B160=0,0,$C160/$B160)</f>
        <v>0</v>
      </c>
    </row>
    <row r="161" customFormat="false" ht="15" hidden="false" customHeight="true" outlineLevel="0" collapsed="false">
      <c r="A161" s="130" t="str">
        <f aca="false">IFERROR(INDEX(Liste_Domaines,5),"")</f>
        <v>Environnement</v>
      </c>
      <c r="B161" s="134" t="n">
        <f aca="false">IF($A161="",0,SUMIF(tbl_Budget[Domaine],$A161,tbl_Budget[Montant prevu (FCFA)]))</f>
        <v>0</v>
      </c>
      <c r="C161" s="134" t="n">
        <f aca="false">IF($A161="",0,SUMIF(tbl_Budget[Domaine],$A161,tbl_Budget[Depenses realisees (FCFA)]))</f>
        <v>0</v>
      </c>
      <c r="D161" s="134" t="n">
        <f aca="false">$B161-$C161</f>
        <v>0</v>
      </c>
      <c r="E161" s="135" t="n">
        <f aca="false">IF($B161=0,0,$C161/$B161)</f>
        <v>0</v>
      </c>
    </row>
    <row r="162" customFormat="false" ht="15" hidden="false" customHeight="true" outlineLevel="0" collapsed="false">
      <c r="A162" s="130" t="str">
        <f aca="false">IFERROR(INDEX(Liste_Domaines,6),"")</f>
        <v>Sante</v>
      </c>
      <c r="B162" s="134" t="n">
        <f aca="false">IF($A162="",0,SUMIF(tbl_Budget[Domaine],$A162,tbl_Budget[Montant prevu (FCFA)]))</f>
        <v>0</v>
      </c>
      <c r="C162" s="134" t="n">
        <f aca="false">IF($A162="",0,SUMIF(tbl_Budget[Domaine],$A162,tbl_Budget[Depenses realisees (FCFA)]))</f>
        <v>0</v>
      </c>
      <c r="D162" s="134" t="n">
        <f aca="false">$B162-$C162</f>
        <v>0</v>
      </c>
      <c r="E162" s="135" t="n">
        <f aca="false">IF($B162=0,0,$C162/$B162)</f>
        <v>0</v>
      </c>
    </row>
    <row r="163" customFormat="false" ht="15" hidden="false" customHeight="true" outlineLevel="0" collapsed="false">
      <c r="A163" s="130" t="str">
        <f aca="false">IFERROR(INDEX(Liste_Domaines,7),"")</f>
        <v>Genre</v>
      </c>
      <c r="B163" s="134" t="n">
        <f aca="false">IF($A163="",0,SUMIF(tbl_Budget[Domaine],$A163,tbl_Budget[Montant prevu (FCFA)]))</f>
        <v>0</v>
      </c>
      <c r="C163" s="134" t="n">
        <f aca="false">IF($A163="",0,SUMIF(tbl_Budget[Domaine],$A163,tbl_Budget[Depenses realisees (FCFA)]))</f>
        <v>0</v>
      </c>
      <c r="D163" s="134" t="n">
        <f aca="false">$B163-$C163</f>
        <v>0</v>
      </c>
      <c r="E163" s="135" t="n">
        <f aca="false">IF($B163=0,0,$C163/$B163)</f>
        <v>0</v>
      </c>
    </row>
    <row r="164" customFormat="false" ht="15" hidden="false" customHeight="true" outlineLevel="0" collapsed="false">
      <c r="A164" s="130" t="str">
        <f aca="false">IFERROR(INDEX(Liste_Domaines,8),"")</f>
        <v>Tourisme</v>
      </c>
      <c r="B164" s="134" t="n">
        <f aca="false">IF($A164="",0,SUMIF(tbl_Budget[Domaine],$A164,tbl_Budget[Montant prevu (FCFA)]))</f>
        <v>0</v>
      </c>
      <c r="C164" s="134" t="n">
        <f aca="false">IF($A164="",0,SUMIF(tbl_Budget[Domaine],$A164,tbl_Budget[Depenses realisees (FCFA)]))</f>
        <v>0</v>
      </c>
      <c r="D164" s="134" t="n">
        <f aca="false">$B164-$C164</f>
        <v>0</v>
      </c>
      <c r="E164" s="135" t="n">
        <f aca="false">IF($B164=0,0,$C164/$B164)</f>
        <v>0</v>
      </c>
    </row>
    <row r="165" customFormat="false" ht="15" hidden="false" customHeight="true" outlineLevel="0" collapsed="false">
      <c r="A165" s="130" t="str">
        <f aca="false">IFERROR(INDEX(Liste_Domaines,9),"")</f>
        <v>Sport</v>
      </c>
      <c r="B165" s="134" t="n">
        <f aca="false">IF($A165="",0,SUMIF(tbl_Budget[Domaine],$A165,tbl_Budget[Montant prevu (FCFA)]))</f>
        <v>0</v>
      </c>
      <c r="C165" s="134" t="n">
        <f aca="false">IF($A165="",0,SUMIF(tbl_Budget[Domaine],$A165,tbl_Budget[Depenses realisees (FCFA)]))</f>
        <v>0</v>
      </c>
      <c r="D165" s="134" t="n">
        <f aca="false">$B165-$C165</f>
        <v>0</v>
      </c>
      <c r="E165" s="135" t="n">
        <f aca="false">IF($B165=0,0,$C165/$B165)</f>
        <v>0</v>
      </c>
    </row>
    <row r="166" customFormat="false" ht="32.25" hidden="false" customHeight="true" outlineLevel="0" collapsed="false">
      <c r="A166" s="130" t="str">
        <f aca="false">IFERROR(INDEX(Liste_Domaines,10),"")</f>
        <v>Agriculture et developpement rural</v>
      </c>
      <c r="B166" s="134" t="n">
        <f aca="false">IF($A166="",0,SUMIF(tbl_Budget[Domaine],$A166,tbl_Budget[Montant prevu (FCFA)]))</f>
        <v>0</v>
      </c>
      <c r="C166" s="134" t="n">
        <f aca="false">IF($A166="",0,SUMIF(tbl_Budget[Domaine],$A166,tbl_Budget[Depenses realisees (FCFA)]))</f>
        <v>0</v>
      </c>
      <c r="D166" s="134" t="n">
        <f aca="false">$B166-$C166</f>
        <v>0</v>
      </c>
      <c r="E166" s="135" t="n">
        <f aca="false">IF($B166=0,0,$C166/$B166)</f>
        <v>0</v>
      </c>
    </row>
    <row r="167" customFormat="false" ht="15" hidden="false" customHeight="true" outlineLevel="0" collapsed="false">
      <c r="A167" s="130" t="str">
        <f aca="false">IFERROR(INDEX(Liste_Domaines,11),"")</f>
        <v>Elevage</v>
      </c>
      <c r="B167" s="134" t="n">
        <f aca="false">IF($A167="",0,SUMIF(tbl_Budget[Domaine],$A167,tbl_Budget[Montant prevu (FCFA)]))</f>
        <v>0</v>
      </c>
      <c r="C167" s="134" t="n">
        <f aca="false">IF($A167="",0,SUMIF(tbl_Budget[Domaine],$A167,tbl_Budget[Depenses realisees (FCFA)]))</f>
        <v>0</v>
      </c>
      <c r="D167" s="134" t="n">
        <f aca="false">$B167-$C167</f>
        <v>0</v>
      </c>
      <c r="E167" s="135" t="n">
        <f aca="false">IF($B167=0,0,$C167/$B167)</f>
        <v>0</v>
      </c>
    </row>
    <row r="168" customFormat="false" ht="21.75" hidden="false" customHeight="true" outlineLevel="0" collapsed="false">
      <c r="A168" s="130" t="str">
        <f aca="false">IFERROR(INDEX(Liste_Domaines,12),"")</f>
        <v>Peche et aquaculture</v>
      </c>
      <c r="B168" s="134" t="n">
        <f aca="false">IF($A168="",0,SUMIF(tbl_Budget[Domaine],$A168,tbl_Budget[Montant prevu (FCFA)]))</f>
        <v>0</v>
      </c>
      <c r="C168" s="134" t="n">
        <f aca="false">IF($A168="",0,SUMIF(tbl_Budget[Domaine],$A168,tbl_Budget[Depenses realisees (FCFA)]))</f>
        <v>0</v>
      </c>
      <c r="D168" s="134" t="n">
        <f aca="false">$B168-$C168</f>
        <v>0</v>
      </c>
      <c r="E168" s="135" t="n">
        <f aca="false">IF($B168=0,0,$C168/$B168)</f>
        <v>0</v>
      </c>
    </row>
    <row r="169" customFormat="false" ht="32.25" hidden="false" customHeight="true" outlineLevel="0" collapsed="false">
      <c r="A169" s="130" t="str">
        <f aca="false">IFERROR(INDEX(Liste_Domaines,13),"")</f>
        <v>Securite alimentaire et nutrition</v>
      </c>
      <c r="B169" s="134" t="n">
        <f aca="false">IF($A169="",0,SUMIF(tbl_Budget[Domaine],$A169,tbl_Budget[Montant prevu (FCFA)]))</f>
        <v>0</v>
      </c>
      <c r="C169" s="134" t="n">
        <f aca="false">IF($A169="",0,SUMIF(tbl_Budget[Domaine],$A169,tbl_Budget[Depenses realisees (FCFA)]))</f>
        <v>0</v>
      </c>
      <c r="D169" s="134" t="n">
        <f aca="false">$B169-$C169</f>
        <v>0</v>
      </c>
      <c r="E169" s="135" t="n">
        <f aca="false">IF($B169=0,0,$C169/$B169)</f>
        <v>0</v>
      </c>
    </row>
    <row r="170" customFormat="false" ht="21.75" hidden="false" customHeight="true" outlineLevel="0" collapsed="false">
      <c r="A170" s="130" t="str">
        <f aca="false">IFERROR(INDEX(Liste_Domaines,14),"")</f>
        <v>Eau, hygiene et assainissement</v>
      </c>
      <c r="B170" s="134" t="n">
        <f aca="false">IF($A170="",0,SUMIF(tbl_Budget[Domaine],$A170,tbl_Budget[Montant prevu (FCFA)]))</f>
        <v>0</v>
      </c>
      <c r="C170" s="134" t="n">
        <f aca="false">IF($A170="",0,SUMIF(tbl_Budget[Domaine],$A170,tbl_Budget[Depenses realisees (FCFA)]))</f>
        <v>0</v>
      </c>
      <c r="D170" s="134" t="n">
        <f aca="false">$B170-$C170</f>
        <v>0</v>
      </c>
      <c r="E170" s="135" t="n">
        <f aca="false">IF($B170=0,0,$C170/$B170)</f>
        <v>0</v>
      </c>
    </row>
    <row r="171" customFormat="false" ht="15" hidden="false" customHeight="true" outlineLevel="0" collapsed="false">
      <c r="A171" s="130" t="str">
        <f aca="false">IFERROR(INDEX(Liste_Domaines,15),"")</f>
        <v>Protection sociale</v>
      </c>
      <c r="B171" s="134" t="n">
        <f aca="false">IF($A171="",0,SUMIF(tbl_Budget[Domaine],$A171,tbl_Budget[Montant prevu (FCFA)]))</f>
        <v>0</v>
      </c>
      <c r="C171" s="134" t="n">
        <f aca="false">IF($A171="",0,SUMIF(tbl_Budget[Domaine],$A171,tbl_Budget[Depenses realisees (FCFA)]))</f>
        <v>0</v>
      </c>
      <c r="D171" s="134" t="n">
        <f aca="false">$B171-$C171</f>
        <v>0</v>
      </c>
      <c r="E171" s="135" t="n">
        <f aca="false">IF($B171=0,0,$C171/$B171)</f>
        <v>0</v>
      </c>
    </row>
    <row r="172" customFormat="false" ht="21.75" hidden="false" customHeight="true" outlineLevel="0" collapsed="false">
      <c r="A172" s="130" t="str">
        <f aca="false">IFERROR(INDEX(Liste_Domaines,16),"")</f>
        <v>Protection de l'enfance</v>
      </c>
      <c r="B172" s="134" t="n">
        <f aca="false">IF($A172="",0,SUMIF(tbl_Budget[Domaine],$A172,tbl_Budget[Montant prevu (FCFA)]))</f>
        <v>0</v>
      </c>
      <c r="C172" s="134" t="n">
        <f aca="false">IF($A172="",0,SUMIF(tbl_Budget[Domaine],$A172,tbl_Budget[Depenses realisees (FCFA)]))</f>
        <v>0</v>
      </c>
      <c r="D172" s="134" t="n">
        <f aca="false">$B172-$C172</f>
        <v>0</v>
      </c>
      <c r="E172" s="135" t="n">
        <f aca="false">IF($B172=0,0,$C172/$B172)</f>
        <v>0</v>
      </c>
    </row>
    <row r="173" customFormat="false" ht="15" hidden="false" customHeight="true" outlineLevel="0" collapsed="false">
      <c r="A173" s="130" t="str">
        <f aca="false">IFERROR(INDEX(Liste_Domaines,17),"")</f>
        <v>Jeunesse</v>
      </c>
      <c r="B173" s="134" t="n">
        <f aca="false">IF($A173="",0,SUMIF(tbl_Budget[Domaine],$A173,tbl_Budget[Montant prevu (FCFA)]))</f>
        <v>0</v>
      </c>
      <c r="C173" s="134" t="n">
        <f aca="false">IF($A173="",0,SUMIF(tbl_Budget[Domaine],$A173,tbl_Budget[Depenses realisees (FCFA)]))</f>
        <v>0</v>
      </c>
      <c r="D173" s="134" t="n">
        <f aca="false">$B173-$C173</f>
        <v>0</v>
      </c>
      <c r="E173" s="135" t="n">
        <f aca="false">IF($B173=0,0,$C173/$B173)</f>
        <v>0</v>
      </c>
    </row>
    <row r="174" customFormat="false" ht="21.75" hidden="false" customHeight="true" outlineLevel="0" collapsed="false">
      <c r="A174" s="130" t="str">
        <f aca="false">IFERROR(INDEX(Liste_Domaines,18),"")</f>
        <v>Autonomisation des femmes</v>
      </c>
      <c r="B174" s="134" t="n">
        <f aca="false">IF($A174="",0,SUMIF(tbl_Budget[Domaine],$A174,tbl_Budget[Montant prevu (FCFA)]))</f>
        <v>0</v>
      </c>
      <c r="C174" s="134" t="n">
        <f aca="false">IF($A174="",0,SUMIF(tbl_Budget[Domaine],$A174,tbl_Budget[Depenses realisees (FCFA)]))</f>
        <v>0</v>
      </c>
      <c r="D174" s="134" t="n">
        <f aca="false">$B174-$C174</f>
        <v>0</v>
      </c>
      <c r="E174" s="135" t="n">
        <f aca="false">IF($B174=0,0,$C174/$B174)</f>
        <v>0</v>
      </c>
    </row>
    <row r="175" customFormat="false" ht="21.75" hidden="false" customHeight="true" outlineLevel="0" collapsed="false">
      <c r="A175" s="130" t="str">
        <f aca="false">IFERROR(INDEX(Liste_Domaines,19),"")</f>
        <v>Developpement communautaire</v>
      </c>
      <c r="B175" s="134" t="n">
        <f aca="false">IF($A175="",0,SUMIF(tbl_Budget[Domaine],$A175,tbl_Budget[Montant prevu (FCFA)]))</f>
        <v>0</v>
      </c>
      <c r="C175" s="134" t="n">
        <f aca="false">IF($A175="",0,SUMIF(tbl_Budget[Domaine],$A175,tbl_Budget[Depenses realisees (FCFA)]))</f>
        <v>0</v>
      </c>
      <c r="D175" s="134" t="n">
        <f aca="false">$B175-$C175</f>
        <v>0</v>
      </c>
      <c r="E175" s="135" t="n">
        <f aca="false">IF($B175=0,0,$C175/$B175)</f>
        <v>0</v>
      </c>
    </row>
    <row r="176" customFormat="false" ht="15" hidden="false" customHeight="true" outlineLevel="0" collapsed="false">
      <c r="A176" s="130" t="str">
        <f aca="false">IFERROR(INDEX(Liste_Domaines,20),"")</f>
        <v>Inclusion sociale</v>
      </c>
      <c r="B176" s="134" t="n">
        <f aca="false">IF($A176="",0,SUMIF(tbl_Budget[Domaine],$A176,tbl_Budget[Montant prevu (FCFA)]))</f>
        <v>0</v>
      </c>
      <c r="C176" s="134" t="n">
        <f aca="false">IF($A176="",0,SUMIF(tbl_Budget[Domaine],$A176,tbl_Budget[Depenses realisees (FCFA)]))</f>
        <v>0</v>
      </c>
      <c r="D176" s="134" t="n">
        <f aca="false">$B176-$C176</f>
        <v>0</v>
      </c>
      <c r="E176" s="135" t="n">
        <f aca="false">IF($B176=0,0,$C176/$B176)</f>
        <v>0</v>
      </c>
    </row>
    <row r="177" customFormat="false" ht="42.75" hidden="false" customHeight="true" outlineLevel="0" collapsed="false">
      <c r="A177" s="130" t="str">
        <f aca="false">IFERROR(INDEX(Liste_Domaines,21),"")</f>
        <v>Handicap et inclusion des personnes vulnerables</v>
      </c>
      <c r="B177" s="134" t="n">
        <f aca="false">IF($A177="",0,SUMIF(tbl_Budget[Domaine],$A177,tbl_Budget[Montant prevu (FCFA)]))</f>
        <v>0</v>
      </c>
      <c r="C177" s="134" t="n">
        <f aca="false">IF($A177="",0,SUMIF(tbl_Budget[Domaine],$A177,tbl_Budget[Depenses realisees (FCFA)]))</f>
        <v>0</v>
      </c>
      <c r="D177" s="134" t="n">
        <f aca="false">$B177-$C177</f>
        <v>0</v>
      </c>
      <c r="E177" s="135" t="n">
        <f aca="false">IF($B177=0,0,$C177/$B177)</f>
        <v>0</v>
      </c>
    </row>
    <row r="178" customFormat="false" ht="32.25" hidden="false" customHeight="true" outlineLevel="0" collapsed="false">
      <c r="A178" s="130" t="str">
        <f aca="false">IFERROR(INDEX(Liste_Domaines,22),"")</f>
        <v>Emploi et insertion professionnelle</v>
      </c>
      <c r="B178" s="134" t="n">
        <f aca="false">IF($A178="",0,SUMIF(tbl_Budget[Domaine],$A178,tbl_Budget[Montant prevu (FCFA)]))</f>
        <v>0</v>
      </c>
      <c r="C178" s="134" t="n">
        <f aca="false">IF($A178="",0,SUMIF(tbl_Budget[Domaine],$A178,tbl_Budget[Depenses realisees (FCFA)]))</f>
        <v>0</v>
      </c>
      <c r="D178" s="134" t="n">
        <f aca="false">$B178-$C178</f>
        <v>0</v>
      </c>
      <c r="E178" s="135" t="n">
        <f aca="false">IF($B178=0,0,$C178/$B178)</f>
        <v>0</v>
      </c>
    </row>
    <row r="179" customFormat="false" ht="21.75" hidden="false" customHeight="true" outlineLevel="0" collapsed="false">
      <c r="A179" s="130" t="str">
        <f aca="false">IFERROR(INDEX(Liste_Domaines,23),"")</f>
        <v>Developpement economique local</v>
      </c>
      <c r="B179" s="134" t="n">
        <f aca="false">IF($A179="",0,SUMIF(tbl_Budget[Domaine],$A179,tbl_Budget[Montant prevu (FCFA)]))</f>
        <v>0</v>
      </c>
      <c r="C179" s="134" t="n">
        <f aca="false">IF($A179="",0,SUMIF(tbl_Budget[Domaine],$A179,tbl_Budget[Depenses realisees (FCFA)]))</f>
        <v>0</v>
      </c>
      <c r="D179" s="134" t="n">
        <f aca="false">$B179-$C179</f>
        <v>0</v>
      </c>
      <c r="E179" s="135" t="n">
        <f aca="false">IF($B179=0,0,$C179/$B179)</f>
        <v>0</v>
      </c>
    </row>
    <row r="180" customFormat="false" ht="15" hidden="false" customHeight="true" outlineLevel="0" collapsed="false">
      <c r="A180" s="130" t="str">
        <f aca="false">IFERROR(INDEX(Liste_Domaines,24),"")</f>
        <v>Artisanat</v>
      </c>
      <c r="B180" s="134" t="n">
        <f aca="false">IF($A180="",0,SUMIF(tbl_Budget[Domaine],$A180,tbl_Budget[Montant prevu (FCFA)]))</f>
        <v>0</v>
      </c>
      <c r="C180" s="134" t="n">
        <f aca="false">IF($A180="",0,SUMIF(tbl_Budget[Domaine],$A180,tbl_Budget[Depenses realisees (FCFA)]))</f>
        <v>0</v>
      </c>
      <c r="D180" s="134" t="n">
        <f aca="false">$B180-$C180</f>
        <v>0</v>
      </c>
      <c r="E180" s="135" t="n">
        <f aca="false">IF($B180=0,0,$C180/$B180)</f>
        <v>0</v>
      </c>
    </row>
    <row r="181" customFormat="false" ht="32.25" hidden="false" customHeight="true" outlineLevel="0" collapsed="false">
      <c r="A181" s="130" t="str">
        <f aca="false">IFERROR(INDEX(Liste_Domaines,25),"")</f>
        <v>Numerique et transformation digitale</v>
      </c>
      <c r="B181" s="134" t="n">
        <f aca="false">IF($A181="",0,SUMIF(tbl_Budget[Domaine],$A181,tbl_Budget[Montant prevu (FCFA)]))</f>
        <v>0</v>
      </c>
      <c r="C181" s="134" t="n">
        <f aca="false">IF($A181="",0,SUMIF(tbl_Budget[Domaine],$A181,tbl_Budget[Depenses realisees (FCFA)]))</f>
        <v>0</v>
      </c>
      <c r="D181" s="134" t="n">
        <f aca="false">$B181-$C181</f>
        <v>0</v>
      </c>
      <c r="E181" s="135" t="n">
        <f aca="false">IF($B181=0,0,$C181/$B181)</f>
        <v>0</v>
      </c>
    </row>
    <row r="182" customFormat="false" ht="21.75" hidden="false" customHeight="true" outlineLevel="0" collapsed="false">
      <c r="A182" s="130" t="str">
        <f aca="false">IFERROR(INDEX(Liste_Domaines,26),"")</f>
        <v>Technologies et innovation</v>
      </c>
      <c r="B182" s="134" t="n">
        <f aca="false">IF($A182="",0,SUMIF(tbl_Budget[Domaine],$A182,tbl_Budget[Montant prevu (FCFA)]))</f>
        <v>0</v>
      </c>
      <c r="C182" s="134" t="n">
        <f aca="false">IF($A182="",0,SUMIF(tbl_Budget[Domaine],$A182,tbl_Budget[Depenses realisees (FCFA)]))</f>
        <v>0</v>
      </c>
      <c r="D182" s="134" t="n">
        <f aca="false">$B182-$C182</f>
        <v>0</v>
      </c>
      <c r="E182" s="135" t="n">
        <f aca="false">IF($B182=0,0,$C182/$B182)</f>
        <v>0</v>
      </c>
    </row>
    <row r="183" customFormat="false" ht="21.75" hidden="false" customHeight="true" outlineLevel="0" collapsed="false">
      <c r="A183" s="130" t="str">
        <f aca="false">IFERROR(INDEX(Liste_Domaines,27),"")</f>
        <v>Recherche et developpement</v>
      </c>
      <c r="B183" s="134" t="n">
        <f aca="false">IF($A183="",0,SUMIF(tbl_Budget[Domaine],$A183,tbl_Budget[Montant prevu (FCFA)]))</f>
        <v>0</v>
      </c>
      <c r="C183" s="134" t="n">
        <f aca="false">IF($A183="",0,SUMIF(tbl_Budget[Domaine],$A183,tbl_Budget[Depenses realisees (FCFA)]))</f>
        <v>0</v>
      </c>
      <c r="D183" s="134" t="n">
        <f aca="false">$B183-$C183</f>
        <v>0</v>
      </c>
      <c r="E183" s="135" t="n">
        <f aca="false">IF($B183=0,0,$C183/$B183)</f>
        <v>0</v>
      </c>
    </row>
    <row r="184" customFormat="false" ht="21.75" hidden="false" customHeight="true" outlineLevel="0" collapsed="false">
      <c r="A184" s="130" t="str">
        <f aca="false">IFERROR(INDEX(Liste_Domaines,28),"")</f>
        <v>Gouvernance et citoyennete</v>
      </c>
      <c r="B184" s="134" t="n">
        <f aca="false">IF($A184="",0,SUMIF(tbl_Budget[Domaine],$A184,tbl_Budget[Montant prevu (FCFA)]))</f>
        <v>0</v>
      </c>
      <c r="C184" s="134" t="n">
        <f aca="false">IF($A184="",0,SUMIF(tbl_Budget[Domaine],$A184,tbl_Budget[Depenses realisees (FCFA)]))</f>
        <v>0</v>
      </c>
      <c r="D184" s="134" t="n">
        <f aca="false">$B184-$C184</f>
        <v>0</v>
      </c>
      <c r="E184" s="135" t="n">
        <f aca="false">IF($B184=0,0,$C184/$B184)</f>
        <v>0</v>
      </c>
    </row>
    <row r="185" customFormat="false" ht="15" hidden="false" customHeight="true" outlineLevel="0" collapsed="false">
      <c r="A185" s="130" t="str">
        <f aca="false">IFERROR(INDEX(Liste_Domaines,29),"")</f>
        <v>Droits humains</v>
      </c>
      <c r="B185" s="134" t="n">
        <f aca="false">IF($A185="",0,SUMIF(tbl_Budget[Domaine],$A185,tbl_Budget[Montant prevu (FCFA)]))</f>
        <v>0</v>
      </c>
      <c r="C185" s="134" t="n">
        <f aca="false">IF($A185="",0,SUMIF(tbl_Budget[Domaine],$A185,tbl_Budget[Depenses realisees (FCFA)]))</f>
        <v>0</v>
      </c>
      <c r="D185" s="134" t="n">
        <f aca="false">$B185-$C185</f>
        <v>0</v>
      </c>
      <c r="E185" s="135" t="n">
        <f aca="false">IF($B185=0,0,$C185/$B185)</f>
        <v>0</v>
      </c>
    </row>
    <row r="186" customFormat="false" ht="42.75" hidden="false" customHeight="true" outlineLevel="0" collapsed="false">
      <c r="A186" s="130" t="str">
        <f aca="false">IFERROR(INDEX(Liste_Domaines,30),"")</f>
        <v>Paix, cohesion sociale et prevention des conflits</v>
      </c>
      <c r="B186" s="134" t="n">
        <f aca="false">IF($A186="",0,SUMIF(tbl_Budget[Domaine],$A186,tbl_Budget[Montant prevu (FCFA)]))</f>
        <v>0</v>
      </c>
      <c r="C186" s="134" t="n">
        <f aca="false">IF($A186="",0,SUMIF(tbl_Budget[Domaine],$A186,tbl_Budget[Depenses realisees (FCFA)]))</f>
        <v>0</v>
      </c>
      <c r="D186" s="134" t="n">
        <f aca="false">$B186-$C186</f>
        <v>0</v>
      </c>
      <c r="E186" s="135" t="n">
        <f aca="false">IF($B186=0,0,$C186/$B186)</f>
        <v>0</v>
      </c>
    </row>
    <row r="187" customFormat="false" ht="42.75" hidden="false" customHeight="true" outlineLevel="0" collapsed="false">
      <c r="A187" s="130" t="str">
        <f aca="false">IFERROR(INDEX(Liste_Domaines,31),"")</f>
        <v>Action humanitaire et gestion des urgences</v>
      </c>
      <c r="B187" s="134" t="n">
        <f aca="false">IF($A187="",0,SUMIF(tbl_Budget[Domaine],$A187,tbl_Budget[Montant prevu (FCFA)]))</f>
        <v>0</v>
      </c>
      <c r="C187" s="134" t="n">
        <f aca="false">IF($A187="",0,SUMIF(tbl_Budget[Domaine],$A187,tbl_Budget[Depenses realisees (FCFA)]))</f>
        <v>0</v>
      </c>
      <c r="D187" s="134" t="n">
        <f aca="false">$B187-$C187</f>
        <v>0</v>
      </c>
      <c r="E187" s="135" t="n">
        <f aca="false">IF($B187=0,0,$C187/$B187)</f>
        <v>0</v>
      </c>
    </row>
    <row r="188" customFormat="false" ht="21.75" hidden="false" customHeight="true" outlineLevel="0" collapsed="false">
      <c r="A188" s="130" t="str">
        <f aca="false">IFERROR(INDEX(Liste_Domaines,32),"")</f>
        <v>Climat et resilience</v>
      </c>
      <c r="B188" s="134" t="n">
        <f aca="false">IF($A188="",0,SUMIF(tbl_Budget[Domaine],$A188,tbl_Budget[Montant prevu (FCFA)]))</f>
        <v>0</v>
      </c>
      <c r="C188" s="134" t="n">
        <f aca="false">IF($A188="",0,SUMIF(tbl_Budget[Domaine],$A188,tbl_Budget[Depenses realisees (FCFA)]))</f>
        <v>0</v>
      </c>
      <c r="D188" s="134" t="n">
        <f aca="false">$B188-$C188</f>
        <v>0</v>
      </c>
      <c r="E188" s="135" t="n">
        <f aca="false">IF($B188=0,0,$C188/$B188)</f>
        <v>0</v>
      </c>
    </row>
    <row r="189" customFormat="false" ht="32.25" hidden="false" customHeight="true" outlineLevel="0" collapsed="false">
      <c r="A189" s="130" t="str">
        <f aca="false">IFERROR(INDEX(Liste_Domaines,33),"")</f>
        <v>Gestion durable des ressources naturelles</v>
      </c>
      <c r="B189" s="134" t="n">
        <f aca="false">IF($A189="",0,SUMIF(tbl_Budget[Domaine],$A189,tbl_Budget[Montant prevu (FCFA)]))</f>
        <v>0</v>
      </c>
      <c r="C189" s="134" t="n">
        <f aca="false">IF($A189="",0,SUMIF(tbl_Budget[Domaine],$A189,tbl_Budget[Depenses realisees (FCFA)]))</f>
        <v>0</v>
      </c>
      <c r="D189" s="134" t="n">
        <f aca="false">$B189-$C189</f>
        <v>0</v>
      </c>
      <c r="E189" s="135" t="n">
        <f aca="false">IF($B189=0,0,$C189/$B189)</f>
        <v>0</v>
      </c>
    </row>
    <row r="190" customFormat="false" ht="21.75" hidden="false" customHeight="true" outlineLevel="0" collapsed="false">
      <c r="A190" s="130" t="str">
        <f aca="false">IFERROR(INDEX(Liste_Domaines,34),"")</f>
        <v>Biodiversite et conservation</v>
      </c>
      <c r="B190" s="134" t="n">
        <f aca="false">IF($A190="",0,SUMIF(tbl_Budget[Domaine],$A190,tbl_Budget[Montant prevu (FCFA)]))</f>
        <v>0</v>
      </c>
      <c r="C190" s="134" t="n">
        <f aca="false">IF($A190="",0,SUMIF(tbl_Budget[Domaine],$A190,tbl_Budget[Depenses realisees (FCFA)]))</f>
        <v>0</v>
      </c>
      <c r="D190" s="134" t="n">
        <f aca="false">$B190-$C190</f>
        <v>0</v>
      </c>
      <c r="E190" s="135" t="n">
        <f aca="false">IF($B190=0,0,$C190/$B190)</f>
        <v>0</v>
      </c>
    </row>
    <row r="191" customFormat="false" ht="32.25" hidden="false" customHeight="true" outlineLevel="0" collapsed="false">
      <c r="A191" s="130" t="str">
        <f aca="false">IFERROR(INDEX(Liste_Domaines,35),"")</f>
        <v>Infrastructures et equipements communautaires</v>
      </c>
      <c r="B191" s="134" t="n">
        <f aca="false">IF($A191="",0,SUMIF(tbl_Budget[Domaine],$A191,tbl_Budget[Montant prevu (FCFA)]))</f>
        <v>0</v>
      </c>
      <c r="C191" s="134" t="n">
        <f aca="false">IF($A191="",0,SUMIF(tbl_Budget[Domaine],$A191,tbl_Budget[Depenses realisees (FCFA)]))</f>
        <v>0</v>
      </c>
      <c r="D191" s="134" t="n">
        <f aca="false">$B191-$C191</f>
        <v>0</v>
      </c>
      <c r="E191" s="135" t="n">
        <f aca="false">IF($B191=0,0,$C191/$B191)</f>
        <v>0</v>
      </c>
    </row>
    <row r="192" customFormat="false" ht="21.75" hidden="false" customHeight="true" outlineLevel="0" collapsed="false">
      <c r="A192" s="130" t="str">
        <f aca="false">IFERROR(INDEX(Liste_Domaines,36),"")</f>
        <v>Developpement urbain et territorial</v>
      </c>
      <c r="B192" s="134" t="n">
        <f aca="false">IF($A192="",0,SUMIF(tbl_Budget[Domaine],$A192,tbl_Budget[Montant prevu (FCFA)]))</f>
        <v>0</v>
      </c>
      <c r="C192" s="134" t="n">
        <f aca="false">IF($A192="",0,SUMIF(tbl_Budget[Domaine],$A192,tbl_Budget[Depenses realisees (FCFA)]))</f>
        <v>0</v>
      </c>
      <c r="D192" s="134" t="n">
        <f aca="false">$B192-$C192</f>
        <v>0</v>
      </c>
      <c r="E192" s="135" t="n">
        <f aca="false">IF($B192=0,0,$C192/$B192)</f>
        <v>0</v>
      </c>
    </row>
    <row r="193" customFormat="false" ht="21.75" hidden="false" customHeight="true" outlineLevel="0" collapsed="false">
      <c r="A193" s="130" t="str">
        <f aca="false">IFERROR(INDEX(Liste_Domaines,37),"")</f>
        <v>Communication et information</v>
      </c>
      <c r="B193" s="134" t="n">
        <f aca="false">IF($A193="",0,SUMIF(tbl_Budget[Domaine],$A193,tbl_Budget[Montant prevu (FCFA)]))</f>
        <v>0</v>
      </c>
      <c r="C193" s="134" t="n">
        <f aca="false">IF($A193="",0,SUMIF(tbl_Budget[Domaine],$A193,tbl_Budget[Depenses realisees (FCFA)]))</f>
        <v>0</v>
      </c>
      <c r="D193" s="134" t="n">
        <f aca="false">$B193-$C193</f>
        <v>0</v>
      </c>
      <c r="E193" s="135" t="n">
        <f aca="false">IF($B193=0,0,$C193/$B193)</f>
        <v>0</v>
      </c>
    </row>
    <row r="194" customFormat="false" ht="32.25" hidden="false" customHeight="true" outlineLevel="0" collapsed="false">
      <c r="A194" s="130" t="str">
        <f aca="false">IFERROR(INDEX(Liste_Domaines,38),"")</f>
        <v>Mobilite et echanges culturels</v>
      </c>
      <c r="B194" s="134" t="n">
        <f aca="false">IF($A194="",0,SUMIF(tbl_Budget[Domaine],$A194,tbl_Budget[Montant prevu (FCFA)]))</f>
        <v>0</v>
      </c>
      <c r="C194" s="134" t="n">
        <f aca="false">IF($A194="",0,SUMIF(tbl_Budget[Domaine],$A194,tbl_Budget[Depenses realisees (FCFA)]))</f>
        <v>0</v>
      </c>
      <c r="D194" s="134" t="n">
        <f aca="false">$B194-$C194</f>
        <v>0</v>
      </c>
      <c r="E194" s="135" t="n">
        <f aca="false">IF($B194=0,0,$C194/$B194)</f>
        <v>0</v>
      </c>
    </row>
    <row r="195" customFormat="false" ht="21.75" hidden="false" customHeight="true" outlineLevel="0" collapsed="false">
      <c r="A195" s="130" t="str">
        <f aca="false">IFERROR(INDEX(Liste_Domaines,39),"")</f>
        <v>Patrimoine et tourisme culturel</v>
      </c>
      <c r="B195" s="134" t="n">
        <f aca="false">IF($A195="",0,SUMIF(tbl_Budget[Domaine],$A195,tbl_Budget[Montant prevu (FCFA)]))</f>
        <v>0</v>
      </c>
      <c r="C195" s="134" t="n">
        <f aca="false">IF($A195="",0,SUMIF(tbl_Budget[Domaine],$A195,tbl_Budget[Depenses realisees (FCFA)]))</f>
        <v>0</v>
      </c>
      <c r="D195" s="134" t="n">
        <f aca="false">$B195-$C195</f>
        <v>0</v>
      </c>
      <c r="E195" s="135" t="n">
        <f aca="false">IF($B195=0,0,$C195/$B195)</f>
        <v>0</v>
      </c>
    </row>
    <row r="196" customFormat="false" ht="15" hidden="false" customHeight="true" outlineLevel="0" collapsed="false">
      <c r="A196" s="130" t="str">
        <f aca="false">IFERROR(INDEX(Liste_Domaines,40),"")</f>
        <v>Autre domaine</v>
      </c>
      <c r="B196" s="134" t="n">
        <f aca="false">IF($A196="",0,SUMIF(tbl_Budget[Domaine],$A196,tbl_Budget[Montant prevu (FCFA)]))</f>
        <v>0</v>
      </c>
      <c r="C196" s="134" t="n">
        <f aca="false">IF($A196="",0,SUMIF(tbl_Budget[Domaine],$A196,tbl_Budget[Depenses realisees (FCFA)]))</f>
        <v>0</v>
      </c>
      <c r="D196" s="134" t="n">
        <f aca="false">$B196-$C196</f>
        <v>0</v>
      </c>
      <c r="E196" s="135" t="n">
        <f aca="false">IF($B196=0,0,$C196/$B196)</f>
        <v>0</v>
      </c>
    </row>
    <row r="198" customFormat="false" ht="19.5" hidden="false" customHeight="true" outlineLevel="0" collapsed="false">
      <c r="A198" s="18" t="s">
        <v>2067</v>
      </c>
      <c r="B198" s="18"/>
      <c r="C198" s="18"/>
      <c r="D198" s="18"/>
      <c r="E198" s="18"/>
    </row>
    <row r="199" customFormat="false" ht="25.5" hidden="false" customHeight="true" outlineLevel="0" collapsed="false">
      <c r="A199" s="19" t="s">
        <v>2028</v>
      </c>
      <c r="B199" s="19" t="s">
        <v>1728</v>
      </c>
      <c r="C199" s="19" t="s">
        <v>1597</v>
      </c>
      <c r="D199" s="19" t="s">
        <v>1599</v>
      </c>
      <c r="E199" s="19" t="s">
        <v>2000</v>
      </c>
    </row>
    <row r="200" customFormat="false" ht="15" hidden="false" customHeight="true" outlineLevel="0" collapsed="false">
      <c r="A200" s="130" t="str">
        <f aca="false">IFERROR(INDEX(Liste_CategoriesDepenses,1),"")</f>
        <v>Personnel</v>
      </c>
      <c r="B200" s="134" t="n">
        <f aca="false">IF($A200="",0,SUMIF(tbl_Budget[Categorie budgetaire],$A200,tbl_Budget[Montant prevu (FCFA)]))</f>
        <v>0</v>
      </c>
      <c r="C200" s="134" t="n">
        <f aca="false">IF($A200="",0,SUMIF(tbl_Budget[Categorie budgetaire],$A200,tbl_Budget[Depenses realisees (FCFA)]))</f>
        <v>0</v>
      </c>
      <c r="D200" s="134" t="n">
        <f aca="false">$B200-$C200</f>
        <v>0</v>
      </c>
      <c r="E200" s="135" t="n">
        <f aca="false">IF($B200=0,0,$C200/$B200)</f>
        <v>0</v>
      </c>
    </row>
    <row r="201" customFormat="false" ht="15" hidden="false" customHeight="true" outlineLevel="0" collapsed="false">
      <c r="A201" s="130" t="str">
        <f aca="false">IFERROR(INDEX(Liste_CategoriesDepenses,2),"")</f>
        <v>Honoraires</v>
      </c>
      <c r="B201" s="134" t="n">
        <f aca="false">IF($A201="",0,SUMIF(tbl_Budget[Categorie budgetaire],$A201,tbl_Budget[Montant prevu (FCFA)]))</f>
        <v>0</v>
      </c>
      <c r="C201" s="134" t="n">
        <f aca="false">IF($A201="",0,SUMIF(tbl_Budget[Categorie budgetaire],$A201,tbl_Budget[Depenses realisees (FCFA)]))</f>
        <v>0</v>
      </c>
      <c r="D201" s="134" t="n">
        <f aca="false">$B201-$C201</f>
        <v>0</v>
      </c>
      <c r="E201" s="135" t="n">
        <f aca="false">IF($B201=0,0,$C201/$B201)</f>
        <v>0</v>
      </c>
    </row>
    <row r="202" customFormat="false" ht="15" hidden="false" customHeight="true" outlineLevel="0" collapsed="false">
      <c r="A202" s="130" t="str">
        <f aca="false">IFERROR(INDEX(Liste_CategoriesDepenses,3),"")</f>
        <v>Consultants</v>
      </c>
      <c r="B202" s="134" t="n">
        <f aca="false">IF($A202="",0,SUMIF(tbl_Budget[Categorie budgetaire],$A202,tbl_Budget[Montant prevu (FCFA)]))</f>
        <v>0</v>
      </c>
      <c r="C202" s="134" t="n">
        <f aca="false">IF($A202="",0,SUMIF(tbl_Budget[Categorie budgetaire],$A202,tbl_Budget[Depenses realisees (FCFA)]))</f>
        <v>0</v>
      </c>
      <c r="D202" s="134" t="n">
        <f aca="false">$B202-$C202</f>
        <v>0</v>
      </c>
      <c r="E202" s="135" t="n">
        <f aca="false">IF($B202=0,0,$C202/$B202)</f>
        <v>0</v>
      </c>
    </row>
    <row r="203" customFormat="false" ht="15" hidden="false" customHeight="true" outlineLevel="0" collapsed="false">
      <c r="A203" s="130" t="str">
        <f aca="false">IFERROR(INDEX(Liste_CategoriesDepenses,4),"")</f>
        <v>Transport</v>
      </c>
      <c r="B203" s="134" t="n">
        <f aca="false">IF($A203="",0,SUMIF(tbl_Budget[Categorie budgetaire],$A203,tbl_Budget[Montant prevu (FCFA)]))</f>
        <v>0</v>
      </c>
      <c r="C203" s="134" t="n">
        <f aca="false">IF($A203="",0,SUMIF(tbl_Budget[Categorie budgetaire],$A203,tbl_Budget[Depenses realisees (FCFA)]))</f>
        <v>0</v>
      </c>
      <c r="D203" s="134" t="n">
        <f aca="false">$B203-$C203</f>
        <v>0</v>
      </c>
      <c r="E203" s="135" t="n">
        <f aca="false">IF($B203=0,0,$C203/$B203)</f>
        <v>0</v>
      </c>
    </row>
    <row r="204" customFormat="false" ht="15" hidden="false" customHeight="true" outlineLevel="0" collapsed="false">
      <c r="A204" s="130" t="str">
        <f aca="false">IFERROR(INDEX(Liste_CategoriesDepenses,5),"")</f>
        <v>Carburant</v>
      </c>
      <c r="B204" s="134" t="n">
        <f aca="false">IF($A204="",0,SUMIF(tbl_Budget[Categorie budgetaire],$A204,tbl_Budget[Montant prevu (FCFA)]))</f>
        <v>0</v>
      </c>
      <c r="C204" s="134" t="n">
        <f aca="false">IF($A204="",0,SUMIF(tbl_Budget[Categorie budgetaire],$A204,tbl_Budget[Depenses realisees (FCFA)]))</f>
        <v>0</v>
      </c>
      <c r="D204" s="134" t="n">
        <f aca="false">$B204-$C204</f>
        <v>0</v>
      </c>
      <c r="E204" s="135" t="n">
        <f aca="false">IF($B204=0,0,$C204/$B204)</f>
        <v>0</v>
      </c>
    </row>
    <row r="205" customFormat="false" ht="15" hidden="false" customHeight="true" outlineLevel="0" collapsed="false">
      <c r="A205" s="130" t="str">
        <f aca="false">IFERROR(INDEX(Liste_CategoriesDepenses,6),"")</f>
        <v>Hebergement</v>
      </c>
      <c r="B205" s="134" t="n">
        <f aca="false">IF($A205="",0,SUMIF(tbl_Budget[Categorie budgetaire],$A205,tbl_Budget[Montant prevu (FCFA)]))</f>
        <v>0</v>
      </c>
      <c r="C205" s="134" t="n">
        <f aca="false">IF($A205="",0,SUMIF(tbl_Budget[Categorie budgetaire],$A205,tbl_Budget[Depenses realisees (FCFA)]))</f>
        <v>0</v>
      </c>
      <c r="D205" s="134" t="n">
        <f aca="false">$B205-$C205</f>
        <v>0</v>
      </c>
      <c r="E205" s="135" t="n">
        <f aca="false">IF($B205=0,0,$C205/$B205)</f>
        <v>0</v>
      </c>
    </row>
    <row r="206" customFormat="false" ht="15" hidden="false" customHeight="true" outlineLevel="0" collapsed="false">
      <c r="A206" s="130" t="str">
        <f aca="false">IFERROR(INDEX(Liste_CategoriesDepenses,7),"")</f>
        <v>Restauration</v>
      </c>
      <c r="B206" s="134" t="n">
        <f aca="false">IF($A206="",0,SUMIF(tbl_Budget[Categorie budgetaire],$A206,tbl_Budget[Montant prevu (FCFA)]))</f>
        <v>0</v>
      </c>
      <c r="C206" s="134" t="n">
        <f aca="false">IF($A206="",0,SUMIF(tbl_Budget[Categorie budgetaire],$A206,tbl_Budget[Depenses realisees (FCFA)]))</f>
        <v>0</v>
      </c>
      <c r="D206" s="134" t="n">
        <f aca="false">$B206-$C206</f>
        <v>0</v>
      </c>
      <c r="E206" s="135" t="n">
        <f aca="false">IF($B206=0,0,$C206/$B206)</f>
        <v>0</v>
      </c>
    </row>
    <row r="207" customFormat="false" ht="15" hidden="false" customHeight="true" outlineLevel="0" collapsed="false">
      <c r="A207" s="130" t="str">
        <f aca="false">IFERROR(INDEX(Liste_CategoriesDepenses,8),"")</f>
        <v>Formation</v>
      </c>
      <c r="B207" s="134" t="n">
        <f aca="false">IF($A207="",0,SUMIF(tbl_Budget[Categorie budgetaire],$A207,tbl_Budget[Montant prevu (FCFA)]))</f>
        <v>0</v>
      </c>
      <c r="C207" s="134" t="n">
        <f aca="false">IF($A207="",0,SUMIF(tbl_Budget[Categorie budgetaire],$A207,tbl_Budget[Depenses realisees (FCFA)]))</f>
        <v>0</v>
      </c>
      <c r="D207" s="134" t="n">
        <f aca="false">$B207-$C207</f>
        <v>0</v>
      </c>
      <c r="E207" s="135" t="n">
        <f aca="false">IF($B207=0,0,$C207/$B207)</f>
        <v>0</v>
      </c>
    </row>
    <row r="208" customFormat="false" ht="15" hidden="false" customHeight="true" outlineLevel="0" collapsed="false">
      <c r="A208" s="130" t="str">
        <f aca="false">IFERROR(INDEX(Liste_CategoriesDepenses,9),"")</f>
        <v>Communication</v>
      </c>
      <c r="B208" s="134" t="n">
        <f aca="false">IF($A208="",0,SUMIF(tbl_Budget[Categorie budgetaire],$A208,tbl_Budget[Montant prevu (FCFA)]))</f>
        <v>0</v>
      </c>
      <c r="C208" s="134" t="n">
        <f aca="false">IF($A208="",0,SUMIF(tbl_Budget[Categorie budgetaire],$A208,tbl_Budget[Depenses realisees (FCFA)]))</f>
        <v>0</v>
      </c>
      <c r="D208" s="134" t="n">
        <f aca="false">$B208-$C208</f>
        <v>0</v>
      </c>
      <c r="E208" s="135" t="n">
        <f aca="false">IF($B208=0,0,$C208/$B208)</f>
        <v>0</v>
      </c>
    </row>
    <row r="209" customFormat="false" ht="15" hidden="false" customHeight="true" outlineLevel="0" collapsed="false">
      <c r="A209" s="130" t="str">
        <f aca="false">IFERROR(INDEX(Liste_CategoriesDepenses,10),"")</f>
        <v>Visibilite</v>
      </c>
      <c r="B209" s="134" t="n">
        <f aca="false">IF($A209="",0,SUMIF(tbl_Budget[Categorie budgetaire],$A209,tbl_Budget[Montant prevu (FCFA)]))</f>
        <v>0</v>
      </c>
      <c r="C209" s="134" t="n">
        <f aca="false">IF($A209="",0,SUMIF(tbl_Budget[Categorie budgetaire],$A209,tbl_Budget[Depenses realisees (FCFA)]))</f>
        <v>0</v>
      </c>
      <c r="D209" s="134" t="n">
        <f aca="false">$B209-$C209</f>
        <v>0</v>
      </c>
      <c r="E209" s="135" t="n">
        <f aca="false">IF($B209=0,0,$C209/$B209)</f>
        <v>0</v>
      </c>
    </row>
    <row r="210" customFormat="false" ht="15" hidden="false" customHeight="true" outlineLevel="0" collapsed="false">
      <c r="A210" s="130" t="str">
        <f aca="false">IFERROR(INDEX(Liste_CategoriesDepenses,11),"")</f>
        <v>Fournitures</v>
      </c>
      <c r="B210" s="134" t="n">
        <f aca="false">IF($A210="",0,SUMIF(tbl_Budget[Categorie budgetaire],$A210,tbl_Budget[Montant prevu (FCFA)]))</f>
        <v>0</v>
      </c>
      <c r="C210" s="134" t="n">
        <f aca="false">IF($A210="",0,SUMIF(tbl_Budget[Categorie budgetaire],$A210,tbl_Budget[Depenses realisees (FCFA)]))</f>
        <v>0</v>
      </c>
      <c r="D210" s="134" t="n">
        <f aca="false">$B210-$C210</f>
        <v>0</v>
      </c>
      <c r="E210" s="135" t="n">
        <f aca="false">IF($B210=0,0,$C210/$B210)</f>
        <v>0</v>
      </c>
    </row>
    <row r="211" customFormat="false" ht="15" hidden="false" customHeight="true" outlineLevel="0" collapsed="false">
      <c r="A211" s="130" t="str">
        <f aca="false">IFERROR(INDEX(Liste_CategoriesDepenses,12),"")</f>
        <v>Materiel</v>
      </c>
      <c r="B211" s="134" t="n">
        <f aca="false">IF($A211="",0,SUMIF(tbl_Budget[Categorie budgetaire],$A211,tbl_Budget[Montant prevu (FCFA)]))</f>
        <v>0</v>
      </c>
      <c r="C211" s="134" t="n">
        <f aca="false">IF($A211="",0,SUMIF(tbl_Budget[Categorie budgetaire],$A211,tbl_Budget[Depenses realisees (FCFA)]))</f>
        <v>0</v>
      </c>
      <c r="D211" s="134" t="n">
        <f aca="false">$B211-$C211</f>
        <v>0</v>
      </c>
      <c r="E211" s="135" t="n">
        <f aca="false">IF($B211=0,0,$C211/$B211)</f>
        <v>0</v>
      </c>
    </row>
    <row r="212" customFormat="false" ht="15" hidden="false" customHeight="true" outlineLevel="0" collapsed="false">
      <c r="A212" s="130" t="str">
        <f aca="false">IFERROR(INDEX(Liste_CategoriesDepenses,13),"")</f>
        <v>Equipements</v>
      </c>
      <c r="B212" s="134" t="n">
        <f aca="false">IF($A212="",0,SUMIF(tbl_Budget[Categorie budgetaire],$A212,tbl_Budget[Montant prevu (FCFA)]))</f>
        <v>0</v>
      </c>
      <c r="C212" s="134" t="n">
        <f aca="false">IF($A212="",0,SUMIF(tbl_Budget[Categorie budgetaire],$A212,tbl_Budget[Depenses realisees (FCFA)]))</f>
        <v>0</v>
      </c>
      <c r="D212" s="134" t="n">
        <f aca="false">$B212-$C212</f>
        <v>0</v>
      </c>
      <c r="E212" s="135" t="n">
        <f aca="false">IF($B212=0,0,$C212/$B212)</f>
        <v>0</v>
      </c>
    </row>
    <row r="213" customFormat="false" ht="15" hidden="false" customHeight="true" outlineLevel="0" collapsed="false">
      <c r="A213" s="130" t="str">
        <f aca="false">IFERROR(INDEX(Liste_CategoriesDepenses,14),"")</f>
        <v>Construction</v>
      </c>
      <c r="B213" s="134" t="n">
        <f aca="false">IF($A213="",0,SUMIF(tbl_Budget[Categorie budgetaire],$A213,tbl_Budget[Montant prevu (FCFA)]))</f>
        <v>0</v>
      </c>
      <c r="C213" s="134" t="n">
        <f aca="false">IF($A213="",0,SUMIF(tbl_Budget[Categorie budgetaire],$A213,tbl_Budget[Depenses realisees (FCFA)]))</f>
        <v>0</v>
      </c>
      <c r="D213" s="134" t="n">
        <f aca="false">$B213-$C213</f>
        <v>0</v>
      </c>
      <c r="E213" s="135" t="n">
        <f aca="false">IF($B213=0,0,$C213/$B213)</f>
        <v>0</v>
      </c>
    </row>
    <row r="214" customFormat="false" ht="15" hidden="false" customHeight="true" outlineLevel="0" collapsed="false">
      <c r="A214" s="130" t="str">
        <f aca="false">IFERROR(INDEX(Liste_CategoriesDepenses,15),"")</f>
        <v>Rehabilitation</v>
      </c>
      <c r="B214" s="134" t="n">
        <f aca="false">IF($A214="",0,SUMIF(tbl_Budget[Categorie budgetaire],$A214,tbl_Budget[Montant prevu (FCFA)]))</f>
        <v>0</v>
      </c>
      <c r="C214" s="134" t="n">
        <f aca="false">IF($A214="",0,SUMIF(tbl_Budget[Categorie budgetaire],$A214,tbl_Budget[Depenses realisees (FCFA)]))</f>
        <v>0</v>
      </c>
      <c r="D214" s="134" t="n">
        <f aca="false">$B214-$C214</f>
        <v>0</v>
      </c>
      <c r="E214" s="135" t="n">
        <f aca="false">IF($B214=0,0,$C214/$B214)</f>
        <v>0</v>
      </c>
    </row>
    <row r="215" customFormat="false" ht="15" hidden="false" customHeight="true" outlineLevel="0" collapsed="false">
      <c r="A215" s="130" t="str">
        <f aca="false">IFERROR(INDEX(Liste_CategoriesDepenses,16),"")</f>
        <v>Location</v>
      </c>
      <c r="B215" s="134" t="n">
        <f aca="false">IF($A215="",0,SUMIF(tbl_Budget[Categorie budgetaire],$A215,tbl_Budget[Montant prevu (FCFA)]))</f>
        <v>0</v>
      </c>
      <c r="C215" s="134" t="n">
        <f aca="false">IF($A215="",0,SUMIF(tbl_Budget[Categorie budgetaire],$A215,tbl_Budget[Depenses realisees (FCFA)]))</f>
        <v>0</v>
      </c>
      <c r="D215" s="134" t="n">
        <f aca="false">$B215-$C215</f>
        <v>0</v>
      </c>
      <c r="E215" s="135" t="n">
        <f aca="false">IF($B215=0,0,$C215/$B215)</f>
        <v>0</v>
      </c>
    </row>
    <row r="216" customFormat="false" ht="15" hidden="false" customHeight="true" outlineLevel="0" collapsed="false">
      <c r="A216" s="130" t="str">
        <f aca="false">IFERROR(INDEX(Liste_CategoriesDepenses,17),"")</f>
        <v>Services</v>
      </c>
      <c r="B216" s="134" t="n">
        <f aca="false">IF($A216="",0,SUMIF(tbl_Budget[Categorie budgetaire],$A216,tbl_Budget[Montant prevu (FCFA)]))</f>
        <v>0</v>
      </c>
      <c r="C216" s="134" t="n">
        <f aca="false">IF($A216="",0,SUMIF(tbl_Budget[Categorie budgetaire],$A216,tbl_Budget[Depenses realisees (FCFA)]))</f>
        <v>0</v>
      </c>
      <c r="D216" s="134" t="n">
        <f aca="false">$B216-$C216</f>
        <v>0</v>
      </c>
      <c r="E216" s="135" t="n">
        <f aca="false">IF($B216=0,0,$C216/$B216)</f>
        <v>0</v>
      </c>
    </row>
    <row r="217" customFormat="false" ht="21.75" hidden="false" customHeight="true" outlineLevel="0" collapsed="false">
      <c r="A217" s="130" t="str">
        <f aca="false">IFERROR(INDEX(Liste_CategoriesDepenses,18),"")</f>
        <v>Telecommunication</v>
      </c>
      <c r="B217" s="134" t="n">
        <f aca="false">IF($A217="",0,SUMIF(tbl_Budget[Categorie budgetaire],$A217,tbl_Budget[Montant prevu (FCFA)]))</f>
        <v>0</v>
      </c>
      <c r="C217" s="134" t="n">
        <f aca="false">IF($A217="",0,SUMIF(tbl_Budget[Categorie budgetaire],$A217,tbl_Budget[Depenses realisees (FCFA)]))</f>
        <v>0</v>
      </c>
      <c r="D217" s="134" t="n">
        <f aca="false">$B217-$C217</f>
        <v>0</v>
      </c>
      <c r="E217" s="135" t="n">
        <f aca="false">IF($B217=0,0,$C217/$B217)</f>
        <v>0</v>
      </c>
    </row>
    <row r="218" customFormat="false" ht="15" hidden="false" customHeight="true" outlineLevel="0" collapsed="false">
      <c r="A218" s="130" t="str">
        <f aca="false">IFERROR(INDEX(Liste_CategoriesDepenses,19),"")</f>
        <v>Internet</v>
      </c>
      <c r="B218" s="134" t="n">
        <f aca="false">IF($A218="",0,SUMIF(tbl_Budget[Categorie budgetaire],$A218,tbl_Budget[Montant prevu (FCFA)]))</f>
        <v>0</v>
      </c>
      <c r="C218" s="134" t="n">
        <f aca="false">IF($A218="",0,SUMIF(tbl_Budget[Categorie budgetaire],$A218,tbl_Budget[Depenses realisees (FCFA)]))</f>
        <v>0</v>
      </c>
      <c r="D218" s="134" t="n">
        <f aca="false">$B218-$C218</f>
        <v>0</v>
      </c>
      <c r="E218" s="135" t="n">
        <f aca="false">IF($B218=0,0,$C218/$B218)</f>
        <v>0</v>
      </c>
    </row>
    <row r="219" customFormat="false" ht="15" hidden="false" customHeight="true" outlineLevel="0" collapsed="false">
      <c r="A219" s="130" t="str">
        <f aca="false">IFERROR(INDEX(Liste_CategoriesDepenses,20),"")</f>
        <v>Frais bancaires</v>
      </c>
      <c r="B219" s="134" t="n">
        <f aca="false">IF($A219="",0,SUMIF(tbl_Budget[Categorie budgetaire],$A219,tbl_Budget[Montant prevu (FCFA)]))</f>
        <v>0</v>
      </c>
      <c r="C219" s="134" t="n">
        <f aca="false">IF($A219="",0,SUMIF(tbl_Budget[Categorie budgetaire],$A219,tbl_Budget[Depenses realisees (FCFA)]))</f>
        <v>0</v>
      </c>
      <c r="D219" s="134" t="n">
        <f aca="false">$B219-$C219</f>
        <v>0</v>
      </c>
      <c r="E219" s="135" t="n">
        <f aca="false">IF($B219=0,0,$C219/$B219)</f>
        <v>0</v>
      </c>
    </row>
    <row r="220" customFormat="false" ht="15" hidden="false" customHeight="true" outlineLevel="0" collapsed="false">
      <c r="A220" s="130" t="str">
        <f aca="false">IFERROR(INDEX(Liste_CategoriesDepenses,21),"")</f>
        <v>Administration</v>
      </c>
      <c r="B220" s="134" t="n">
        <f aca="false">IF($A220="",0,SUMIF(tbl_Budget[Categorie budgetaire],$A220,tbl_Budget[Montant prevu (FCFA)]))</f>
        <v>0</v>
      </c>
      <c r="C220" s="134" t="n">
        <f aca="false">IF($A220="",0,SUMIF(tbl_Budget[Categorie budgetaire],$A220,tbl_Budget[Depenses realisees (FCFA)]))</f>
        <v>0</v>
      </c>
      <c r="D220" s="134" t="n">
        <f aca="false">$B220-$C220</f>
        <v>0</v>
      </c>
      <c r="E220" s="135" t="n">
        <f aca="false">IF($B220=0,0,$C220/$B220)</f>
        <v>0</v>
      </c>
    </row>
    <row r="221" customFormat="false" ht="15" hidden="false" customHeight="true" outlineLevel="0" collapsed="false">
      <c r="A221" s="130" t="str">
        <f aca="false">IFERROR(INDEX(Liste_CategoriesDepenses,22),"")</f>
        <v>Mission</v>
      </c>
      <c r="B221" s="134" t="n">
        <f aca="false">IF($A221="",0,SUMIF(tbl_Budget[Categorie budgetaire],$A221,tbl_Budget[Montant prevu (FCFA)]))</f>
        <v>0</v>
      </c>
      <c r="C221" s="134" t="n">
        <f aca="false">IF($A221="",0,SUMIF(tbl_Budget[Categorie budgetaire],$A221,tbl_Budget[Depenses realisees (FCFA)]))</f>
        <v>0</v>
      </c>
      <c r="D221" s="134" t="n">
        <f aca="false">$B221-$C221</f>
        <v>0</v>
      </c>
      <c r="E221" s="135" t="n">
        <f aca="false">IF($B221=0,0,$C221/$B221)</f>
        <v>0</v>
      </c>
    </row>
    <row r="222" customFormat="false" ht="15" hidden="false" customHeight="true" outlineLevel="0" collapsed="false">
      <c r="A222" s="130" t="str">
        <f aca="false">IFERROR(INDEX(Liste_CategoriesDepenses,23),"")</f>
        <v>Logistique</v>
      </c>
      <c r="B222" s="134" t="n">
        <f aca="false">IF($A222="",0,SUMIF(tbl_Budget[Categorie budgetaire],$A222,tbl_Budget[Montant prevu (FCFA)]))</f>
        <v>0</v>
      </c>
      <c r="C222" s="134" t="n">
        <f aca="false">IF($A222="",0,SUMIF(tbl_Budget[Categorie budgetaire],$A222,tbl_Budget[Depenses realisees (FCFA)]))</f>
        <v>0</v>
      </c>
      <c r="D222" s="134" t="n">
        <f aca="false">$B222-$C222</f>
        <v>0</v>
      </c>
      <c r="E222" s="135" t="n">
        <f aca="false">IF($B222=0,0,$C222/$B222)</f>
        <v>0</v>
      </c>
    </row>
    <row r="223" customFormat="false" ht="15" hidden="false" customHeight="true" outlineLevel="0" collapsed="false">
      <c r="A223" s="130" t="str">
        <f aca="false">IFERROR(INDEX(Liste_CategoriesDepenses,24),"")</f>
        <v>Suivi-evaluation</v>
      </c>
      <c r="B223" s="134" t="n">
        <f aca="false">IF($A223="",0,SUMIF(tbl_Budget[Categorie budgetaire],$A223,tbl_Budget[Montant prevu (FCFA)]))</f>
        <v>0</v>
      </c>
      <c r="C223" s="134" t="n">
        <f aca="false">IF($A223="",0,SUMIF(tbl_Budget[Categorie budgetaire],$A223,tbl_Budget[Depenses realisees (FCFA)]))</f>
        <v>0</v>
      </c>
      <c r="D223" s="134" t="n">
        <f aca="false">$B223-$C223</f>
        <v>0</v>
      </c>
      <c r="E223" s="135" t="n">
        <f aca="false">IF($B223=0,0,$C223/$B223)</f>
        <v>0</v>
      </c>
    </row>
    <row r="224" customFormat="false" ht="15" hidden="false" customHeight="true" outlineLevel="0" collapsed="false">
      <c r="A224" s="130" t="str">
        <f aca="false">IFERROR(INDEX(Liste_CategoriesDepenses,25),"")</f>
        <v>Audit</v>
      </c>
      <c r="B224" s="134" t="n">
        <f aca="false">IF($A224="",0,SUMIF(tbl_Budget[Categorie budgetaire],$A224,tbl_Budget[Montant prevu (FCFA)]))</f>
        <v>0</v>
      </c>
      <c r="C224" s="134" t="n">
        <f aca="false">IF($A224="",0,SUMIF(tbl_Budget[Categorie budgetaire],$A224,tbl_Budget[Depenses realisees (FCFA)]))</f>
        <v>0</v>
      </c>
      <c r="D224" s="134" t="n">
        <f aca="false">$B224-$C224</f>
        <v>0</v>
      </c>
      <c r="E224" s="135" t="n">
        <f aca="false">IF($B224=0,0,$C224/$B224)</f>
        <v>0</v>
      </c>
    </row>
    <row r="225" customFormat="false" ht="15" hidden="false" customHeight="true" outlineLevel="0" collapsed="false">
      <c r="A225" s="130" t="str">
        <f aca="false">IFERROR(INDEX(Liste_CategoriesDepenses,26),"")</f>
        <v>Assurance</v>
      </c>
      <c r="B225" s="134" t="n">
        <f aca="false">IF($A225="",0,SUMIF(tbl_Budget[Categorie budgetaire],$A225,tbl_Budget[Montant prevu (FCFA)]))</f>
        <v>0</v>
      </c>
      <c r="C225" s="134" t="n">
        <f aca="false">IF($A225="",0,SUMIF(tbl_Budget[Categorie budgetaire],$A225,tbl_Budget[Depenses realisees (FCFA)]))</f>
        <v>0</v>
      </c>
      <c r="D225" s="134" t="n">
        <f aca="false">$B225-$C225</f>
        <v>0</v>
      </c>
      <c r="E225" s="135" t="n">
        <f aca="false">IF($B225=0,0,$C225/$B225)</f>
        <v>0</v>
      </c>
    </row>
    <row r="226" customFormat="false" ht="15" hidden="false" customHeight="true" outlineLevel="0" collapsed="false">
      <c r="A226" s="130" t="str">
        <f aca="false">IFERROR(INDEX(Liste_CategoriesDepenses,27),"")</f>
        <v>Maintenance</v>
      </c>
      <c r="B226" s="134" t="n">
        <f aca="false">IF($A226="",0,SUMIF(tbl_Budget[Categorie budgetaire],$A226,tbl_Budget[Montant prevu (FCFA)]))</f>
        <v>0</v>
      </c>
      <c r="C226" s="134" t="n">
        <f aca="false">IF($A226="",0,SUMIF(tbl_Budget[Categorie budgetaire],$A226,tbl_Budget[Depenses realisees (FCFA)]))</f>
        <v>0</v>
      </c>
      <c r="D226" s="134" t="n">
        <f aca="false">$B226-$C226</f>
        <v>0</v>
      </c>
      <c r="E226" s="135" t="n">
        <f aca="false">IF($B226=0,0,$C226/$B226)</f>
        <v>0</v>
      </c>
    </row>
    <row r="227" customFormat="false" ht="15" hidden="false" customHeight="true" outlineLevel="0" collapsed="false">
      <c r="A227" s="130" t="str">
        <f aca="false">IFERROR(INDEX(Liste_CategoriesDepenses,28),"")</f>
        <v>Securite</v>
      </c>
      <c r="B227" s="134" t="n">
        <f aca="false">IF($A227="",0,SUMIF(tbl_Budget[Categorie budgetaire],$A227,tbl_Budget[Montant prevu (FCFA)]))</f>
        <v>0</v>
      </c>
      <c r="C227" s="134" t="n">
        <f aca="false">IF($A227="",0,SUMIF(tbl_Budget[Categorie budgetaire],$A227,tbl_Budget[Depenses realisees (FCFA)]))</f>
        <v>0</v>
      </c>
      <c r="D227" s="134" t="n">
        <f aca="false">$B227-$C227</f>
        <v>0</v>
      </c>
      <c r="E227" s="135" t="n">
        <f aca="false">IF($B227=0,0,$C227/$B227)</f>
        <v>0</v>
      </c>
    </row>
    <row r="228" customFormat="false" ht="21.75" hidden="false" customHeight="true" outlineLevel="0" collapsed="false">
      <c r="A228" s="130" t="str">
        <f aca="false">IFERROR(INDEX(Liste_CategoriesDepenses,29),"")</f>
        <v>Taxes et frais administratifs</v>
      </c>
      <c r="B228" s="134" t="n">
        <f aca="false">IF($A228="",0,SUMIF(tbl_Budget[Categorie budgetaire],$A228,tbl_Budget[Montant prevu (FCFA)]))</f>
        <v>0</v>
      </c>
      <c r="C228" s="134" t="n">
        <f aca="false">IF($A228="",0,SUMIF(tbl_Budget[Categorie budgetaire],$A228,tbl_Budget[Depenses realisees (FCFA)]))</f>
        <v>0</v>
      </c>
      <c r="D228" s="134" t="n">
        <f aca="false">$B228-$C228</f>
        <v>0</v>
      </c>
      <c r="E228" s="135" t="n">
        <f aca="false">IF($B228=0,0,$C228/$B228)</f>
        <v>0</v>
      </c>
    </row>
    <row r="229" customFormat="false" ht="15" hidden="false" customHeight="true" outlineLevel="0" collapsed="false">
      <c r="A229" s="130" t="str">
        <f aca="false">IFERROR(INDEX(Liste_CategoriesDepenses,30),"")</f>
        <v>Autres depenses</v>
      </c>
      <c r="B229" s="134" t="n">
        <f aca="false">IF($A229="",0,SUMIF(tbl_Budget[Categorie budgetaire],$A229,tbl_Budget[Montant prevu (FCFA)]))</f>
        <v>0</v>
      </c>
      <c r="C229" s="134" t="n">
        <f aca="false">IF($A229="",0,SUMIF(tbl_Budget[Categorie budgetaire],$A229,tbl_Budget[Depenses realisees (FCFA)]))</f>
        <v>0</v>
      </c>
      <c r="D229" s="134" t="n">
        <f aca="false">$B229-$C229</f>
        <v>0</v>
      </c>
      <c r="E229" s="135" t="n">
        <f aca="false">IF($B229=0,0,$C229/$B229)</f>
        <v>0</v>
      </c>
    </row>
    <row r="231" customFormat="false" ht="19.5" hidden="false" customHeight="true" outlineLevel="0" collapsed="false">
      <c r="A231" s="18" t="s">
        <v>2068</v>
      </c>
      <c r="B231" s="18"/>
      <c r="C231" s="18"/>
      <c r="D231" s="18"/>
      <c r="E231" s="18"/>
      <c r="F231" s="18"/>
    </row>
    <row r="232" customFormat="false" ht="25.5" hidden="false" customHeight="true" outlineLevel="0" collapsed="false">
      <c r="A232" s="19" t="s">
        <v>1909</v>
      </c>
      <c r="B232" s="19" t="s">
        <v>2026</v>
      </c>
      <c r="C232" s="19" t="s">
        <v>1728</v>
      </c>
      <c r="D232" s="19" t="s">
        <v>1596</v>
      </c>
      <c r="E232" s="19" t="s">
        <v>1597</v>
      </c>
      <c r="F232" s="19" t="s">
        <v>1599</v>
      </c>
    </row>
    <row r="233" customFormat="false" ht="15" hidden="false" customHeight="true" outlineLevel="0" collapsed="false">
      <c r="A233" s="130" t="str">
        <f aca="false">DONATEURS!A56</f>
        <v>DON00001</v>
      </c>
      <c r="B233" s="130" t="str">
        <f aca="false">DONATEURS!B56</f>
        <v>AUSP</v>
      </c>
      <c r="C233" s="134" t="n">
        <f aca="false">IF($A233="",0,SUMIF(tbl_Budget[ID Donateur],$A233,tbl_Budget[Montant prevu (FCFA)]))</f>
        <v>0</v>
      </c>
      <c r="D233" s="134" t="n">
        <f aca="false">IF($A233="",0,SUMIF(tbl_Budget[ID Donateur],$A233,tbl_Budget[Montant engage (FCFA)]))</f>
        <v>0</v>
      </c>
      <c r="E233" s="134" t="n">
        <f aca="false">IF($A233="",0,SUMIF(tbl_Budget[ID Donateur],$A233,tbl_Budget[Depenses realisees (FCFA)]))</f>
        <v>0</v>
      </c>
      <c r="F233" s="134" t="n">
        <f aca="false">$C233-$E233</f>
        <v>0</v>
      </c>
    </row>
    <row r="234" customFormat="false" ht="15" hidden="false" customHeight="true" outlineLevel="0" collapsed="false">
      <c r="A234" s="130" t="str">
        <f aca="false">DONATEURS!A57</f>
        <v/>
      </c>
      <c r="B234" s="130" t="n">
        <f aca="false">DONATEURS!B57</f>
        <v>0</v>
      </c>
      <c r="C234" s="134" t="n">
        <f aca="false">IF($A234="",0,SUMIF(tbl_Budget[ID Donateur],$A234,tbl_Budget[Montant prevu (FCFA)]))</f>
        <v>0</v>
      </c>
      <c r="D234" s="134" t="n">
        <f aca="false">IF($A234="",0,SUMIF(tbl_Budget[ID Donateur],$A234,tbl_Budget[Montant engage (FCFA)]))</f>
        <v>0</v>
      </c>
      <c r="E234" s="134" t="n">
        <f aca="false">IF($A234="",0,SUMIF(tbl_Budget[ID Donateur],$A234,tbl_Budget[Depenses realisees (FCFA)]))</f>
        <v>0</v>
      </c>
      <c r="F234" s="134" t="n">
        <f aca="false">$C234-$E234</f>
        <v>0</v>
      </c>
    </row>
    <row r="235" customFormat="false" ht="15" hidden="false" customHeight="true" outlineLevel="0" collapsed="false">
      <c r="A235" s="130" t="str">
        <f aca="false">DONATEURS!A58</f>
        <v/>
      </c>
      <c r="B235" s="130" t="n">
        <f aca="false">DONATEURS!B58</f>
        <v>0</v>
      </c>
      <c r="C235" s="134" t="n">
        <f aca="false">IF($A235="",0,SUMIF(tbl_Budget[ID Donateur],$A235,tbl_Budget[Montant prevu (FCFA)]))</f>
        <v>0</v>
      </c>
      <c r="D235" s="134" t="n">
        <f aca="false">IF($A235="",0,SUMIF(tbl_Budget[ID Donateur],$A235,tbl_Budget[Montant engage (FCFA)]))</f>
        <v>0</v>
      </c>
      <c r="E235" s="134" t="n">
        <f aca="false">IF($A235="",0,SUMIF(tbl_Budget[ID Donateur],$A235,tbl_Budget[Depenses realisees (FCFA)]))</f>
        <v>0</v>
      </c>
      <c r="F235" s="134" t="n">
        <f aca="false">$C235-$E235</f>
        <v>0</v>
      </c>
    </row>
    <row r="236" customFormat="false" ht="15" hidden="false" customHeight="true" outlineLevel="0" collapsed="false">
      <c r="A236" s="130" t="str">
        <f aca="false">DONATEURS!A59</f>
        <v/>
      </c>
      <c r="B236" s="130" t="n">
        <f aca="false">DONATEURS!B59</f>
        <v>0</v>
      </c>
      <c r="C236" s="134" t="n">
        <f aca="false">IF($A236="",0,SUMIF(tbl_Budget[ID Donateur],$A236,tbl_Budget[Montant prevu (FCFA)]))</f>
        <v>0</v>
      </c>
      <c r="D236" s="134" t="n">
        <f aca="false">IF($A236="",0,SUMIF(tbl_Budget[ID Donateur],$A236,tbl_Budget[Montant engage (FCFA)]))</f>
        <v>0</v>
      </c>
      <c r="E236" s="134" t="n">
        <f aca="false">IF($A236="",0,SUMIF(tbl_Budget[ID Donateur],$A236,tbl_Budget[Depenses realisees (FCFA)]))</f>
        <v>0</v>
      </c>
      <c r="F236" s="134" t="n">
        <f aca="false">$C236-$E236</f>
        <v>0</v>
      </c>
    </row>
    <row r="237" customFormat="false" ht="15" hidden="false" customHeight="true" outlineLevel="0" collapsed="false">
      <c r="A237" s="130" t="str">
        <f aca="false">DONATEURS!A60</f>
        <v/>
      </c>
      <c r="B237" s="130" t="n">
        <f aca="false">DONATEURS!B60</f>
        <v>0</v>
      </c>
      <c r="C237" s="134" t="n">
        <f aca="false">IF($A237="",0,SUMIF(tbl_Budget[ID Donateur],$A237,tbl_Budget[Montant prevu (FCFA)]))</f>
        <v>0</v>
      </c>
      <c r="D237" s="134" t="n">
        <f aca="false">IF($A237="",0,SUMIF(tbl_Budget[ID Donateur],$A237,tbl_Budget[Montant engage (FCFA)]))</f>
        <v>0</v>
      </c>
      <c r="E237" s="134" t="n">
        <f aca="false">IF($A237="",0,SUMIF(tbl_Budget[ID Donateur],$A237,tbl_Budget[Depenses realisees (FCFA)]))</f>
        <v>0</v>
      </c>
      <c r="F237" s="134" t="n">
        <f aca="false">$C237-$E237</f>
        <v>0</v>
      </c>
    </row>
    <row r="238" customFormat="false" ht="15" hidden="false" customHeight="true" outlineLevel="0" collapsed="false">
      <c r="A238" s="130" t="str">
        <f aca="false">DONATEURS!A61</f>
        <v/>
      </c>
      <c r="B238" s="130" t="n">
        <f aca="false">DONATEURS!B61</f>
        <v>0</v>
      </c>
      <c r="C238" s="134" t="n">
        <f aca="false">IF($A238="",0,SUMIF(tbl_Budget[ID Donateur],$A238,tbl_Budget[Montant prevu (FCFA)]))</f>
        <v>0</v>
      </c>
      <c r="D238" s="134" t="n">
        <f aca="false">IF($A238="",0,SUMIF(tbl_Budget[ID Donateur],$A238,tbl_Budget[Montant engage (FCFA)]))</f>
        <v>0</v>
      </c>
      <c r="E238" s="134" t="n">
        <f aca="false">IF($A238="",0,SUMIF(tbl_Budget[ID Donateur],$A238,tbl_Budget[Depenses realisees (FCFA)]))</f>
        <v>0</v>
      </c>
      <c r="F238" s="134" t="n">
        <f aca="false">$C238-$E238</f>
        <v>0</v>
      </c>
    </row>
    <row r="239" customFormat="false" ht="15" hidden="false" customHeight="true" outlineLevel="0" collapsed="false">
      <c r="A239" s="130" t="str">
        <f aca="false">DONATEURS!A62</f>
        <v/>
      </c>
      <c r="B239" s="130" t="n">
        <f aca="false">DONATEURS!B62</f>
        <v>0</v>
      </c>
      <c r="C239" s="134" t="n">
        <f aca="false">IF($A239="",0,SUMIF(tbl_Budget[ID Donateur],$A239,tbl_Budget[Montant prevu (FCFA)]))</f>
        <v>0</v>
      </c>
      <c r="D239" s="134" t="n">
        <f aca="false">IF($A239="",0,SUMIF(tbl_Budget[ID Donateur],$A239,tbl_Budget[Montant engage (FCFA)]))</f>
        <v>0</v>
      </c>
      <c r="E239" s="134" t="n">
        <f aca="false">IF($A239="",0,SUMIF(tbl_Budget[ID Donateur],$A239,tbl_Budget[Depenses realisees (FCFA)]))</f>
        <v>0</v>
      </c>
      <c r="F239" s="134" t="n">
        <f aca="false">$C239-$E239</f>
        <v>0</v>
      </c>
    </row>
    <row r="240" customFormat="false" ht="15" hidden="false" customHeight="true" outlineLevel="0" collapsed="false">
      <c r="A240" s="130" t="str">
        <f aca="false">DONATEURS!A63</f>
        <v/>
      </c>
      <c r="B240" s="130" t="n">
        <f aca="false">DONATEURS!B63</f>
        <v>0</v>
      </c>
      <c r="C240" s="134" t="n">
        <f aca="false">IF($A240="",0,SUMIF(tbl_Budget[ID Donateur],$A240,tbl_Budget[Montant prevu (FCFA)]))</f>
        <v>0</v>
      </c>
      <c r="D240" s="134" t="n">
        <f aca="false">IF($A240="",0,SUMIF(tbl_Budget[ID Donateur],$A240,tbl_Budget[Montant engage (FCFA)]))</f>
        <v>0</v>
      </c>
      <c r="E240" s="134" t="n">
        <f aca="false">IF($A240="",0,SUMIF(tbl_Budget[ID Donateur],$A240,tbl_Budget[Depenses realisees (FCFA)]))</f>
        <v>0</v>
      </c>
      <c r="F240" s="134" t="n">
        <f aca="false">$C240-$E240</f>
        <v>0</v>
      </c>
    </row>
    <row r="241" customFormat="false" ht="15" hidden="false" customHeight="true" outlineLevel="0" collapsed="false">
      <c r="A241" s="130" t="str">
        <f aca="false">DONATEURS!A64</f>
        <v/>
      </c>
      <c r="B241" s="130" t="n">
        <f aca="false">DONATEURS!B64</f>
        <v>0</v>
      </c>
      <c r="C241" s="134" t="n">
        <f aca="false">IF($A241="",0,SUMIF(tbl_Budget[ID Donateur],$A241,tbl_Budget[Montant prevu (FCFA)]))</f>
        <v>0</v>
      </c>
      <c r="D241" s="134" t="n">
        <f aca="false">IF($A241="",0,SUMIF(tbl_Budget[ID Donateur],$A241,tbl_Budget[Montant engage (FCFA)]))</f>
        <v>0</v>
      </c>
      <c r="E241" s="134" t="n">
        <f aca="false">IF($A241="",0,SUMIF(tbl_Budget[ID Donateur],$A241,tbl_Budget[Depenses realisees (FCFA)]))</f>
        <v>0</v>
      </c>
      <c r="F241" s="134" t="n">
        <f aca="false">$C241-$E241</f>
        <v>0</v>
      </c>
    </row>
    <row r="242" customFormat="false" ht="15" hidden="false" customHeight="true" outlineLevel="0" collapsed="false">
      <c r="A242" s="130" t="str">
        <f aca="false">DONATEURS!A65</f>
        <v/>
      </c>
      <c r="B242" s="130" t="n">
        <f aca="false">DONATEURS!B65</f>
        <v>0</v>
      </c>
      <c r="C242" s="134" t="n">
        <f aca="false">IF($A242="",0,SUMIF(tbl_Budget[ID Donateur],$A242,tbl_Budget[Montant prevu (FCFA)]))</f>
        <v>0</v>
      </c>
      <c r="D242" s="134" t="n">
        <f aca="false">IF($A242="",0,SUMIF(tbl_Budget[ID Donateur],$A242,tbl_Budget[Montant engage (FCFA)]))</f>
        <v>0</v>
      </c>
      <c r="E242" s="134" t="n">
        <f aca="false">IF($A242="",0,SUMIF(tbl_Budget[ID Donateur],$A242,tbl_Budget[Depenses realisees (FCFA)]))</f>
        <v>0</v>
      </c>
      <c r="F242" s="134" t="n">
        <f aca="false">$C242-$E242</f>
        <v>0</v>
      </c>
    </row>
    <row r="243" customFormat="false" ht="15" hidden="false" customHeight="true" outlineLevel="0" collapsed="false">
      <c r="A243" s="130" t="str">
        <f aca="false">DONATEURS!A66</f>
        <v/>
      </c>
      <c r="B243" s="130" t="n">
        <f aca="false">DONATEURS!B66</f>
        <v>0</v>
      </c>
      <c r="C243" s="134" t="n">
        <f aca="false">IF($A243="",0,SUMIF(tbl_Budget[ID Donateur],$A243,tbl_Budget[Montant prevu (FCFA)]))</f>
        <v>0</v>
      </c>
      <c r="D243" s="134" t="n">
        <f aca="false">IF($A243="",0,SUMIF(tbl_Budget[ID Donateur],$A243,tbl_Budget[Montant engage (FCFA)]))</f>
        <v>0</v>
      </c>
      <c r="E243" s="134" t="n">
        <f aca="false">IF($A243="",0,SUMIF(tbl_Budget[ID Donateur],$A243,tbl_Budget[Depenses realisees (FCFA)]))</f>
        <v>0</v>
      </c>
      <c r="F243" s="134" t="n">
        <f aca="false">$C243-$E243</f>
        <v>0</v>
      </c>
    </row>
    <row r="244" customFormat="false" ht="15" hidden="false" customHeight="true" outlineLevel="0" collapsed="false">
      <c r="A244" s="130" t="str">
        <f aca="false">DONATEURS!A67</f>
        <v/>
      </c>
      <c r="B244" s="130" t="n">
        <f aca="false">DONATEURS!B67</f>
        <v>0</v>
      </c>
      <c r="C244" s="134" t="n">
        <f aca="false">IF($A244="",0,SUMIF(tbl_Budget[ID Donateur],$A244,tbl_Budget[Montant prevu (FCFA)]))</f>
        <v>0</v>
      </c>
      <c r="D244" s="134" t="n">
        <f aca="false">IF($A244="",0,SUMIF(tbl_Budget[ID Donateur],$A244,tbl_Budget[Montant engage (FCFA)]))</f>
        <v>0</v>
      </c>
      <c r="E244" s="134" t="n">
        <f aca="false">IF($A244="",0,SUMIF(tbl_Budget[ID Donateur],$A244,tbl_Budget[Depenses realisees (FCFA)]))</f>
        <v>0</v>
      </c>
      <c r="F244" s="134" t="n">
        <f aca="false">$C244-$E244</f>
        <v>0</v>
      </c>
    </row>
    <row r="245" customFormat="false" ht="15" hidden="false" customHeight="true" outlineLevel="0" collapsed="false">
      <c r="A245" s="130" t="str">
        <f aca="false">DONATEURS!A68</f>
        <v/>
      </c>
      <c r="B245" s="130" t="n">
        <f aca="false">DONATEURS!B68</f>
        <v>0</v>
      </c>
      <c r="C245" s="134" t="n">
        <f aca="false">IF($A245="",0,SUMIF(tbl_Budget[ID Donateur],$A245,tbl_Budget[Montant prevu (FCFA)]))</f>
        <v>0</v>
      </c>
      <c r="D245" s="134" t="n">
        <f aca="false">IF($A245="",0,SUMIF(tbl_Budget[ID Donateur],$A245,tbl_Budget[Montant engage (FCFA)]))</f>
        <v>0</v>
      </c>
      <c r="E245" s="134" t="n">
        <f aca="false">IF($A245="",0,SUMIF(tbl_Budget[ID Donateur],$A245,tbl_Budget[Depenses realisees (FCFA)]))</f>
        <v>0</v>
      </c>
      <c r="F245" s="134" t="n">
        <f aca="false">$C245-$E245</f>
        <v>0</v>
      </c>
    </row>
    <row r="246" customFormat="false" ht="15" hidden="false" customHeight="true" outlineLevel="0" collapsed="false">
      <c r="A246" s="130" t="str">
        <f aca="false">DONATEURS!A69</f>
        <v/>
      </c>
      <c r="B246" s="130" t="n">
        <f aca="false">DONATEURS!B69</f>
        <v>0</v>
      </c>
      <c r="C246" s="134" t="n">
        <f aca="false">IF($A246="",0,SUMIF(tbl_Budget[ID Donateur],$A246,tbl_Budget[Montant prevu (FCFA)]))</f>
        <v>0</v>
      </c>
      <c r="D246" s="134" t="n">
        <f aca="false">IF($A246="",0,SUMIF(tbl_Budget[ID Donateur],$A246,tbl_Budget[Montant engage (FCFA)]))</f>
        <v>0</v>
      </c>
      <c r="E246" s="134" t="n">
        <f aca="false">IF($A246="",0,SUMIF(tbl_Budget[ID Donateur],$A246,tbl_Budget[Depenses realisees (FCFA)]))</f>
        <v>0</v>
      </c>
      <c r="F246" s="134" t="n">
        <f aca="false">$C246-$E246</f>
        <v>0</v>
      </c>
    </row>
    <row r="247" customFormat="false" ht="15" hidden="false" customHeight="true" outlineLevel="0" collapsed="false">
      <c r="A247" s="130" t="str">
        <f aca="false">DONATEURS!A70</f>
        <v/>
      </c>
      <c r="B247" s="130" t="n">
        <f aca="false">DONATEURS!B70</f>
        <v>0</v>
      </c>
      <c r="C247" s="134" t="n">
        <f aca="false">IF($A247="",0,SUMIF(tbl_Budget[ID Donateur],$A247,tbl_Budget[Montant prevu (FCFA)]))</f>
        <v>0</v>
      </c>
      <c r="D247" s="134" t="n">
        <f aca="false">IF($A247="",0,SUMIF(tbl_Budget[ID Donateur],$A247,tbl_Budget[Montant engage (FCFA)]))</f>
        <v>0</v>
      </c>
      <c r="E247" s="134" t="n">
        <f aca="false">IF($A247="",0,SUMIF(tbl_Budget[ID Donateur],$A247,tbl_Budget[Depenses realisees (FCFA)]))</f>
        <v>0</v>
      </c>
      <c r="F247" s="134" t="n">
        <f aca="false">$C247-$E247</f>
        <v>0</v>
      </c>
    </row>
    <row r="248" customFormat="false" ht="15" hidden="false" customHeight="true" outlineLevel="0" collapsed="false">
      <c r="A248" s="130" t="str">
        <f aca="false">DONATEURS!A71</f>
        <v/>
      </c>
      <c r="B248" s="130" t="n">
        <f aca="false">DONATEURS!B71</f>
        <v>0</v>
      </c>
      <c r="C248" s="134" t="n">
        <f aca="false">IF($A248="",0,SUMIF(tbl_Budget[ID Donateur],$A248,tbl_Budget[Montant prevu (FCFA)]))</f>
        <v>0</v>
      </c>
      <c r="D248" s="134" t="n">
        <f aca="false">IF($A248="",0,SUMIF(tbl_Budget[ID Donateur],$A248,tbl_Budget[Montant engage (FCFA)]))</f>
        <v>0</v>
      </c>
      <c r="E248" s="134" t="n">
        <f aca="false">IF($A248="",0,SUMIF(tbl_Budget[ID Donateur],$A248,tbl_Budget[Depenses realisees (FCFA)]))</f>
        <v>0</v>
      </c>
      <c r="F248" s="134" t="n">
        <f aca="false">$C248-$E248</f>
        <v>0</v>
      </c>
    </row>
    <row r="249" customFormat="false" ht="15" hidden="false" customHeight="true" outlineLevel="0" collapsed="false">
      <c r="A249" s="130" t="str">
        <f aca="false">DONATEURS!A72</f>
        <v/>
      </c>
      <c r="B249" s="130" t="n">
        <f aca="false">DONATEURS!B72</f>
        <v>0</v>
      </c>
      <c r="C249" s="134" t="n">
        <f aca="false">IF($A249="",0,SUMIF(tbl_Budget[ID Donateur],$A249,tbl_Budget[Montant prevu (FCFA)]))</f>
        <v>0</v>
      </c>
      <c r="D249" s="134" t="n">
        <f aca="false">IF($A249="",0,SUMIF(tbl_Budget[ID Donateur],$A249,tbl_Budget[Montant engage (FCFA)]))</f>
        <v>0</v>
      </c>
      <c r="E249" s="134" t="n">
        <f aca="false">IF($A249="",0,SUMIF(tbl_Budget[ID Donateur],$A249,tbl_Budget[Depenses realisees (FCFA)]))</f>
        <v>0</v>
      </c>
      <c r="F249" s="134" t="n">
        <f aca="false">$C249-$E249</f>
        <v>0</v>
      </c>
    </row>
    <row r="250" customFormat="false" ht="15" hidden="false" customHeight="true" outlineLevel="0" collapsed="false">
      <c r="A250" s="130" t="str">
        <f aca="false">DONATEURS!A73</f>
        <v/>
      </c>
      <c r="B250" s="130" t="n">
        <f aca="false">DONATEURS!B73</f>
        <v>0</v>
      </c>
      <c r="C250" s="134" t="n">
        <f aca="false">IF($A250="",0,SUMIF(tbl_Budget[ID Donateur],$A250,tbl_Budget[Montant prevu (FCFA)]))</f>
        <v>0</v>
      </c>
      <c r="D250" s="134" t="n">
        <f aca="false">IF($A250="",0,SUMIF(tbl_Budget[ID Donateur],$A250,tbl_Budget[Montant engage (FCFA)]))</f>
        <v>0</v>
      </c>
      <c r="E250" s="134" t="n">
        <f aca="false">IF($A250="",0,SUMIF(tbl_Budget[ID Donateur],$A250,tbl_Budget[Depenses realisees (FCFA)]))</f>
        <v>0</v>
      </c>
      <c r="F250" s="134" t="n">
        <f aca="false">$C250-$E250</f>
        <v>0</v>
      </c>
    </row>
    <row r="251" customFormat="false" ht="15" hidden="false" customHeight="true" outlineLevel="0" collapsed="false">
      <c r="A251" s="130" t="str">
        <f aca="false">DONATEURS!A74</f>
        <v/>
      </c>
      <c r="B251" s="130" t="n">
        <f aca="false">DONATEURS!B74</f>
        <v>0</v>
      </c>
      <c r="C251" s="134" t="n">
        <f aca="false">IF($A251="",0,SUMIF(tbl_Budget[ID Donateur],$A251,tbl_Budget[Montant prevu (FCFA)]))</f>
        <v>0</v>
      </c>
      <c r="D251" s="134" t="n">
        <f aca="false">IF($A251="",0,SUMIF(tbl_Budget[ID Donateur],$A251,tbl_Budget[Montant engage (FCFA)]))</f>
        <v>0</v>
      </c>
      <c r="E251" s="134" t="n">
        <f aca="false">IF($A251="",0,SUMIF(tbl_Budget[ID Donateur],$A251,tbl_Budget[Depenses realisees (FCFA)]))</f>
        <v>0</v>
      </c>
      <c r="F251" s="134" t="n">
        <f aca="false">$C251-$E251</f>
        <v>0</v>
      </c>
    </row>
    <row r="252" customFormat="false" ht="15" hidden="false" customHeight="true" outlineLevel="0" collapsed="false">
      <c r="A252" s="130" t="str">
        <f aca="false">DONATEURS!A75</f>
        <v/>
      </c>
      <c r="B252" s="130" t="n">
        <f aca="false">DONATEURS!B75</f>
        <v>0</v>
      </c>
      <c r="C252" s="134" t="n">
        <f aca="false">IF($A252="",0,SUMIF(tbl_Budget[ID Donateur],$A252,tbl_Budget[Montant prevu (FCFA)]))</f>
        <v>0</v>
      </c>
      <c r="D252" s="134" t="n">
        <f aca="false">IF($A252="",0,SUMIF(tbl_Budget[ID Donateur],$A252,tbl_Budget[Montant engage (FCFA)]))</f>
        <v>0</v>
      </c>
      <c r="E252" s="134" t="n">
        <f aca="false">IF($A252="",0,SUMIF(tbl_Budget[ID Donateur],$A252,tbl_Budget[Depenses realisees (FCFA)]))</f>
        <v>0</v>
      </c>
      <c r="F252" s="134" t="n">
        <f aca="false">$C252-$E252</f>
        <v>0</v>
      </c>
    </row>
    <row r="253" customFormat="false" ht="15" hidden="false" customHeight="true" outlineLevel="0" collapsed="false">
      <c r="A253" s="130" t="str">
        <f aca="false">DONATEURS!A76</f>
        <v/>
      </c>
      <c r="B253" s="130" t="n">
        <f aca="false">DONATEURS!B76</f>
        <v>0</v>
      </c>
      <c r="C253" s="134" t="n">
        <f aca="false">IF($A253="",0,SUMIF(tbl_Budget[ID Donateur],$A253,tbl_Budget[Montant prevu (FCFA)]))</f>
        <v>0</v>
      </c>
      <c r="D253" s="134" t="n">
        <f aca="false">IF($A253="",0,SUMIF(tbl_Budget[ID Donateur],$A253,tbl_Budget[Montant engage (FCFA)]))</f>
        <v>0</v>
      </c>
      <c r="E253" s="134" t="n">
        <f aca="false">IF($A253="",0,SUMIF(tbl_Budget[ID Donateur],$A253,tbl_Budget[Depenses realisees (FCFA)]))</f>
        <v>0</v>
      </c>
      <c r="F253" s="134" t="n">
        <f aca="false">$C253-$E253</f>
        <v>0</v>
      </c>
    </row>
    <row r="254" customFormat="false" ht="15" hidden="false" customHeight="true" outlineLevel="0" collapsed="false">
      <c r="A254" s="130" t="str">
        <f aca="false">DONATEURS!A77</f>
        <v/>
      </c>
      <c r="B254" s="130" t="n">
        <f aca="false">DONATEURS!B77</f>
        <v>0</v>
      </c>
      <c r="C254" s="134" t="n">
        <f aca="false">IF($A254="",0,SUMIF(tbl_Budget[ID Donateur],$A254,tbl_Budget[Montant prevu (FCFA)]))</f>
        <v>0</v>
      </c>
      <c r="D254" s="134" t="n">
        <f aca="false">IF($A254="",0,SUMIF(tbl_Budget[ID Donateur],$A254,tbl_Budget[Montant engage (FCFA)]))</f>
        <v>0</v>
      </c>
      <c r="E254" s="134" t="n">
        <f aca="false">IF($A254="",0,SUMIF(tbl_Budget[ID Donateur],$A254,tbl_Budget[Depenses realisees (FCFA)]))</f>
        <v>0</v>
      </c>
      <c r="F254" s="134" t="n">
        <f aca="false">$C254-$E254</f>
        <v>0</v>
      </c>
    </row>
    <row r="255" customFormat="false" ht="15" hidden="false" customHeight="true" outlineLevel="0" collapsed="false">
      <c r="A255" s="130" t="str">
        <f aca="false">DONATEURS!A78</f>
        <v/>
      </c>
      <c r="B255" s="130" t="n">
        <f aca="false">DONATEURS!B78</f>
        <v>0</v>
      </c>
      <c r="C255" s="134" t="n">
        <f aca="false">IF($A255="",0,SUMIF(tbl_Budget[ID Donateur],$A255,tbl_Budget[Montant prevu (FCFA)]))</f>
        <v>0</v>
      </c>
      <c r="D255" s="134" t="n">
        <f aca="false">IF($A255="",0,SUMIF(tbl_Budget[ID Donateur],$A255,tbl_Budget[Montant engage (FCFA)]))</f>
        <v>0</v>
      </c>
      <c r="E255" s="134" t="n">
        <f aca="false">IF($A255="",0,SUMIF(tbl_Budget[ID Donateur],$A255,tbl_Budget[Depenses realisees (FCFA)]))</f>
        <v>0</v>
      </c>
      <c r="F255" s="134" t="n">
        <f aca="false">$C255-$E255</f>
        <v>0</v>
      </c>
    </row>
    <row r="256" customFormat="false" ht="15" hidden="false" customHeight="true" outlineLevel="0" collapsed="false">
      <c r="A256" s="130" t="str">
        <f aca="false">DONATEURS!A79</f>
        <v/>
      </c>
      <c r="B256" s="130" t="n">
        <f aca="false">DONATEURS!B79</f>
        <v>0</v>
      </c>
      <c r="C256" s="134" t="n">
        <f aca="false">IF($A256="",0,SUMIF(tbl_Budget[ID Donateur],$A256,tbl_Budget[Montant prevu (FCFA)]))</f>
        <v>0</v>
      </c>
      <c r="D256" s="134" t="n">
        <f aca="false">IF($A256="",0,SUMIF(tbl_Budget[ID Donateur],$A256,tbl_Budget[Montant engage (FCFA)]))</f>
        <v>0</v>
      </c>
      <c r="E256" s="134" t="n">
        <f aca="false">IF($A256="",0,SUMIF(tbl_Budget[ID Donateur],$A256,tbl_Budget[Depenses realisees (FCFA)]))</f>
        <v>0</v>
      </c>
      <c r="F256" s="134" t="n">
        <f aca="false">$C256-$E256</f>
        <v>0</v>
      </c>
    </row>
    <row r="257" customFormat="false" ht="15" hidden="false" customHeight="true" outlineLevel="0" collapsed="false">
      <c r="A257" s="130" t="str">
        <f aca="false">DONATEURS!A80</f>
        <v/>
      </c>
      <c r="B257" s="130" t="n">
        <f aca="false">DONATEURS!B80</f>
        <v>0</v>
      </c>
      <c r="C257" s="134" t="n">
        <f aca="false">IF($A257="",0,SUMIF(tbl_Budget[ID Donateur],$A257,tbl_Budget[Montant prevu (FCFA)]))</f>
        <v>0</v>
      </c>
      <c r="D257" s="134" t="n">
        <f aca="false">IF($A257="",0,SUMIF(tbl_Budget[ID Donateur],$A257,tbl_Budget[Montant engage (FCFA)]))</f>
        <v>0</v>
      </c>
      <c r="E257" s="134" t="n">
        <f aca="false">IF($A257="",0,SUMIF(tbl_Budget[ID Donateur],$A257,tbl_Budget[Depenses realisees (FCFA)]))</f>
        <v>0</v>
      </c>
      <c r="F257" s="134" t="n">
        <f aca="false">$C257-$E257</f>
        <v>0</v>
      </c>
    </row>
    <row r="258" customFormat="false" ht="15" hidden="false" customHeight="true" outlineLevel="0" collapsed="false">
      <c r="A258" s="130" t="str">
        <f aca="false">DONATEURS!A81</f>
        <v/>
      </c>
      <c r="B258" s="130" t="n">
        <f aca="false">DONATEURS!B81</f>
        <v>0</v>
      </c>
      <c r="C258" s="134" t="n">
        <f aca="false">IF($A258="",0,SUMIF(tbl_Budget[ID Donateur],$A258,tbl_Budget[Montant prevu (FCFA)]))</f>
        <v>0</v>
      </c>
      <c r="D258" s="134" t="n">
        <f aca="false">IF($A258="",0,SUMIF(tbl_Budget[ID Donateur],$A258,tbl_Budget[Montant engage (FCFA)]))</f>
        <v>0</v>
      </c>
      <c r="E258" s="134" t="n">
        <f aca="false">IF($A258="",0,SUMIF(tbl_Budget[ID Donateur],$A258,tbl_Budget[Depenses realisees (FCFA)]))</f>
        <v>0</v>
      </c>
      <c r="F258" s="134" t="n">
        <f aca="false">$C258-$E258</f>
        <v>0</v>
      </c>
    </row>
    <row r="259" customFormat="false" ht="15" hidden="false" customHeight="true" outlineLevel="0" collapsed="false">
      <c r="A259" s="130" t="str">
        <f aca="false">DONATEURS!A82</f>
        <v/>
      </c>
      <c r="B259" s="130" t="n">
        <f aca="false">DONATEURS!B82</f>
        <v>0</v>
      </c>
      <c r="C259" s="134" t="n">
        <f aca="false">IF($A259="",0,SUMIF(tbl_Budget[ID Donateur],$A259,tbl_Budget[Montant prevu (FCFA)]))</f>
        <v>0</v>
      </c>
      <c r="D259" s="134" t="n">
        <f aca="false">IF($A259="",0,SUMIF(tbl_Budget[ID Donateur],$A259,tbl_Budget[Montant engage (FCFA)]))</f>
        <v>0</v>
      </c>
      <c r="E259" s="134" t="n">
        <f aca="false">IF($A259="",0,SUMIF(tbl_Budget[ID Donateur],$A259,tbl_Budget[Depenses realisees (FCFA)]))</f>
        <v>0</v>
      </c>
      <c r="F259" s="134" t="n">
        <f aca="false">$C259-$E259</f>
        <v>0</v>
      </c>
    </row>
    <row r="260" customFormat="false" ht="15" hidden="false" customHeight="true" outlineLevel="0" collapsed="false">
      <c r="A260" s="130" t="str">
        <f aca="false">DONATEURS!A83</f>
        <v/>
      </c>
      <c r="B260" s="130" t="n">
        <f aca="false">DONATEURS!B83</f>
        <v>0</v>
      </c>
      <c r="C260" s="134" t="n">
        <f aca="false">IF($A260="",0,SUMIF(tbl_Budget[ID Donateur],$A260,tbl_Budget[Montant prevu (FCFA)]))</f>
        <v>0</v>
      </c>
      <c r="D260" s="134" t="n">
        <f aca="false">IF($A260="",0,SUMIF(tbl_Budget[ID Donateur],$A260,tbl_Budget[Montant engage (FCFA)]))</f>
        <v>0</v>
      </c>
      <c r="E260" s="134" t="n">
        <f aca="false">IF($A260="",0,SUMIF(tbl_Budget[ID Donateur],$A260,tbl_Budget[Depenses realisees (FCFA)]))</f>
        <v>0</v>
      </c>
      <c r="F260" s="134" t="n">
        <f aca="false">$C260-$E260</f>
        <v>0</v>
      </c>
    </row>
    <row r="261" customFormat="false" ht="15" hidden="false" customHeight="true" outlineLevel="0" collapsed="false">
      <c r="A261" s="130" t="str">
        <f aca="false">DONATEURS!A84</f>
        <v/>
      </c>
      <c r="B261" s="130" t="n">
        <f aca="false">DONATEURS!B84</f>
        <v>0</v>
      </c>
      <c r="C261" s="134" t="n">
        <f aca="false">IF($A261="",0,SUMIF(tbl_Budget[ID Donateur],$A261,tbl_Budget[Montant prevu (FCFA)]))</f>
        <v>0</v>
      </c>
      <c r="D261" s="134" t="n">
        <f aca="false">IF($A261="",0,SUMIF(tbl_Budget[ID Donateur],$A261,tbl_Budget[Montant engage (FCFA)]))</f>
        <v>0</v>
      </c>
      <c r="E261" s="134" t="n">
        <f aca="false">IF($A261="",0,SUMIF(tbl_Budget[ID Donateur],$A261,tbl_Budget[Depenses realisees (FCFA)]))</f>
        <v>0</v>
      </c>
      <c r="F261" s="134" t="n">
        <f aca="false">$C261-$E261</f>
        <v>0</v>
      </c>
    </row>
    <row r="262" customFormat="false" ht="15" hidden="false" customHeight="true" outlineLevel="0" collapsed="false">
      <c r="A262" s="130" t="str">
        <f aca="false">DONATEURS!A85</f>
        <v/>
      </c>
      <c r="B262" s="130" t="n">
        <f aca="false">DONATEURS!B85</f>
        <v>0</v>
      </c>
      <c r="C262" s="134" t="n">
        <f aca="false">IF($A262="",0,SUMIF(tbl_Budget[ID Donateur],$A262,tbl_Budget[Montant prevu (FCFA)]))</f>
        <v>0</v>
      </c>
      <c r="D262" s="134" t="n">
        <f aca="false">IF($A262="",0,SUMIF(tbl_Budget[ID Donateur],$A262,tbl_Budget[Montant engage (FCFA)]))</f>
        <v>0</v>
      </c>
      <c r="E262" s="134" t="n">
        <f aca="false">IF($A262="",0,SUMIF(tbl_Budget[ID Donateur],$A262,tbl_Budget[Depenses realisees (FCFA)]))</f>
        <v>0</v>
      </c>
      <c r="F262" s="134" t="n">
        <f aca="false">$C262-$E262</f>
        <v>0</v>
      </c>
    </row>
    <row r="263" customFormat="false" ht="15" hidden="false" customHeight="true" outlineLevel="0" collapsed="false">
      <c r="A263" s="130" t="str">
        <f aca="false">DONATEURS!A86</f>
        <v/>
      </c>
      <c r="B263" s="130" t="n">
        <f aca="false">DONATEURS!B86</f>
        <v>0</v>
      </c>
      <c r="C263" s="134" t="n">
        <f aca="false">IF($A263="",0,SUMIF(tbl_Budget[ID Donateur],$A263,tbl_Budget[Montant prevu (FCFA)]))</f>
        <v>0</v>
      </c>
      <c r="D263" s="134" t="n">
        <f aca="false">IF($A263="",0,SUMIF(tbl_Budget[ID Donateur],$A263,tbl_Budget[Montant engage (FCFA)]))</f>
        <v>0</v>
      </c>
      <c r="E263" s="134" t="n">
        <f aca="false">IF($A263="",0,SUMIF(tbl_Budget[ID Donateur],$A263,tbl_Budget[Depenses realisees (FCFA)]))</f>
        <v>0</v>
      </c>
      <c r="F263" s="134" t="n">
        <f aca="false">$C263-$E263</f>
        <v>0</v>
      </c>
    </row>
    <row r="264" customFormat="false" ht="15" hidden="false" customHeight="true" outlineLevel="0" collapsed="false">
      <c r="A264" s="130" t="str">
        <f aca="false">DONATEURS!A87</f>
        <v/>
      </c>
      <c r="B264" s="130" t="n">
        <f aca="false">DONATEURS!B87</f>
        <v>0</v>
      </c>
      <c r="C264" s="134" t="n">
        <f aca="false">IF($A264="",0,SUMIF(tbl_Budget[ID Donateur],$A264,tbl_Budget[Montant prevu (FCFA)]))</f>
        <v>0</v>
      </c>
      <c r="D264" s="134" t="n">
        <f aca="false">IF($A264="",0,SUMIF(tbl_Budget[ID Donateur],$A264,tbl_Budget[Montant engage (FCFA)]))</f>
        <v>0</v>
      </c>
      <c r="E264" s="134" t="n">
        <f aca="false">IF($A264="",0,SUMIF(tbl_Budget[ID Donateur],$A264,tbl_Budget[Depenses realisees (FCFA)]))</f>
        <v>0</v>
      </c>
      <c r="F264" s="134" t="n">
        <f aca="false">$C264-$E264</f>
        <v>0</v>
      </c>
    </row>
    <row r="265" customFormat="false" ht="15" hidden="false" customHeight="true" outlineLevel="0" collapsed="false">
      <c r="A265" s="130" t="str">
        <f aca="false">DONATEURS!A88</f>
        <v/>
      </c>
      <c r="B265" s="130" t="n">
        <f aca="false">DONATEURS!B88</f>
        <v>0</v>
      </c>
      <c r="C265" s="134" t="n">
        <f aca="false">IF($A265="",0,SUMIF(tbl_Budget[ID Donateur],$A265,tbl_Budget[Montant prevu (FCFA)]))</f>
        <v>0</v>
      </c>
      <c r="D265" s="134" t="n">
        <f aca="false">IF($A265="",0,SUMIF(tbl_Budget[ID Donateur],$A265,tbl_Budget[Montant engage (FCFA)]))</f>
        <v>0</v>
      </c>
      <c r="E265" s="134" t="n">
        <f aca="false">IF($A265="",0,SUMIF(tbl_Budget[ID Donateur],$A265,tbl_Budget[Depenses realisees (FCFA)]))</f>
        <v>0</v>
      </c>
      <c r="F265" s="134" t="n">
        <f aca="false">$C265-$E265</f>
        <v>0</v>
      </c>
    </row>
    <row r="266" customFormat="false" ht="15" hidden="false" customHeight="true" outlineLevel="0" collapsed="false">
      <c r="A266" s="130" t="str">
        <f aca="false">DONATEURS!A89</f>
        <v/>
      </c>
      <c r="B266" s="130" t="n">
        <f aca="false">DONATEURS!B89</f>
        <v>0</v>
      </c>
      <c r="C266" s="134" t="n">
        <f aca="false">IF($A266="",0,SUMIF(tbl_Budget[ID Donateur],$A266,tbl_Budget[Montant prevu (FCFA)]))</f>
        <v>0</v>
      </c>
      <c r="D266" s="134" t="n">
        <f aca="false">IF($A266="",0,SUMIF(tbl_Budget[ID Donateur],$A266,tbl_Budget[Montant engage (FCFA)]))</f>
        <v>0</v>
      </c>
      <c r="E266" s="134" t="n">
        <f aca="false">IF($A266="",0,SUMIF(tbl_Budget[ID Donateur],$A266,tbl_Budget[Depenses realisees (FCFA)]))</f>
        <v>0</v>
      </c>
      <c r="F266" s="134" t="n">
        <f aca="false">$C266-$E266</f>
        <v>0</v>
      </c>
    </row>
    <row r="267" customFormat="false" ht="15" hidden="false" customHeight="true" outlineLevel="0" collapsed="false">
      <c r="A267" s="130" t="str">
        <f aca="false">DONATEURS!A90</f>
        <v/>
      </c>
      <c r="B267" s="130" t="n">
        <f aca="false">DONATEURS!B90</f>
        <v>0</v>
      </c>
      <c r="C267" s="134" t="n">
        <f aca="false">IF($A267="",0,SUMIF(tbl_Budget[ID Donateur],$A267,tbl_Budget[Montant prevu (FCFA)]))</f>
        <v>0</v>
      </c>
      <c r="D267" s="134" t="n">
        <f aca="false">IF($A267="",0,SUMIF(tbl_Budget[ID Donateur],$A267,tbl_Budget[Montant engage (FCFA)]))</f>
        <v>0</v>
      </c>
      <c r="E267" s="134" t="n">
        <f aca="false">IF($A267="",0,SUMIF(tbl_Budget[ID Donateur],$A267,tbl_Budget[Depenses realisees (FCFA)]))</f>
        <v>0</v>
      </c>
      <c r="F267" s="134" t="n">
        <f aca="false">$C267-$E267</f>
        <v>0</v>
      </c>
    </row>
    <row r="268" customFormat="false" ht="15" hidden="false" customHeight="true" outlineLevel="0" collapsed="false">
      <c r="A268" s="130" t="str">
        <f aca="false">DONATEURS!A91</f>
        <v/>
      </c>
      <c r="B268" s="130" t="n">
        <f aca="false">DONATEURS!B91</f>
        <v>0</v>
      </c>
      <c r="C268" s="134" t="n">
        <f aca="false">IF($A268="",0,SUMIF(tbl_Budget[ID Donateur],$A268,tbl_Budget[Montant prevu (FCFA)]))</f>
        <v>0</v>
      </c>
      <c r="D268" s="134" t="n">
        <f aca="false">IF($A268="",0,SUMIF(tbl_Budget[ID Donateur],$A268,tbl_Budget[Montant engage (FCFA)]))</f>
        <v>0</v>
      </c>
      <c r="E268" s="134" t="n">
        <f aca="false">IF($A268="",0,SUMIF(tbl_Budget[ID Donateur],$A268,tbl_Budget[Depenses realisees (FCFA)]))</f>
        <v>0</v>
      </c>
      <c r="F268" s="134" t="n">
        <f aca="false">$C268-$E268</f>
        <v>0</v>
      </c>
    </row>
    <row r="269" customFormat="false" ht="15" hidden="false" customHeight="true" outlineLevel="0" collapsed="false">
      <c r="A269" s="130" t="str">
        <f aca="false">DONATEURS!A92</f>
        <v/>
      </c>
      <c r="B269" s="130" t="n">
        <f aca="false">DONATEURS!B92</f>
        <v>0</v>
      </c>
      <c r="C269" s="134" t="n">
        <f aca="false">IF($A269="",0,SUMIF(tbl_Budget[ID Donateur],$A269,tbl_Budget[Montant prevu (FCFA)]))</f>
        <v>0</v>
      </c>
      <c r="D269" s="134" t="n">
        <f aca="false">IF($A269="",0,SUMIF(tbl_Budget[ID Donateur],$A269,tbl_Budget[Montant engage (FCFA)]))</f>
        <v>0</v>
      </c>
      <c r="E269" s="134" t="n">
        <f aca="false">IF($A269="",0,SUMIF(tbl_Budget[ID Donateur],$A269,tbl_Budget[Depenses realisees (FCFA)]))</f>
        <v>0</v>
      </c>
      <c r="F269" s="134" t="n">
        <f aca="false">$C269-$E269</f>
        <v>0</v>
      </c>
    </row>
    <row r="270" customFormat="false" ht="15" hidden="false" customHeight="true" outlineLevel="0" collapsed="false">
      <c r="A270" s="130" t="str">
        <f aca="false">DONATEURS!A93</f>
        <v/>
      </c>
      <c r="B270" s="130" t="n">
        <f aca="false">DONATEURS!B93</f>
        <v>0</v>
      </c>
      <c r="C270" s="134" t="n">
        <f aca="false">IF($A270="",0,SUMIF(tbl_Budget[ID Donateur],$A270,tbl_Budget[Montant prevu (FCFA)]))</f>
        <v>0</v>
      </c>
      <c r="D270" s="134" t="n">
        <f aca="false">IF($A270="",0,SUMIF(tbl_Budget[ID Donateur],$A270,tbl_Budget[Montant engage (FCFA)]))</f>
        <v>0</v>
      </c>
      <c r="E270" s="134" t="n">
        <f aca="false">IF($A270="",0,SUMIF(tbl_Budget[ID Donateur],$A270,tbl_Budget[Depenses realisees (FCFA)]))</f>
        <v>0</v>
      </c>
      <c r="F270" s="134" t="n">
        <f aca="false">$C270-$E270</f>
        <v>0</v>
      </c>
    </row>
    <row r="271" customFormat="false" ht="15" hidden="false" customHeight="true" outlineLevel="0" collapsed="false">
      <c r="A271" s="130" t="str">
        <f aca="false">DONATEURS!A94</f>
        <v/>
      </c>
      <c r="B271" s="130" t="n">
        <f aca="false">DONATEURS!B94</f>
        <v>0</v>
      </c>
      <c r="C271" s="134" t="n">
        <f aca="false">IF($A271="",0,SUMIF(tbl_Budget[ID Donateur],$A271,tbl_Budget[Montant prevu (FCFA)]))</f>
        <v>0</v>
      </c>
      <c r="D271" s="134" t="n">
        <f aca="false">IF($A271="",0,SUMIF(tbl_Budget[ID Donateur],$A271,tbl_Budget[Montant engage (FCFA)]))</f>
        <v>0</v>
      </c>
      <c r="E271" s="134" t="n">
        <f aca="false">IF($A271="",0,SUMIF(tbl_Budget[ID Donateur],$A271,tbl_Budget[Depenses realisees (FCFA)]))</f>
        <v>0</v>
      </c>
      <c r="F271" s="134" t="n">
        <f aca="false">$C271-$E271</f>
        <v>0</v>
      </c>
    </row>
    <row r="272" customFormat="false" ht="15" hidden="false" customHeight="true" outlineLevel="0" collapsed="false">
      <c r="A272" s="130" t="str">
        <f aca="false">DONATEURS!A95</f>
        <v/>
      </c>
      <c r="B272" s="130" t="n">
        <f aca="false">DONATEURS!B95</f>
        <v>0</v>
      </c>
      <c r="C272" s="134" t="n">
        <f aca="false">IF($A272="",0,SUMIF(tbl_Budget[ID Donateur],$A272,tbl_Budget[Montant prevu (FCFA)]))</f>
        <v>0</v>
      </c>
      <c r="D272" s="134" t="n">
        <f aca="false">IF($A272="",0,SUMIF(tbl_Budget[ID Donateur],$A272,tbl_Budget[Montant engage (FCFA)]))</f>
        <v>0</v>
      </c>
      <c r="E272" s="134" t="n">
        <f aca="false">IF($A272="",0,SUMIF(tbl_Budget[ID Donateur],$A272,tbl_Budget[Depenses realisees (FCFA)]))</f>
        <v>0</v>
      </c>
      <c r="F272" s="134" t="n">
        <f aca="false">$C272-$E272</f>
        <v>0</v>
      </c>
    </row>
    <row r="273" customFormat="false" ht="15" hidden="false" customHeight="true" outlineLevel="0" collapsed="false">
      <c r="A273" s="130" t="str">
        <f aca="false">DONATEURS!A96</f>
        <v/>
      </c>
      <c r="B273" s="130" t="n">
        <f aca="false">DONATEURS!B96</f>
        <v>0</v>
      </c>
      <c r="C273" s="134" t="n">
        <f aca="false">IF($A273="",0,SUMIF(tbl_Budget[ID Donateur],$A273,tbl_Budget[Montant prevu (FCFA)]))</f>
        <v>0</v>
      </c>
      <c r="D273" s="134" t="n">
        <f aca="false">IF($A273="",0,SUMIF(tbl_Budget[ID Donateur],$A273,tbl_Budget[Montant engage (FCFA)]))</f>
        <v>0</v>
      </c>
      <c r="E273" s="134" t="n">
        <f aca="false">IF($A273="",0,SUMIF(tbl_Budget[ID Donateur],$A273,tbl_Budget[Depenses realisees (FCFA)]))</f>
        <v>0</v>
      </c>
      <c r="F273" s="134" t="n">
        <f aca="false">$C273-$E273</f>
        <v>0</v>
      </c>
    </row>
    <row r="274" customFormat="false" ht="15" hidden="false" customHeight="true" outlineLevel="0" collapsed="false">
      <c r="A274" s="130" t="str">
        <f aca="false">DONATEURS!A97</f>
        <v/>
      </c>
      <c r="B274" s="130" t="n">
        <f aca="false">DONATEURS!B97</f>
        <v>0</v>
      </c>
      <c r="C274" s="134" t="n">
        <f aca="false">IF($A274="",0,SUMIF(tbl_Budget[ID Donateur],$A274,tbl_Budget[Montant prevu (FCFA)]))</f>
        <v>0</v>
      </c>
      <c r="D274" s="134" t="n">
        <f aca="false">IF($A274="",0,SUMIF(tbl_Budget[ID Donateur],$A274,tbl_Budget[Montant engage (FCFA)]))</f>
        <v>0</v>
      </c>
      <c r="E274" s="134" t="n">
        <f aca="false">IF($A274="",0,SUMIF(tbl_Budget[ID Donateur],$A274,tbl_Budget[Depenses realisees (FCFA)]))</f>
        <v>0</v>
      </c>
      <c r="F274" s="134" t="n">
        <f aca="false">$C274-$E274</f>
        <v>0</v>
      </c>
    </row>
    <row r="275" customFormat="false" ht="15" hidden="false" customHeight="true" outlineLevel="0" collapsed="false">
      <c r="A275" s="130" t="str">
        <f aca="false">DONATEURS!A98</f>
        <v/>
      </c>
      <c r="B275" s="130" t="n">
        <f aca="false">DONATEURS!B98</f>
        <v>0</v>
      </c>
      <c r="C275" s="134" t="n">
        <f aca="false">IF($A275="",0,SUMIF(tbl_Budget[ID Donateur],$A275,tbl_Budget[Montant prevu (FCFA)]))</f>
        <v>0</v>
      </c>
      <c r="D275" s="134" t="n">
        <f aca="false">IF($A275="",0,SUMIF(tbl_Budget[ID Donateur],$A275,tbl_Budget[Montant engage (FCFA)]))</f>
        <v>0</v>
      </c>
      <c r="E275" s="134" t="n">
        <f aca="false">IF($A275="",0,SUMIF(tbl_Budget[ID Donateur],$A275,tbl_Budget[Depenses realisees (FCFA)]))</f>
        <v>0</v>
      </c>
      <c r="F275" s="134" t="n">
        <f aca="false">$C275-$E275</f>
        <v>0</v>
      </c>
    </row>
    <row r="276" customFormat="false" ht="15" hidden="false" customHeight="true" outlineLevel="0" collapsed="false">
      <c r="A276" s="130" t="str">
        <f aca="false">DONATEURS!A99</f>
        <v/>
      </c>
      <c r="B276" s="130" t="n">
        <f aca="false">DONATEURS!B99</f>
        <v>0</v>
      </c>
      <c r="C276" s="134" t="n">
        <f aca="false">IF($A276="",0,SUMIF(tbl_Budget[ID Donateur],$A276,tbl_Budget[Montant prevu (FCFA)]))</f>
        <v>0</v>
      </c>
      <c r="D276" s="134" t="n">
        <f aca="false">IF($A276="",0,SUMIF(tbl_Budget[ID Donateur],$A276,tbl_Budget[Montant engage (FCFA)]))</f>
        <v>0</v>
      </c>
      <c r="E276" s="134" t="n">
        <f aca="false">IF($A276="",0,SUMIF(tbl_Budget[ID Donateur],$A276,tbl_Budget[Depenses realisees (FCFA)]))</f>
        <v>0</v>
      </c>
      <c r="F276" s="134" t="n">
        <f aca="false">$C276-$E276</f>
        <v>0</v>
      </c>
    </row>
    <row r="277" customFormat="false" ht="15" hidden="false" customHeight="true" outlineLevel="0" collapsed="false">
      <c r="A277" s="130" t="str">
        <f aca="false">DONATEURS!A100</f>
        <v/>
      </c>
      <c r="B277" s="130" t="n">
        <f aca="false">DONATEURS!B100</f>
        <v>0</v>
      </c>
      <c r="C277" s="134" t="n">
        <f aca="false">IF($A277="",0,SUMIF(tbl_Budget[ID Donateur],$A277,tbl_Budget[Montant prevu (FCFA)]))</f>
        <v>0</v>
      </c>
      <c r="D277" s="134" t="n">
        <f aca="false">IF($A277="",0,SUMIF(tbl_Budget[ID Donateur],$A277,tbl_Budget[Montant engage (FCFA)]))</f>
        <v>0</v>
      </c>
      <c r="E277" s="134" t="n">
        <f aca="false">IF($A277="",0,SUMIF(tbl_Budget[ID Donateur],$A277,tbl_Budget[Depenses realisees (FCFA)]))</f>
        <v>0</v>
      </c>
      <c r="F277" s="134" t="n">
        <f aca="false">$C277-$E277</f>
        <v>0</v>
      </c>
    </row>
    <row r="278" customFormat="false" ht="15" hidden="false" customHeight="true" outlineLevel="0" collapsed="false">
      <c r="A278" s="130" t="str">
        <f aca="false">DONATEURS!A101</f>
        <v/>
      </c>
      <c r="B278" s="130" t="n">
        <f aca="false">DONATEURS!B101</f>
        <v>0</v>
      </c>
      <c r="C278" s="134" t="n">
        <f aca="false">IF($A278="",0,SUMIF(tbl_Budget[ID Donateur],$A278,tbl_Budget[Montant prevu (FCFA)]))</f>
        <v>0</v>
      </c>
      <c r="D278" s="134" t="n">
        <f aca="false">IF($A278="",0,SUMIF(tbl_Budget[ID Donateur],$A278,tbl_Budget[Montant engage (FCFA)]))</f>
        <v>0</v>
      </c>
      <c r="E278" s="134" t="n">
        <f aca="false">IF($A278="",0,SUMIF(tbl_Budget[ID Donateur],$A278,tbl_Budget[Depenses realisees (FCFA)]))</f>
        <v>0</v>
      </c>
      <c r="F278" s="134" t="n">
        <f aca="false">$C278-$E278</f>
        <v>0</v>
      </c>
    </row>
    <row r="279" customFormat="false" ht="15" hidden="false" customHeight="true" outlineLevel="0" collapsed="false">
      <c r="A279" s="130" t="str">
        <f aca="false">DONATEURS!A102</f>
        <v/>
      </c>
      <c r="B279" s="130" t="n">
        <f aca="false">DONATEURS!B102</f>
        <v>0</v>
      </c>
      <c r="C279" s="134" t="n">
        <f aca="false">IF($A279="",0,SUMIF(tbl_Budget[ID Donateur],$A279,tbl_Budget[Montant prevu (FCFA)]))</f>
        <v>0</v>
      </c>
      <c r="D279" s="134" t="n">
        <f aca="false">IF($A279="",0,SUMIF(tbl_Budget[ID Donateur],$A279,tbl_Budget[Montant engage (FCFA)]))</f>
        <v>0</v>
      </c>
      <c r="E279" s="134" t="n">
        <f aca="false">IF($A279="",0,SUMIF(tbl_Budget[ID Donateur],$A279,tbl_Budget[Depenses realisees (FCFA)]))</f>
        <v>0</v>
      </c>
      <c r="F279" s="134" t="n">
        <f aca="false">$C279-$E279</f>
        <v>0</v>
      </c>
    </row>
    <row r="280" customFormat="false" ht="15" hidden="false" customHeight="true" outlineLevel="0" collapsed="false">
      <c r="A280" s="130" t="str">
        <f aca="false">DONATEURS!A103</f>
        <v/>
      </c>
      <c r="B280" s="130" t="n">
        <f aca="false">DONATEURS!B103</f>
        <v>0</v>
      </c>
      <c r="C280" s="134" t="n">
        <f aca="false">IF($A280="",0,SUMIF(tbl_Budget[ID Donateur],$A280,tbl_Budget[Montant prevu (FCFA)]))</f>
        <v>0</v>
      </c>
      <c r="D280" s="134" t="n">
        <f aca="false">IF($A280="",0,SUMIF(tbl_Budget[ID Donateur],$A280,tbl_Budget[Montant engage (FCFA)]))</f>
        <v>0</v>
      </c>
      <c r="E280" s="134" t="n">
        <f aca="false">IF($A280="",0,SUMIF(tbl_Budget[ID Donateur],$A280,tbl_Budget[Depenses realisees (FCFA)]))</f>
        <v>0</v>
      </c>
      <c r="F280" s="134" t="n">
        <f aca="false">$C280-$E280</f>
        <v>0</v>
      </c>
    </row>
    <row r="281" customFormat="false" ht="15" hidden="false" customHeight="true" outlineLevel="0" collapsed="false">
      <c r="A281" s="130" t="str">
        <f aca="false">DONATEURS!A104</f>
        <v/>
      </c>
      <c r="B281" s="130" t="n">
        <f aca="false">DONATEURS!B104</f>
        <v>0</v>
      </c>
      <c r="C281" s="134" t="n">
        <f aca="false">IF($A281="",0,SUMIF(tbl_Budget[ID Donateur],$A281,tbl_Budget[Montant prevu (FCFA)]))</f>
        <v>0</v>
      </c>
      <c r="D281" s="134" t="n">
        <f aca="false">IF($A281="",0,SUMIF(tbl_Budget[ID Donateur],$A281,tbl_Budget[Montant engage (FCFA)]))</f>
        <v>0</v>
      </c>
      <c r="E281" s="134" t="n">
        <f aca="false">IF($A281="",0,SUMIF(tbl_Budget[ID Donateur],$A281,tbl_Budget[Depenses realisees (FCFA)]))</f>
        <v>0</v>
      </c>
      <c r="F281" s="134" t="n">
        <f aca="false">$C281-$E281</f>
        <v>0</v>
      </c>
    </row>
    <row r="282" customFormat="false" ht="15" hidden="false" customHeight="true" outlineLevel="0" collapsed="false">
      <c r="A282" s="130" t="str">
        <f aca="false">DONATEURS!A105</f>
        <v/>
      </c>
      <c r="B282" s="130" t="n">
        <f aca="false">DONATEURS!B105</f>
        <v>0</v>
      </c>
      <c r="C282" s="134" t="n">
        <f aca="false">IF($A282="",0,SUMIF(tbl_Budget[ID Donateur],$A282,tbl_Budget[Montant prevu (FCFA)]))</f>
        <v>0</v>
      </c>
      <c r="D282" s="134" t="n">
        <f aca="false">IF($A282="",0,SUMIF(tbl_Budget[ID Donateur],$A282,tbl_Budget[Montant engage (FCFA)]))</f>
        <v>0</v>
      </c>
      <c r="E282" s="134" t="n">
        <f aca="false">IF($A282="",0,SUMIF(tbl_Budget[ID Donateur],$A282,tbl_Budget[Depenses realisees (FCFA)]))</f>
        <v>0</v>
      </c>
      <c r="F282" s="134" t="n">
        <f aca="false">$C282-$E282</f>
        <v>0</v>
      </c>
    </row>
    <row r="284" customFormat="false" ht="19.5" hidden="false" customHeight="true" outlineLevel="0" collapsed="false">
      <c r="A284" s="18" t="s">
        <v>2069</v>
      </c>
      <c r="B284" s="18"/>
      <c r="C284" s="18"/>
      <c r="D284" s="18"/>
      <c r="E284" s="18"/>
    </row>
    <row r="285" customFormat="false" ht="25.5" hidden="false" customHeight="true" outlineLevel="0" collapsed="false">
      <c r="A285" s="19" t="s">
        <v>2070</v>
      </c>
      <c r="B285" s="19" t="s">
        <v>2031</v>
      </c>
      <c r="C285" s="19" t="s">
        <v>2071</v>
      </c>
      <c r="D285" s="19" t="s">
        <v>1599</v>
      </c>
      <c r="E285" s="19" t="s">
        <v>2000</v>
      </c>
    </row>
    <row r="286" customFormat="false" ht="15" hidden="false" customHeight="true" outlineLevel="0" collapsed="false">
      <c r="A286" s="21" t="s">
        <v>2072</v>
      </c>
      <c r="B286" s="133"/>
      <c r="C286" s="133"/>
      <c r="D286" s="134" t="n">
        <f aca="false">$B286-$C286</f>
        <v>0</v>
      </c>
      <c r="E286" s="135" t="n">
        <f aca="false">IF($B286=0,0,$C286/$B286)</f>
        <v>0</v>
      </c>
    </row>
    <row r="287" customFormat="false" ht="15" hidden="false" customHeight="true" outlineLevel="0" collapsed="false">
      <c r="A287" s="21" t="s">
        <v>2073</v>
      </c>
      <c r="B287" s="133"/>
      <c r="C287" s="133"/>
      <c r="D287" s="134" t="n">
        <f aca="false">$B287-$C287</f>
        <v>0</v>
      </c>
      <c r="E287" s="135" t="n">
        <f aca="false">IF($B287=0,0,$C287/$B287)</f>
        <v>0</v>
      </c>
    </row>
    <row r="288" customFormat="false" ht="15" hidden="false" customHeight="true" outlineLevel="0" collapsed="false">
      <c r="A288" s="21" t="s">
        <v>2074</v>
      </c>
      <c r="B288" s="133"/>
      <c r="C288" s="133"/>
      <c r="D288" s="134" t="n">
        <f aca="false">$B288-$C288</f>
        <v>0</v>
      </c>
      <c r="E288" s="135" t="n">
        <f aca="false">IF($B288=0,0,$C288/$B288)</f>
        <v>0</v>
      </c>
    </row>
    <row r="289" customFormat="false" ht="15" hidden="false" customHeight="true" outlineLevel="0" collapsed="false">
      <c r="A289" s="21" t="s">
        <v>2075</v>
      </c>
      <c r="B289" s="133"/>
      <c r="C289" s="133"/>
      <c r="D289" s="134" t="n">
        <f aca="false">$B289-$C289</f>
        <v>0</v>
      </c>
      <c r="E289" s="135" t="n">
        <f aca="false">IF($B289=0,0,$C289/$B289)</f>
        <v>0</v>
      </c>
    </row>
    <row r="290" customFormat="false" ht="15" hidden="false" customHeight="true" outlineLevel="0" collapsed="false">
      <c r="A290" s="21" t="s">
        <v>590</v>
      </c>
      <c r="B290" s="133"/>
      <c r="C290" s="133"/>
      <c r="D290" s="134" t="n">
        <f aca="false">$B290-$C290</f>
        <v>0</v>
      </c>
      <c r="E290" s="135" t="n">
        <f aca="false">IF($B290=0,0,$C290/$B290)</f>
        <v>0</v>
      </c>
    </row>
    <row r="291" customFormat="false" ht="21.75" hidden="false" customHeight="true" outlineLevel="0" collapsed="false">
      <c r="A291" s="21" t="s">
        <v>2076</v>
      </c>
      <c r="B291" s="133"/>
      <c r="C291" s="133"/>
      <c r="D291" s="134" t="n">
        <f aca="false">$B291-$C291</f>
        <v>0</v>
      </c>
      <c r="E291" s="135" t="n">
        <f aca="false">IF($B291=0,0,$C291/$B291)</f>
        <v>0</v>
      </c>
    </row>
    <row r="292" customFormat="false" ht="15" hidden="false" customHeight="true" outlineLevel="0" collapsed="false">
      <c r="A292" s="21" t="s">
        <v>564</v>
      </c>
      <c r="B292" s="133"/>
      <c r="C292" s="133"/>
      <c r="D292" s="134" t="n">
        <f aca="false">$B292-$C292</f>
        <v>0</v>
      </c>
      <c r="E292" s="135" t="n">
        <f aca="false">IF($B292=0,0,$C292/$B292)</f>
        <v>0</v>
      </c>
    </row>
    <row r="293" customFormat="false" ht="15" hidden="false" customHeight="true" outlineLevel="0" collapsed="false">
      <c r="A293" s="21" t="s">
        <v>576</v>
      </c>
      <c r="B293" s="133"/>
      <c r="C293" s="133"/>
      <c r="D293" s="134" t="n">
        <f aca="false">$B293-$C293</f>
        <v>0</v>
      </c>
      <c r="E293" s="135" t="n">
        <f aca="false">IF($B293=0,0,$C293/$B293)</f>
        <v>0</v>
      </c>
    </row>
    <row r="294" customFormat="false" ht="15" hidden="false" customHeight="true" outlineLevel="0" collapsed="false">
      <c r="A294" s="21" t="s">
        <v>605</v>
      </c>
      <c r="B294" s="133"/>
      <c r="C294" s="133"/>
      <c r="D294" s="134" t="n">
        <f aca="false">$B294-$C294</f>
        <v>0</v>
      </c>
      <c r="E294" s="135" t="n">
        <f aca="false">IF($B294=0,0,$C294/$B294)</f>
        <v>0</v>
      </c>
    </row>
    <row r="295" customFormat="false" ht="15" hidden="false" customHeight="true" outlineLevel="0" collapsed="false">
      <c r="A295" s="21" t="s">
        <v>603</v>
      </c>
      <c r="B295" s="133"/>
      <c r="C295" s="133"/>
      <c r="D295" s="134" t="n">
        <f aca="false">$B295-$C295</f>
        <v>0</v>
      </c>
      <c r="E295" s="135" t="n">
        <f aca="false">IF($B295=0,0,$C295/$B295)</f>
        <v>0</v>
      </c>
    </row>
    <row r="296" customFormat="false" ht="15" hidden="false" customHeight="true" outlineLevel="0" collapsed="false">
      <c r="A296" s="21" t="s">
        <v>370</v>
      </c>
      <c r="B296" s="133"/>
      <c r="C296" s="133"/>
      <c r="D296" s="134" t="n">
        <f aca="false">$B296-$C296</f>
        <v>0</v>
      </c>
      <c r="E296" s="135" t="n">
        <f aca="false">IF($B296=0,0,$C296/$B296)</f>
        <v>0</v>
      </c>
    </row>
    <row r="297" customFormat="false" ht="21.75" hidden="false" customHeight="true" outlineLevel="0" collapsed="false">
      <c r="A297" s="21" t="s">
        <v>2077</v>
      </c>
      <c r="B297" s="133"/>
      <c r="C297" s="133"/>
      <c r="D297" s="134" t="n">
        <f aca="false">$B297-$C297</f>
        <v>0</v>
      </c>
      <c r="E297" s="135" t="n">
        <f aca="false">IF($B297=0,0,$C297/$B297)</f>
        <v>0</v>
      </c>
    </row>
    <row r="298" customFormat="false" ht="15" hidden="false" customHeight="true" outlineLevel="0" collapsed="false">
      <c r="A298" s="21" t="s">
        <v>2078</v>
      </c>
      <c r="B298" s="133"/>
      <c r="C298" s="133"/>
      <c r="D298" s="134" t="n">
        <f aca="false">$B298-$C298</f>
        <v>0</v>
      </c>
      <c r="E298" s="135" t="n">
        <f aca="false">IF($B298=0,0,$C298/$B298)</f>
        <v>0</v>
      </c>
    </row>
    <row r="300" customFormat="false" ht="19.5" hidden="false" customHeight="true" outlineLevel="0" collapsed="false">
      <c r="A300" s="18" t="s">
        <v>2079</v>
      </c>
      <c r="B300" s="18"/>
      <c r="C300" s="18"/>
      <c r="D300" s="18"/>
      <c r="E300" s="18"/>
      <c r="F300" s="18"/>
      <c r="G300" s="18"/>
      <c r="H300" s="18"/>
      <c r="I300" s="18"/>
    </row>
    <row r="301" customFormat="false" ht="25.5" hidden="false" customHeight="true" outlineLevel="0" collapsed="false">
      <c r="A301" s="19" t="s">
        <v>2080</v>
      </c>
      <c r="B301" s="19" t="s">
        <v>2081</v>
      </c>
      <c r="C301" s="19" t="s">
        <v>1552</v>
      </c>
      <c r="D301" s="19" t="s">
        <v>2030</v>
      </c>
      <c r="E301" s="19" t="s">
        <v>1974</v>
      </c>
      <c r="F301" s="19" t="s">
        <v>1570</v>
      </c>
      <c r="G301" s="19" t="s">
        <v>1667</v>
      </c>
      <c r="H301" s="19" t="s">
        <v>54</v>
      </c>
      <c r="I301" s="19" t="s">
        <v>1533</v>
      </c>
    </row>
    <row r="302" customFormat="false" ht="15" hidden="false" customHeight="true" outlineLevel="0" collapsed="false">
      <c r="A302" s="130" t="str">
        <f aca="false">IF($B302="","","INV"&amp;TEXT(ROW()-301,"0000"))</f>
        <v/>
      </c>
      <c r="B302" s="131"/>
      <c r="C302" s="133"/>
      <c r="D302" s="133"/>
      <c r="E302" s="134" t="n">
        <f aca="false">IF(OR($C302="",$D302=""),0,$C302*$D302)</f>
        <v>0</v>
      </c>
      <c r="F302" s="131"/>
      <c r="G302" s="132"/>
      <c r="H302" s="131"/>
      <c r="I302" s="131"/>
    </row>
    <row r="303" customFormat="false" ht="15" hidden="false" customHeight="true" outlineLevel="0" collapsed="false">
      <c r="A303" s="130" t="str">
        <f aca="false">IF($B303="","","INV"&amp;TEXT(ROW()-301,"0000"))</f>
        <v/>
      </c>
      <c r="B303" s="131"/>
      <c r="C303" s="133"/>
      <c r="D303" s="133"/>
      <c r="E303" s="134" t="n">
        <f aca="false">IF(OR($C303="",$D303=""),0,$C303*$D303)</f>
        <v>0</v>
      </c>
      <c r="F303" s="131"/>
      <c r="G303" s="132"/>
      <c r="H303" s="131"/>
      <c r="I303" s="131"/>
    </row>
    <row r="304" customFormat="false" ht="15" hidden="false" customHeight="true" outlineLevel="0" collapsed="false">
      <c r="A304" s="130" t="str">
        <f aca="false">IF($B304="","","INV"&amp;TEXT(ROW()-301,"0000"))</f>
        <v/>
      </c>
      <c r="B304" s="131"/>
      <c r="C304" s="133"/>
      <c r="D304" s="133"/>
      <c r="E304" s="134" t="n">
        <f aca="false">IF(OR($C304="",$D304=""),0,$C304*$D304)</f>
        <v>0</v>
      </c>
      <c r="F304" s="131"/>
      <c r="G304" s="132"/>
      <c r="H304" s="131"/>
      <c r="I304" s="131"/>
    </row>
    <row r="305" customFormat="false" ht="15" hidden="false" customHeight="true" outlineLevel="0" collapsed="false">
      <c r="A305" s="130" t="str">
        <f aca="false">IF($B305="","","INV"&amp;TEXT(ROW()-301,"0000"))</f>
        <v/>
      </c>
      <c r="B305" s="131"/>
      <c r="C305" s="133"/>
      <c r="D305" s="133"/>
      <c r="E305" s="134" t="n">
        <f aca="false">IF(OR($C305="",$D305=""),0,$C305*$D305)</f>
        <v>0</v>
      </c>
      <c r="F305" s="131"/>
      <c r="G305" s="132"/>
      <c r="H305" s="131"/>
      <c r="I305" s="131"/>
    </row>
    <row r="306" customFormat="false" ht="15" hidden="false" customHeight="true" outlineLevel="0" collapsed="false">
      <c r="A306" s="130" t="str">
        <f aca="false">IF($B306="","","INV"&amp;TEXT(ROW()-301,"0000"))</f>
        <v/>
      </c>
      <c r="B306" s="131"/>
      <c r="C306" s="133"/>
      <c r="D306" s="133"/>
      <c r="E306" s="134" t="n">
        <f aca="false">IF(OR($C306="",$D306=""),0,$C306*$D306)</f>
        <v>0</v>
      </c>
      <c r="F306" s="131"/>
      <c r="G306" s="132"/>
      <c r="H306" s="131"/>
      <c r="I306" s="131"/>
    </row>
    <row r="307" customFormat="false" ht="15" hidden="false" customHeight="true" outlineLevel="0" collapsed="false">
      <c r="A307" s="130" t="str">
        <f aca="false">IF($B307="","","INV"&amp;TEXT(ROW()-301,"0000"))</f>
        <v/>
      </c>
      <c r="B307" s="131"/>
      <c r="C307" s="133"/>
      <c r="D307" s="133"/>
      <c r="E307" s="134" t="n">
        <f aca="false">IF(OR($C307="",$D307=""),0,$C307*$D307)</f>
        <v>0</v>
      </c>
      <c r="F307" s="131"/>
      <c r="G307" s="132"/>
      <c r="H307" s="131"/>
      <c r="I307" s="131"/>
    </row>
    <row r="308" customFormat="false" ht="15" hidden="false" customHeight="true" outlineLevel="0" collapsed="false">
      <c r="A308" s="130" t="str">
        <f aca="false">IF($B308="","","INV"&amp;TEXT(ROW()-301,"0000"))</f>
        <v/>
      </c>
      <c r="B308" s="131"/>
      <c r="C308" s="133"/>
      <c r="D308" s="133"/>
      <c r="E308" s="134" t="n">
        <f aca="false">IF(OR($C308="",$D308=""),0,$C308*$D308)</f>
        <v>0</v>
      </c>
      <c r="F308" s="131"/>
      <c r="G308" s="132"/>
      <c r="H308" s="131"/>
      <c r="I308" s="131"/>
    </row>
    <row r="309" customFormat="false" ht="15" hidden="false" customHeight="true" outlineLevel="0" collapsed="false">
      <c r="A309" s="130" t="str">
        <f aca="false">IF($B309="","","INV"&amp;TEXT(ROW()-301,"0000"))</f>
        <v/>
      </c>
      <c r="B309" s="131"/>
      <c r="C309" s="133"/>
      <c r="D309" s="133"/>
      <c r="E309" s="134" t="n">
        <f aca="false">IF(OR($C309="",$D309=""),0,$C309*$D309)</f>
        <v>0</v>
      </c>
      <c r="F309" s="131"/>
      <c r="G309" s="132"/>
      <c r="H309" s="131"/>
      <c r="I309" s="131"/>
    </row>
    <row r="310" customFormat="false" ht="15" hidden="false" customHeight="true" outlineLevel="0" collapsed="false">
      <c r="A310" s="130" t="str">
        <f aca="false">IF($B310="","","INV"&amp;TEXT(ROW()-301,"0000"))</f>
        <v/>
      </c>
      <c r="B310" s="131"/>
      <c r="C310" s="133"/>
      <c r="D310" s="133"/>
      <c r="E310" s="134" t="n">
        <f aca="false">IF(OR($C310="",$D310=""),0,$C310*$D310)</f>
        <v>0</v>
      </c>
      <c r="F310" s="131"/>
      <c r="G310" s="132"/>
      <c r="H310" s="131"/>
      <c r="I310" s="131"/>
    </row>
    <row r="311" customFormat="false" ht="15" hidden="false" customHeight="true" outlineLevel="0" collapsed="false">
      <c r="A311" s="130" t="str">
        <f aca="false">IF($B311="","","INV"&amp;TEXT(ROW()-301,"0000"))</f>
        <v/>
      </c>
      <c r="B311" s="131"/>
      <c r="C311" s="133"/>
      <c r="D311" s="133"/>
      <c r="E311" s="134" t="n">
        <f aca="false">IF(OR($C311="",$D311=""),0,$C311*$D311)</f>
        <v>0</v>
      </c>
      <c r="F311" s="131"/>
      <c r="G311" s="132"/>
      <c r="H311" s="131"/>
      <c r="I311" s="131"/>
    </row>
    <row r="312" customFormat="false" ht="15" hidden="false" customHeight="true" outlineLevel="0" collapsed="false">
      <c r="A312" s="130" t="str">
        <f aca="false">IF($B312="","","INV"&amp;TEXT(ROW()-301,"0000"))</f>
        <v/>
      </c>
      <c r="B312" s="131"/>
      <c r="C312" s="133"/>
      <c r="D312" s="133"/>
      <c r="E312" s="134" t="n">
        <f aca="false">IF(OR($C312="",$D312=""),0,$C312*$D312)</f>
        <v>0</v>
      </c>
      <c r="F312" s="131"/>
      <c r="G312" s="132"/>
      <c r="H312" s="131"/>
      <c r="I312" s="131"/>
    </row>
    <row r="313" customFormat="false" ht="15" hidden="false" customHeight="true" outlineLevel="0" collapsed="false">
      <c r="A313" s="130" t="str">
        <f aca="false">IF($B313="","","INV"&amp;TEXT(ROW()-301,"0000"))</f>
        <v/>
      </c>
      <c r="B313" s="131"/>
      <c r="C313" s="133"/>
      <c r="D313" s="133"/>
      <c r="E313" s="134" t="n">
        <f aca="false">IF(OR($C313="",$D313=""),0,$C313*$D313)</f>
        <v>0</v>
      </c>
      <c r="F313" s="131"/>
      <c r="G313" s="132"/>
      <c r="H313" s="131"/>
      <c r="I313" s="131"/>
    </row>
    <row r="314" customFormat="false" ht="15" hidden="false" customHeight="true" outlineLevel="0" collapsed="false">
      <c r="A314" s="130" t="str">
        <f aca="false">IF($B314="","","INV"&amp;TEXT(ROW()-301,"0000"))</f>
        <v/>
      </c>
      <c r="B314" s="131"/>
      <c r="C314" s="133"/>
      <c r="D314" s="133"/>
      <c r="E314" s="134" t="n">
        <f aca="false">IF(OR($C314="",$D314=""),0,$C314*$D314)</f>
        <v>0</v>
      </c>
      <c r="F314" s="131"/>
      <c r="G314" s="132"/>
      <c r="H314" s="131"/>
      <c r="I314" s="131"/>
    </row>
    <row r="315" customFormat="false" ht="15" hidden="false" customHeight="true" outlineLevel="0" collapsed="false">
      <c r="A315" s="130" t="str">
        <f aca="false">IF($B315="","","INV"&amp;TEXT(ROW()-301,"0000"))</f>
        <v/>
      </c>
      <c r="B315" s="131"/>
      <c r="C315" s="133"/>
      <c r="D315" s="133"/>
      <c r="E315" s="134" t="n">
        <f aca="false">IF(OR($C315="",$D315=""),0,$C315*$D315)</f>
        <v>0</v>
      </c>
      <c r="F315" s="131"/>
      <c r="G315" s="132"/>
      <c r="H315" s="131"/>
      <c r="I315" s="131"/>
    </row>
    <row r="316" customFormat="false" ht="15" hidden="false" customHeight="true" outlineLevel="0" collapsed="false">
      <c r="A316" s="130" t="str">
        <f aca="false">IF($B316="","","INV"&amp;TEXT(ROW()-301,"0000"))</f>
        <v/>
      </c>
      <c r="B316" s="131"/>
      <c r="C316" s="133"/>
      <c r="D316" s="133"/>
      <c r="E316" s="134" t="n">
        <f aca="false">IF(OR($C316="",$D316=""),0,$C316*$D316)</f>
        <v>0</v>
      </c>
      <c r="F316" s="131"/>
      <c r="G316" s="132"/>
      <c r="H316" s="131"/>
      <c r="I316" s="131"/>
    </row>
    <row r="317" customFormat="false" ht="15" hidden="false" customHeight="true" outlineLevel="0" collapsed="false">
      <c r="A317" s="130" t="str">
        <f aca="false">IF($B317="","","INV"&amp;TEXT(ROW()-301,"0000"))</f>
        <v/>
      </c>
      <c r="B317" s="131"/>
      <c r="C317" s="133"/>
      <c r="D317" s="133"/>
      <c r="E317" s="134" t="n">
        <f aca="false">IF(OR($C317="",$D317=""),0,$C317*$D317)</f>
        <v>0</v>
      </c>
      <c r="F317" s="131"/>
      <c r="G317" s="132"/>
      <c r="H317" s="131"/>
      <c r="I317" s="131"/>
    </row>
    <row r="318" customFormat="false" ht="15" hidden="false" customHeight="true" outlineLevel="0" collapsed="false">
      <c r="A318" s="130" t="str">
        <f aca="false">IF($B318="","","INV"&amp;TEXT(ROW()-301,"0000"))</f>
        <v/>
      </c>
      <c r="B318" s="131"/>
      <c r="C318" s="133"/>
      <c r="D318" s="133"/>
      <c r="E318" s="134" t="n">
        <f aca="false">IF(OR($C318="",$D318=""),0,$C318*$D318)</f>
        <v>0</v>
      </c>
      <c r="F318" s="131"/>
      <c r="G318" s="132"/>
      <c r="H318" s="131"/>
      <c r="I318" s="131"/>
    </row>
    <row r="319" customFormat="false" ht="15" hidden="false" customHeight="true" outlineLevel="0" collapsed="false">
      <c r="A319" s="130" t="str">
        <f aca="false">IF($B319="","","INV"&amp;TEXT(ROW()-301,"0000"))</f>
        <v/>
      </c>
      <c r="B319" s="131"/>
      <c r="C319" s="133"/>
      <c r="D319" s="133"/>
      <c r="E319" s="134" t="n">
        <f aca="false">IF(OR($C319="",$D319=""),0,$C319*$D319)</f>
        <v>0</v>
      </c>
      <c r="F319" s="131"/>
      <c r="G319" s="132"/>
      <c r="H319" s="131"/>
      <c r="I319" s="131"/>
    </row>
    <row r="320" customFormat="false" ht="15" hidden="false" customHeight="true" outlineLevel="0" collapsed="false">
      <c r="A320" s="130" t="str">
        <f aca="false">IF($B320="","","INV"&amp;TEXT(ROW()-301,"0000"))</f>
        <v/>
      </c>
      <c r="B320" s="131"/>
      <c r="C320" s="133"/>
      <c r="D320" s="133"/>
      <c r="E320" s="134" t="n">
        <f aca="false">IF(OR($C320="",$D320=""),0,$C320*$D320)</f>
        <v>0</v>
      </c>
      <c r="F320" s="131"/>
      <c r="G320" s="132"/>
      <c r="H320" s="131"/>
      <c r="I320" s="131"/>
    </row>
    <row r="321" customFormat="false" ht="15" hidden="false" customHeight="true" outlineLevel="0" collapsed="false">
      <c r="A321" s="130" t="str">
        <f aca="false">IF($B321="","","INV"&amp;TEXT(ROW()-301,"0000"))</f>
        <v/>
      </c>
      <c r="B321" s="131"/>
      <c r="C321" s="133"/>
      <c r="D321" s="133"/>
      <c r="E321" s="134" t="n">
        <f aca="false">IF(OR($C321="",$D321=""),0,$C321*$D321)</f>
        <v>0</v>
      </c>
      <c r="F321" s="131"/>
      <c r="G321" s="132"/>
      <c r="H321" s="131"/>
      <c r="I321" s="131"/>
    </row>
    <row r="323" customFormat="false" ht="19.5" hidden="false" customHeight="true" outlineLevel="0" collapsed="false">
      <c r="A323" s="18" t="s">
        <v>2082</v>
      </c>
      <c r="B323" s="18"/>
      <c r="C323" s="18"/>
      <c r="D323" s="18"/>
      <c r="E323" s="18"/>
      <c r="F323" s="18"/>
      <c r="G323" s="18"/>
    </row>
    <row r="324" customFormat="false" ht="25.5" hidden="false" customHeight="true" outlineLevel="0" collapsed="false">
      <c r="A324" s="19" t="s">
        <v>2022</v>
      </c>
      <c r="B324" s="19" t="s">
        <v>2083</v>
      </c>
      <c r="C324" s="19" t="s">
        <v>2036</v>
      </c>
      <c r="D324" s="19" t="s">
        <v>2084</v>
      </c>
      <c r="E324" s="19" t="s">
        <v>2085</v>
      </c>
      <c r="F324" s="19" t="s">
        <v>2086</v>
      </c>
      <c r="G324" s="19" t="s">
        <v>54</v>
      </c>
    </row>
    <row r="325" customFormat="false" ht="15" hidden="false" customHeight="true" outlineLevel="0" collapsed="false">
      <c r="A325" s="131"/>
      <c r="B325" s="131"/>
      <c r="C325" s="132"/>
      <c r="D325" s="133"/>
      <c r="E325" s="131"/>
      <c r="F325" s="131"/>
      <c r="G325" s="131"/>
    </row>
    <row r="326" customFormat="false" ht="15" hidden="false" customHeight="true" outlineLevel="0" collapsed="false">
      <c r="A326" s="131"/>
      <c r="B326" s="131"/>
      <c r="C326" s="132"/>
      <c r="D326" s="133"/>
      <c r="E326" s="131"/>
      <c r="F326" s="131"/>
      <c r="G326" s="131"/>
    </row>
    <row r="327" customFormat="false" ht="15" hidden="false" customHeight="true" outlineLevel="0" collapsed="false">
      <c r="A327" s="131"/>
      <c r="B327" s="131"/>
      <c r="C327" s="132"/>
      <c r="D327" s="133"/>
      <c r="E327" s="131"/>
      <c r="F327" s="131"/>
      <c r="G327" s="131"/>
    </row>
    <row r="328" customFormat="false" ht="15" hidden="false" customHeight="true" outlineLevel="0" collapsed="false">
      <c r="A328" s="131"/>
      <c r="B328" s="131"/>
      <c r="C328" s="132"/>
      <c r="D328" s="133"/>
      <c r="E328" s="131"/>
      <c r="F328" s="131"/>
      <c r="G328" s="131"/>
    </row>
    <row r="329" customFormat="false" ht="15" hidden="false" customHeight="true" outlineLevel="0" collapsed="false">
      <c r="A329" s="131"/>
      <c r="B329" s="131"/>
      <c r="C329" s="132"/>
      <c r="D329" s="133"/>
      <c r="E329" s="131"/>
      <c r="F329" s="131"/>
      <c r="G329" s="131"/>
    </row>
    <row r="330" customFormat="false" ht="15" hidden="false" customHeight="true" outlineLevel="0" collapsed="false">
      <c r="A330" s="131"/>
      <c r="B330" s="131"/>
      <c r="C330" s="132"/>
      <c r="D330" s="133"/>
      <c r="E330" s="131"/>
      <c r="F330" s="131"/>
      <c r="G330" s="131"/>
    </row>
    <row r="331" customFormat="false" ht="15" hidden="false" customHeight="true" outlineLevel="0" collapsed="false">
      <c r="A331" s="131"/>
      <c r="B331" s="131"/>
      <c r="C331" s="132"/>
      <c r="D331" s="133"/>
      <c r="E331" s="131"/>
      <c r="F331" s="131"/>
      <c r="G331" s="131"/>
    </row>
    <row r="332" customFormat="false" ht="15" hidden="false" customHeight="true" outlineLevel="0" collapsed="false">
      <c r="A332" s="131"/>
      <c r="B332" s="131"/>
      <c r="C332" s="132"/>
      <c r="D332" s="133"/>
      <c r="E332" s="131"/>
      <c r="F332" s="131"/>
      <c r="G332" s="131"/>
    </row>
    <row r="333" customFormat="false" ht="15" hidden="false" customHeight="true" outlineLevel="0" collapsed="false">
      <c r="A333" s="131"/>
      <c r="B333" s="131"/>
      <c r="C333" s="132"/>
      <c r="D333" s="133"/>
      <c r="E333" s="131"/>
      <c r="F333" s="131"/>
      <c r="G333" s="131"/>
    </row>
    <row r="334" customFormat="false" ht="15" hidden="false" customHeight="true" outlineLevel="0" collapsed="false">
      <c r="A334" s="131"/>
      <c r="B334" s="131"/>
      <c r="C334" s="132"/>
      <c r="D334" s="133"/>
      <c r="E334" s="131"/>
      <c r="F334" s="131"/>
      <c r="G334" s="131"/>
    </row>
    <row r="335" customFormat="false" ht="15" hidden="false" customHeight="true" outlineLevel="0" collapsed="false">
      <c r="A335" s="131"/>
      <c r="B335" s="131"/>
      <c r="C335" s="132"/>
      <c r="D335" s="133"/>
      <c r="E335" s="131"/>
      <c r="F335" s="131"/>
      <c r="G335" s="131"/>
    </row>
    <row r="336" customFormat="false" ht="15" hidden="false" customHeight="true" outlineLevel="0" collapsed="false">
      <c r="A336" s="131"/>
      <c r="B336" s="131"/>
      <c r="C336" s="132"/>
      <c r="D336" s="133"/>
      <c r="E336" s="131"/>
      <c r="F336" s="131"/>
      <c r="G336" s="131"/>
    </row>
    <row r="337" customFormat="false" ht="15" hidden="false" customHeight="true" outlineLevel="0" collapsed="false">
      <c r="A337" s="131"/>
      <c r="B337" s="131"/>
      <c r="C337" s="132"/>
      <c r="D337" s="133"/>
      <c r="E337" s="131"/>
      <c r="F337" s="131"/>
      <c r="G337" s="131"/>
    </row>
    <row r="338" customFormat="false" ht="15" hidden="false" customHeight="true" outlineLevel="0" collapsed="false">
      <c r="A338" s="131"/>
      <c r="B338" s="131"/>
      <c r="C338" s="132"/>
      <c r="D338" s="133"/>
      <c r="E338" s="131"/>
      <c r="F338" s="131"/>
      <c r="G338" s="131"/>
    </row>
    <row r="339" customFormat="false" ht="15" hidden="false" customHeight="true" outlineLevel="0" collapsed="false">
      <c r="A339" s="131"/>
      <c r="B339" s="131"/>
      <c r="C339" s="132"/>
      <c r="D339" s="133"/>
      <c r="E339" s="131"/>
      <c r="F339" s="131"/>
      <c r="G339" s="131"/>
    </row>
    <row r="340" customFormat="false" ht="15" hidden="false" customHeight="true" outlineLevel="0" collapsed="false">
      <c r="A340" s="131"/>
      <c r="B340" s="131"/>
      <c r="C340" s="132"/>
      <c r="D340" s="133"/>
      <c r="E340" s="131"/>
      <c r="F340" s="131"/>
      <c r="G340" s="131"/>
    </row>
    <row r="341" customFormat="false" ht="15" hidden="false" customHeight="true" outlineLevel="0" collapsed="false">
      <c r="A341" s="131"/>
      <c r="B341" s="131"/>
      <c r="C341" s="132"/>
      <c r="D341" s="133"/>
      <c r="E341" s="131"/>
      <c r="F341" s="131"/>
      <c r="G341" s="131"/>
    </row>
    <row r="342" customFormat="false" ht="15" hidden="false" customHeight="true" outlineLevel="0" collapsed="false">
      <c r="A342" s="131"/>
      <c r="B342" s="131"/>
      <c r="C342" s="132"/>
      <c r="D342" s="133"/>
      <c r="E342" s="131"/>
      <c r="F342" s="131"/>
      <c r="G342" s="131"/>
    </row>
    <row r="343" customFormat="false" ht="15" hidden="false" customHeight="true" outlineLevel="0" collapsed="false">
      <c r="A343" s="131"/>
      <c r="B343" s="131"/>
      <c r="C343" s="132"/>
      <c r="D343" s="133"/>
      <c r="E343" s="131"/>
      <c r="F343" s="131"/>
      <c r="G343" s="131"/>
    </row>
    <row r="344" customFormat="false" ht="15" hidden="false" customHeight="true" outlineLevel="0" collapsed="false">
      <c r="A344" s="131"/>
      <c r="B344" s="131"/>
      <c r="C344" s="132"/>
      <c r="D344" s="133"/>
      <c r="E344" s="131"/>
      <c r="F344" s="131"/>
      <c r="G344" s="131"/>
    </row>
    <row r="345" customFormat="false" ht="15" hidden="false" customHeight="true" outlineLevel="0" collapsed="false">
      <c r="A345" s="131"/>
      <c r="B345" s="131"/>
      <c r="C345" s="132"/>
      <c r="D345" s="133"/>
      <c r="E345" s="131"/>
      <c r="F345" s="131"/>
      <c r="G345" s="131"/>
    </row>
    <row r="346" customFormat="false" ht="15" hidden="false" customHeight="true" outlineLevel="0" collapsed="false">
      <c r="A346" s="131"/>
      <c r="B346" s="131"/>
      <c r="C346" s="132"/>
      <c r="D346" s="133"/>
      <c r="E346" s="131"/>
      <c r="F346" s="131"/>
      <c r="G346" s="131"/>
    </row>
    <row r="347" customFormat="false" ht="15" hidden="false" customHeight="true" outlineLevel="0" collapsed="false">
      <c r="A347" s="131"/>
      <c r="B347" s="131"/>
      <c r="C347" s="132"/>
      <c r="D347" s="133"/>
      <c r="E347" s="131"/>
      <c r="F347" s="131"/>
      <c r="G347" s="131"/>
    </row>
    <row r="348" customFormat="false" ht="15" hidden="false" customHeight="true" outlineLevel="0" collapsed="false">
      <c r="A348" s="131"/>
      <c r="B348" s="131"/>
      <c r="C348" s="132"/>
      <c r="D348" s="133"/>
      <c r="E348" s="131"/>
      <c r="F348" s="131"/>
      <c r="G348" s="131"/>
    </row>
    <row r="349" customFormat="false" ht="15" hidden="false" customHeight="true" outlineLevel="0" collapsed="false">
      <c r="A349" s="131"/>
      <c r="B349" s="131"/>
      <c r="C349" s="132"/>
      <c r="D349" s="133"/>
      <c r="E349" s="131"/>
      <c r="F349" s="131"/>
      <c r="G349" s="131"/>
    </row>
    <row r="350" customFormat="false" ht="15" hidden="false" customHeight="true" outlineLevel="0" collapsed="false">
      <c r="A350" s="131"/>
      <c r="B350" s="131"/>
      <c r="C350" s="132"/>
      <c r="D350" s="133"/>
      <c r="E350" s="131"/>
      <c r="F350" s="131"/>
      <c r="G350" s="131"/>
    </row>
    <row r="351" customFormat="false" ht="15" hidden="false" customHeight="true" outlineLevel="0" collapsed="false">
      <c r="A351" s="131"/>
      <c r="B351" s="131"/>
      <c r="C351" s="132"/>
      <c r="D351" s="133"/>
      <c r="E351" s="131"/>
      <c r="F351" s="131"/>
      <c r="G351" s="131"/>
    </row>
    <row r="352" customFormat="false" ht="15" hidden="false" customHeight="true" outlineLevel="0" collapsed="false">
      <c r="A352" s="131"/>
      <c r="B352" s="131"/>
      <c r="C352" s="132"/>
      <c r="D352" s="133"/>
      <c r="E352" s="131"/>
      <c r="F352" s="131"/>
      <c r="G352" s="131"/>
    </row>
    <row r="353" customFormat="false" ht="15" hidden="false" customHeight="true" outlineLevel="0" collapsed="false">
      <c r="A353" s="131"/>
      <c r="B353" s="131"/>
      <c r="C353" s="132"/>
      <c r="D353" s="133"/>
      <c r="E353" s="131"/>
      <c r="F353" s="131"/>
      <c r="G353" s="131"/>
    </row>
    <row r="354" customFormat="false" ht="15" hidden="false" customHeight="true" outlineLevel="0" collapsed="false">
      <c r="A354" s="131"/>
      <c r="B354" s="131"/>
      <c r="C354" s="132"/>
      <c r="D354" s="133"/>
      <c r="E354" s="131"/>
      <c r="F354" s="131"/>
      <c r="G354" s="131"/>
    </row>
    <row r="356" customFormat="false" ht="19.5" hidden="false" customHeight="true" outlineLevel="0" collapsed="false">
      <c r="A356" s="18" t="s">
        <v>2087</v>
      </c>
      <c r="B356" s="18"/>
    </row>
    <row r="357" customFormat="false" ht="19.5" hidden="false" customHeight="true" outlineLevel="0" collapsed="false">
      <c r="A357" s="19" t="s">
        <v>2088</v>
      </c>
      <c r="B357" s="19" t="s">
        <v>2089</v>
      </c>
    </row>
    <row r="358" customFormat="false" ht="32.25" hidden="false" customHeight="true" outlineLevel="0" collapsed="false">
      <c r="A358" s="136" t="s">
        <v>2090</v>
      </c>
      <c r="B358" s="130" t="n">
        <f aca="false">COUNTIFS(tbl_Budget[ID Budget],"BUD*",tbl_Budget[Montant approuve (FCFA)],0)</f>
        <v>0</v>
      </c>
    </row>
    <row r="359" customFormat="false" ht="42.75" hidden="false" customHeight="true" outlineLevel="0" collapsed="false">
      <c r="A359" s="136" t="s">
        <v>2091</v>
      </c>
      <c r="B359" s="130" t="n">
        <f aca="false">COUNTIFS(tbl_Budget[Statut alerte],"Depassement")</f>
        <v>0</v>
      </c>
    </row>
    <row r="360" customFormat="false" ht="42.75" hidden="false" customHeight="true" outlineLevel="0" collapsed="false">
      <c r="A360" s="136" t="s">
        <v>2092</v>
      </c>
      <c r="B360" s="130" t="n">
        <f aca="false">COUNTIFS(tbl_Budget[Statut alerte],"Vigilance")</f>
        <v>0</v>
      </c>
    </row>
    <row r="361" customFormat="false" ht="42.75" hidden="false" customHeight="true" outlineLevel="0" collapsed="false">
      <c r="A361" s="136" t="s">
        <v>2093</v>
      </c>
      <c r="B361" s="130" t="n">
        <f aca="false">COUNTIFS(tbl_Budget[Statut],"Preparation")+COUNTIFS(tbl_Budget[Statut],"Soumis")</f>
        <v>1</v>
      </c>
    </row>
    <row r="362" customFormat="false" ht="32.25" hidden="false" customHeight="true" outlineLevel="0" collapsed="false">
      <c r="A362" s="136" t="s">
        <v>2094</v>
      </c>
      <c r="B362" s="130" t="n">
        <f aca="false">COUNTIFS(tbl_Budget[ID Budget],"BUD*",tbl_Budget[ID Projet],"")</f>
        <v>0</v>
      </c>
    </row>
    <row r="363" customFormat="false" ht="32.25" hidden="false" customHeight="true" outlineLevel="0" collapsed="false">
      <c r="A363" s="136" t="s">
        <v>2095</v>
      </c>
      <c r="B363" s="130" t="n">
        <f aca="false">COUNTIFS(tbl_Budget[ID Budget],"BUD*",tbl_Budget[ID Activite],"")</f>
        <v>0</v>
      </c>
    </row>
    <row r="364" customFormat="false" ht="42.75" hidden="false" customHeight="true" outlineLevel="0" collapsed="false">
      <c r="A364" s="136" t="s">
        <v>2096</v>
      </c>
      <c r="B364" s="130" t="n">
        <f aca="false">COUNTIFS(tbl_Budget[ID Budget],"BUD*",tbl_Budget[ID Donateur],"")</f>
        <v>0</v>
      </c>
    </row>
    <row r="365" customFormat="false" ht="32.25" hidden="false" customHeight="true" outlineLevel="0" collapsed="false">
      <c r="A365" s="136" t="s">
        <v>2097</v>
      </c>
      <c r="B365" s="130" t="n">
        <f aca="false">SUMPRODUCT((PROJETS!$A$56:$A$95&lt;&gt;"")*(COUNTIF(tbl_Budget[ID Projet],PROJETS!$A$56:$A$95)=0))</f>
        <v>0</v>
      </c>
    </row>
    <row r="367" customFormat="false" ht="27.75" hidden="false" customHeight="true" outlineLevel="0" collapsed="false">
      <c r="A367" s="97" t="s">
        <v>2098</v>
      </c>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c r="AG367" s="97"/>
      <c r="AH367" s="97"/>
      <c r="AI367" s="97"/>
      <c r="AJ367" s="97"/>
      <c r="AK367" s="97"/>
      <c r="AL367" s="97"/>
      <c r="AM367" s="97"/>
      <c r="AN367" s="97"/>
      <c r="AO367" s="97"/>
      <c r="AP367" s="97"/>
      <c r="AQ367" s="97"/>
      <c r="AR367" s="97"/>
      <c r="AS367" s="97"/>
      <c r="AT367" s="97"/>
      <c r="AU367" s="97"/>
      <c r="AV367" s="97"/>
      <c r="AW367" s="97"/>
      <c r="AX367" s="97"/>
      <c r="AY367" s="97"/>
      <c r="AZ367" s="97"/>
      <c r="BA367" s="97"/>
    </row>
  </sheetData>
  <mergeCells count="17">
    <mergeCell ref="A1:P1"/>
    <mergeCell ref="A2:T2"/>
    <mergeCell ref="A4:T4"/>
    <mergeCell ref="A6:BA6"/>
    <mergeCell ref="A10:BA10"/>
    <mergeCell ref="A22:BA22"/>
    <mergeCell ref="A26:BA26"/>
    <mergeCell ref="A69:T69"/>
    <mergeCell ref="A112:H112"/>
    <mergeCell ref="A155:E155"/>
    <mergeCell ref="A198:E198"/>
    <mergeCell ref="A231:F231"/>
    <mergeCell ref="A284:E284"/>
    <mergeCell ref="A300:I300"/>
    <mergeCell ref="A323:G323"/>
    <mergeCell ref="A356:B356"/>
    <mergeCell ref="A367:BA367"/>
  </mergeCells>
  <conditionalFormatting sqref="AQ28:AQ67">
    <cfRule type="cellIs" priority="2" operator="equal" aboveAverage="0" equalAverage="0" bottom="0" percent="0" rank="0" text="" dxfId="24">
      <formula>"Normal"</formula>
    </cfRule>
    <cfRule type="cellIs" priority="3" operator="equal" aboveAverage="0" equalAverage="0" bottom="0" percent="0" rank="0" text="" dxfId="25">
      <formula>"Vigilance"</formula>
    </cfRule>
    <cfRule type="cellIs" priority="4" operator="equal" aboveAverage="0" equalAverage="0" bottom="0" percent="0" rank="0" text="" dxfId="26">
      <formula>"Depassement"</formula>
    </cfRule>
  </conditionalFormatting>
  <conditionalFormatting sqref="AN28:AN67">
    <cfRule type="cellIs" priority="5" operator="greaterThan" aboveAverage="0" equalAverage="0" bottom="0" percent="0" rank="0" text="" dxfId="26">
      <formula>Seuil_Depassement</formula>
    </cfRule>
    <cfRule type="expression" priority="6" aboveAverage="0" equalAverage="0" bottom="0" percent="0" rank="0" text="" dxfId="25">
      <formula>AND(AN28&gt;=Seuil_Vigilance,AN28&lt;=Seuil_Depassement)</formula>
    </cfRule>
  </conditionalFormatting>
  <conditionalFormatting sqref="B358">
    <cfRule type="cellIs" priority="7" operator="greaterThan" aboveAverage="0" equalAverage="0" bottom="0" percent="0" rank="0" text="" dxfId="25">
      <formula>0</formula>
    </cfRule>
  </conditionalFormatting>
  <conditionalFormatting sqref="B359">
    <cfRule type="cellIs" priority="8" operator="greaterThan" aboveAverage="0" equalAverage="0" bottom="0" percent="0" rank="0" text="" dxfId="25">
      <formula>0</formula>
    </cfRule>
  </conditionalFormatting>
  <conditionalFormatting sqref="B360">
    <cfRule type="cellIs" priority="9" operator="greaterThan" aboveAverage="0" equalAverage="0" bottom="0" percent="0" rank="0" text="" dxfId="25">
      <formula>0</formula>
    </cfRule>
  </conditionalFormatting>
  <conditionalFormatting sqref="B361">
    <cfRule type="cellIs" priority="10" operator="greaterThan" aboveAverage="0" equalAverage="0" bottom="0" percent="0" rank="0" text="" dxfId="25">
      <formula>0</formula>
    </cfRule>
  </conditionalFormatting>
  <conditionalFormatting sqref="B362">
    <cfRule type="cellIs" priority="11" operator="greaterThan" aboveAverage="0" equalAverage="0" bottom="0" percent="0" rank="0" text="" dxfId="25">
      <formula>0</formula>
    </cfRule>
  </conditionalFormatting>
  <conditionalFormatting sqref="B363">
    <cfRule type="cellIs" priority="12" operator="greaterThan" aboveAverage="0" equalAverage="0" bottom="0" percent="0" rank="0" text="" dxfId="25">
      <formula>0</formula>
    </cfRule>
  </conditionalFormatting>
  <conditionalFormatting sqref="B364">
    <cfRule type="cellIs" priority="13" operator="greaterThan" aboveAverage="0" equalAverage="0" bottom="0" percent="0" rank="0" text="" dxfId="25">
      <formula>0</formula>
    </cfRule>
  </conditionalFormatting>
  <conditionalFormatting sqref="B365">
    <cfRule type="cellIs" priority="14" operator="greaterThan" aboveAverage="0" equalAverage="0" bottom="0" percent="0" rank="0" text="" dxfId="25">
      <formula>0</formula>
    </cfRule>
  </conditionalFormatting>
  <dataValidations count="17">
    <dataValidation allowBlank="false" errorStyle="stop" operator="between" showDropDown="false" showErrorMessage="false" showInputMessage="false" sqref="J7" type="list">
      <formula1>"2024,2025,2026,2027,2028,2029,2030,2031,2032,2033,Total"</formula1>
      <formula2>0</formula2>
    </dataValidation>
    <dataValidation allowBlank="true" errorStyle="stop" operator="between" showDropDown="false" showErrorMessage="false" showInputMessage="false" sqref="B28:B67" type="list">
      <formula1>Liste_Annees</formula1>
      <formula2>0</formula2>
    </dataValidation>
    <dataValidation allowBlank="true" errorStyle="stop" operator="between" showDropDown="false" showErrorMessage="false" showInputMessage="false" sqref="F28:F67" type="list">
      <formula1>Liste_StatutsBudget</formula1>
      <formula2>0</formula2>
    </dataValidation>
    <dataValidation allowBlank="true" errorStyle="stop" operator="between" showDropDown="false" showErrorMessage="false" showInputMessage="false" sqref="G28:G67" type="list">
      <formula1>Liste_TypesBudget</formula1>
      <formula2>0</formula2>
    </dataValidation>
    <dataValidation allowBlank="true" errorStyle="stop" operator="between" showDropDown="false" showErrorMessage="false" showInputMessage="false" sqref="H28:H67" type="list">
      <formula1>Liste_ActivitesIDProjets</formula1>
      <formula2>0</formula2>
    </dataValidation>
    <dataValidation allowBlank="true" errorStyle="stop" operator="between" showDropDown="false" showErrorMessage="false" showInputMessage="false" sqref="L28:L67" type="list">
      <formula1>Liste_ActivitesID</formula1>
      <formula2>0</formula2>
    </dataValidation>
    <dataValidation allowBlank="true" errorStyle="stop" operator="between" showDropDown="false" showErrorMessage="false" showInputMessage="false" sqref="N28:N67" type="list">
      <formula1>Liste_DonateursID</formula1>
      <formula2>0</formula2>
    </dataValidation>
    <dataValidation allowBlank="true" errorStyle="stop" operator="between" showDropDown="false" showErrorMessage="false" showInputMessage="false" sqref="Q28:Q67" type="list">
      <formula1>Liste_SourcesFinancement</formula1>
      <formula2>0</formula2>
    </dataValidation>
    <dataValidation allowBlank="true" errorStyle="stop" operator="between" showDropDown="false" showErrorMessage="false" showInputMessage="false" sqref="R28:R67" type="list">
      <formula1>Liste_TypesFinancement</formula1>
      <formula2>0</formula2>
    </dataValidation>
    <dataValidation allowBlank="true" errorStyle="stop" operator="between" showDropDown="false" showErrorMessage="false" showInputMessage="false" sqref="S28:S67" type="list">
      <formula1>Liste_CategoriesDepenses</formula1>
      <formula2>0</formula2>
    </dataValidation>
    <dataValidation allowBlank="true" errorStyle="stop" operator="between" showDropDown="false" showErrorMessage="false" showInputMessage="false" sqref="W28:W67" type="list">
      <formula1>Liste_UnitesMesure</formula1>
      <formula2>0</formula2>
    </dataValidation>
    <dataValidation allowBlank="true" error="Les montants et quantites ne peuvent pas etre negatifs." errorStyle="stop" errorTitle="Valeur invalide" operator="greaterThanOrEqual" showDropDown="false" showErrorMessage="false" showInputMessage="false" sqref="X28:Y67 AA28:AB67 AD28:AD67 AI28:AJ67 AR28:AU67" type="decimal">
      <formula1>0</formula1>
      <formula2>0</formula2>
    </dataValidation>
    <dataValidation allowBlank="true" errorStyle="stop" operator="between" showDropDown="false" showErrorMessage="false" showInputMessage="false" sqref="B302:B321" type="list">
      <formula1>Liste_TypesImmobilisations</formula1>
      <formula2>0</formula2>
    </dataValidation>
    <dataValidation allowBlank="true" errorStyle="stop" operator="between" showDropDown="false" showErrorMessage="false" showInputMessage="false" sqref="F302:F321" type="list">
      <formula1>Liste_ActivitesIDProjets</formula1>
      <formula2>0</formula2>
    </dataValidation>
    <dataValidation allowBlank="true" errorStyle="stop" operator="between" showDropDown="false" showErrorMessage="false" showInputMessage="false" sqref="H302:H321" type="list">
      <formula1>"Prevu,En cours,Acquis,Annule"</formula1>
      <formula2>0</formula2>
    </dataValidation>
    <dataValidation allowBlank="true" errorStyle="stop" operator="between" showDropDown="false" showErrorMessage="false" showInputMessage="false" sqref="A325:A354" type="list">
      <formula1>$A$28:$A$67</formula1>
      <formula2>0</formula2>
    </dataValidation>
    <dataValidation allowBlank="true" errorStyle="stop" operator="between" showDropDown="false" showErrorMessage="false" showInputMessage="false" sqref="G325:G354" type="list">
      <formula1>"Proposee,Validee,Rejetee"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1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8" topLeftCell="A39" activePane="bottomLeft" state="frozen"/>
      <selection pane="topLeft" activeCell="A1" activeCellId="0" sqref="A1"/>
      <selection pane="bottomLeft" activeCell="A1" activeCellId="0" sqref="A1"/>
    </sheetView>
  </sheetViews>
  <sheetFormatPr defaultColWidth="8.71484375" defaultRowHeight="15" customHeight="true" zeroHeight="false" outlineLevelRow="0" outlineLevelCol="0"/>
  <cols>
    <col collapsed="false" customWidth="true" hidden="false" outlineLevel="0" max="1" min="1" style="1" width="13"/>
    <col collapsed="false" customWidth="true" hidden="false" outlineLevel="0" max="2" min="2" style="1" width="15"/>
    <col collapsed="false" customWidth="true" hidden="false" outlineLevel="0" max="3" min="3" style="1" width="14"/>
    <col collapsed="false" customWidth="true" hidden="false" outlineLevel="0" max="4" min="4" style="1" width="13"/>
    <col collapsed="false" customWidth="true" hidden="false" outlineLevel="0" max="5" min="5" style="1" width="22"/>
    <col collapsed="false" customWidth="true" hidden="false" outlineLevel="0" max="6" min="6" style="1" width="16"/>
    <col collapsed="false" customWidth="true" hidden="false" outlineLevel="0" max="8" min="7" style="1" width="12"/>
    <col collapsed="false" customWidth="true" hidden="false" outlineLevel="0" max="9" min="9" style="1" width="22"/>
    <col collapsed="false" customWidth="true" hidden="false" outlineLevel="0" max="11" min="10" style="1" width="16"/>
    <col collapsed="false" customWidth="true" hidden="false" outlineLevel="0" max="12" min="12" style="1" width="12"/>
    <col collapsed="false" customWidth="true" hidden="false" outlineLevel="0" max="13" min="13" style="1" width="22"/>
    <col collapsed="false" customWidth="true" hidden="false" outlineLevel="0" max="14" min="14" style="1" width="14"/>
    <col collapsed="false" customWidth="true" hidden="false" outlineLevel="0" max="15" min="15" style="1" width="18"/>
    <col collapsed="false" customWidth="true" hidden="false" outlineLevel="0" max="16" min="16" style="1" width="20"/>
    <col collapsed="false" customWidth="true" hidden="false" outlineLevel="0" max="17" min="17" style="1" width="18"/>
    <col collapsed="false" customWidth="true" hidden="false" outlineLevel="0" max="21" min="18" style="1" width="12"/>
    <col collapsed="false" customWidth="true" hidden="false" outlineLevel="0" max="23" min="22" style="1" width="9"/>
    <col collapsed="false" customWidth="true" hidden="false" outlineLevel="0" max="24" min="24" style="1" width="11"/>
    <col collapsed="false" customWidth="true" hidden="false" outlineLevel="0" max="25" min="25" style="1" width="9"/>
    <col collapsed="false" customWidth="true" hidden="false" outlineLevel="0" max="26" min="26" style="1" width="10"/>
    <col collapsed="false" customWidth="true" hidden="false" outlineLevel="0" max="30" min="27" style="1" width="14"/>
    <col collapsed="false" customWidth="true" hidden="false" outlineLevel="0" max="33" min="31" style="1" width="16"/>
    <col collapsed="false" customWidth="true" hidden="false" outlineLevel="0" max="34" min="34" style="1" width="18"/>
    <col collapsed="false" customWidth="true" hidden="false" outlineLevel="0" max="35" min="35" style="1" width="14"/>
    <col collapsed="false" customWidth="true" hidden="false" outlineLevel="0" max="36" min="36" style="1" width="16"/>
    <col collapsed="false" customWidth="true" hidden="false" outlineLevel="0" max="37" min="37" style="1" width="14"/>
    <col collapsed="false" customWidth="true" hidden="false" outlineLevel="0" max="38" min="38" style="1" width="12"/>
    <col collapsed="false" customWidth="true" hidden="false" outlineLevel="0" max="39" min="39" style="1" width="16"/>
    <col collapsed="false" customWidth="true" hidden="false" outlineLevel="0" max="40" min="40" style="1" width="18"/>
    <col collapsed="false" customWidth="true" hidden="false" outlineLevel="0" max="41" min="41" style="1" width="12"/>
    <col collapsed="false" customWidth="true" hidden="false" outlineLevel="0" max="42" min="42" style="1" width="16"/>
    <col collapsed="false" customWidth="true" hidden="false" outlineLevel="0" max="43" min="43" style="1" width="18"/>
    <col collapsed="false" customWidth="true" hidden="false" outlineLevel="0" max="44" min="44" style="1" width="16"/>
    <col collapsed="false" customWidth="true" hidden="false" outlineLevel="0" max="45" min="45" style="1" width="14"/>
    <col collapsed="false" customWidth="true" hidden="false" outlineLevel="0" max="47" min="46" style="1" width="12"/>
    <col collapsed="false" customWidth="true" hidden="false" outlineLevel="0" max="48" min="48" style="1" width="10"/>
    <col collapsed="false" customWidth="true" hidden="false" outlineLevel="0" max="50" min="49" style="1" width="16"/>
    <col collapsed="false" customWidth="true" hidden="false" outlineLevel="0" max="51" min="51" style="1" width="18"/>
    <col collapsed="false" customWidth="true" hidden="false" outlineLevel="0" max="55" min="52" style="1" width="12"/>
    <col collapsed="false" customWidth="true" hidden="false" outlineLevel="0" max="57" min="56" style="1" width="16"/>
    <col collapsed="false" customWidth="true" hidden="false" outlineLevel="0" max="58" min="58" style="1" width="20"/>
    <col collapsed="false" customWidth="true" hidden="false" outlineLevel="0" max="60" min="59" style="1" width="10"/>
  </cols>
  <sheetData>
    <row r="1" customFormat="false" ht="25.5" hidden="false" customHeight="true" outlineLevel="0" collapsed="false">
      <c r="A1" s="121" t="s">
        <v>2099</v>
      </c>
      <c r="B1" s="121"/>
      <c r="C1" s="121"/>
      <c r="D1" s="121"/>
      <c r="E1" s="121"/>
      <c r="F1" s="121"/>
      <c r="G1" s="121"/>
      <c r="H1" s="121"/>
      <c r="I1" s="121"/>
      <c r="J1" s="121"/>
      <c r="K1" s="121"/>
      <c r="L1" s="121"/>
      <c r="M1" s="121"/>
      <c r="N1" s="121"/>
      <c r="O1" s="121"/>
      <c r="P1" s="121"/>
      <c r="Q1" s="137" t="s">
        <v>1993</v>
      </c>
      <c r="R1" s="137" t="s">
        <v>1683</v>
      </c>
      <c r="S1" s="137" t="s">
        <v>1777</v>
      </c>
      <c r="T1" s="137" t="s">
        <v>2100</v>
      </c>
      <c r="U1" s="137" t="s">
        <v>1444</v>
      </c>
    </row>
    <row r="2" customFormat="false" ht="19.5" hidden="false" customHeight="true" outlineLevel="0" collapsed="false">
      <c r="A2" s="123" t="s">
        <v>2101</v>
      </c>
      <c r="B2" s="123"/>
      <c r="C2" s="123"/>
      <c r="D2" s="123"/>
      <c r="E2" s="123"/>
      <c r="F2" s="123"/>
      <c r="G2" s="123"/>
      <c r="H2" s="123"/>
      <c r="I2" s="123"/>
      <c r="J2" s="123"/>
      <c r="K2" s="123"/>
      <c r="L2" s="123"/>
      <c r="M2" s="123"/>
      <c r="N2" s="123"/>
      <c r="O2" s="123"/>
      <c r="P2" s="123"/>
      <c r="Q2" s="123"/>
      <c r="R2" s="123"/>
      <c r="S2" s="123"/>
      <c r="T2" s="123"/>
      <c r="U2" s="123"/>
    </row>
    <row r="3" customFormat="false" ht="21.75" hidden="false" customHeight="true" outlineLevel="0" collapsed="false">
      <c r="A3" s="124" t="s">
        <v>1442</v>
      </c>
      <c r="C3" s="138" t="n">
        <f aca="true">TODAY()</f>
        <v>46266</v>
      </c>
    </row>
    <row r="4" customFormat="false" ht="15" hidden="false" customHeight="true" outlineLevel="0" collapsed="false">
      <c r="A4" s="97" t="s">
        <v>1779</v>
      </c>
      <c r="B4" s="97"/>
      <c r="C4" s="97"/>
      <c r="D4" s="97"/>
      <c r="E4" s="97"/>
      <c r="F4" s="97"/>
      <c r="G4" s="97"/>
      <c r="H4" s="97"/>
      <c r="I4" s="97"/>
      <c r="J4" s="97"/>
      <c r="K4" s="97"/>
      <c r="L4" s="97"/>
      <c r="M4" s="97"/>
      <c r="N4" s="97"/>
      <c r="O4" s="97"/>
      <c r="P4" s="97"/>
      <c r="Q4" s="97"/>
      <c r="R4" s="97"/>
      <c r="S4" s="97"/>
      <c r="T4" s="97"/>
      <c r="U4" s="97"/>
    </row>
    <row r="6" customFormat="false" ht="15" hidden="false" customHeight="true" outlineLevel="0" collapsed="false">
      <c r="A6" s="18" t="s">
        <v>2102</v>
      </c>
      <c r="B6" s="18"/>
      <c r="C6" s="18"/>
      <c r="D6" s="18"/>
      <c r="E6" s="18"/>
      <c r="F6" s="18"/>
      <c r="G6" s="18"/>
      <c r="H6" s="18"/>
      <c r="I6" s="18"/>
    </row>
    <row r="7" customFormat="false" ht="34.5" hidden="false" customHeight="true" outlineLevel="0" collapsed="false">
      <c r="A7" s="122" t="s">
        <v>2103</v>
      </c>
      <c r="B7" s="122" t="s">
        <v>2104</v>
      </c>
      <c r="C7" s="122" t="s">
        <v>2105</v>
      </c>
      <c r="D7" s="122" t="s">
        <v>2106</v>
      </c>
      <c r="E7" s="122" t="s">
        <v>2107</v>
      </c>
      <c r="F7" s="122" t="s">
        <v>2108</v>
      </c>
      <c r="G7" s="122" t="s">
        <v>2109</v>
      </c>
      <c r="H7" s="122" t="s">
        <v>2110</v>
      </c>
      <c r="I7" s="122" t="s">
        <v>2003</v>
      </c>
    </row>
    <row r="8" customFormat="false" ht="15" hidden="false" customHeight="true" outlineLevel="0" collapsed="false">
      <c r="A8" s="139" t="n">
        <f aca="false">IF($I$8="Total",SUM($AC$39:$AC$88),SUMIFS($AC$39:$AC$88,$V$39:$V$88,VALUE($I$8)))</f>
        <v>0</v>
      </c>
      <c r="B8" s="139" t="n">
        <f aca="false">IF($I$8="Total",SUM($AB$39:$AB$88),SUMIFS($AB$39:$AB$88,$V$39:$V$88,VALUE($I$8)))</f>
        <v>0</v>
      </c>
      <c r="C8" s="139" t="n">
        <f aca="false">$A$8-$B$8</f>
        <v>0</v>
      </c>
      <c r="D8" s="139" t="n">
        <f aca="false">IF($I$8="Total",SUMIFS($AB$39:$AB$88,$S$39:$S$88,"Oui"),SUMIFS($AB$39:$AB$88,$S$39:$S$88,"Oui",$V$39:$V$88,VALUE($I$8)))</f>
        <v>0</v>
      </c>
      <c r="E8" s="139" t="n">
        <f aca="false">IF($I$8="Total",COUNTIF($A$39:$A$88,"REC*"),COUNTIFS($A$39:$A$88,"REC*",$V$39:$V$88,VALUE($I$8)))</f>
        <v>0</v>
      </c>
      <c r="F8" s="139" t="n">
        <f aca="false">COUNTIFS($BG$39:$BG$88,1)</f>
        <v>0</v>
      </c>
      <c r="G8" s="139" t="n">
        <f aca="false">COUNTIFS($BH$39:$BH$88,1)</f>
        <v>0</v>
      </c>
      <c r="H8" s="140" t="n">
        <f aca="false">IF($A$8=0,0,$B$8/$A$8)</f>
        <v>0</v>
      </c>
      <c r="I8" s="141" t="s">
        <v>1216</v>
      </c>
    </row>
    <row r="10" customFormat="false" ht="15" hidden="false" customHeight="true" outlineLevel="0" collapsed="false">
      <c r="A10" s="18" t="s">
        <v>1566</v>
      </c>
      <c r="B10" s="18"/>
      <c r="C10" s="18"/>
      <c r="D10" s="18"/>
      <c r="E10" s="18"/>
      <c r="F10" s="18"/>
      <c r="G10" s="18"/>
      <c r="H10" s="18"/>
      <c r="I10" s="18"/>
      <c r="J10" s="18"/>
      <c r="K10" s="18"/>
      <c r="L10" s="18"/>
      <c r="M10" s="18"/>
      <c r="N10" s="18"/>
      <c r="O10" s="18"/>
      <c r="P10" s="18"/>
    </row>
    <row r="11" customFormat="false" ht="21.75" hidden="false" customHeight="true" outlineLevel="0" collapsed="false">
      <c r="A11" s="142" t="s">
        <v>2111</v>
      </c>
      <c r="B11" s="142" t="s">
        <v>2112</v>
      </c>
      <c r="D11" s="142" t="s">
        <v>2113</v>
      </c>
      <c r="E11" s="142" t="s">
        <v>2112</v>
      </c>
      <c r="G11" s="142" t="s">
        <v>1656</v>
      </c>
      <c r="H11" s="142" t="s">
        <v>2112</v>
      </c>
      <c r="J11" s="142" t="s">
        <v>2044</v>
      </c>
      <c r="K11" s="142" t="s">
        <v>2112</v>
      </c>
    </row>
    <row r="12" customFormat="false" ht="15" hidden="false" customHeight="true" outlineLevel="0" collapsed="false">
      <c r="A12" s="143" t="s">
        <v>1080</v>
      </c>
      <c r="B12" s="144" t="n">
        <f aca="false">COUNTIFS($AE$39:$AE$88,A12)</f>
        <v>0</v>
      </c>
      <c r="D12" s="143" t="s">
        <v>516</v>
      </c>
      <c r="E12" s="144" t="n">
        <f aca="false">COUNTIFS($O$39:$O$88,D12)</f>
        <v>0</v>
      </c>
      <c r="G12" s="143" t="s">
        <v>516</v>
      </c>
      <c r="H12" s="144" t="n">
        <f aca="false">COUNTIFS($P$39:$P$88,G12)</f>
        <v>0</v>
      </c>
      <c r="J12" s="143" t="s">
        <v>2008</v>
      </c>
      <c r="K12" s="144" t="n">
        <f aca="false">COUNTIFS($BE$39:$BE$88,J12)</f>
        <v>0</v>
      </c>
    </row>
    <row r="13" customFormat="false" ht="15" hidden="false" customHeight="true" outlineLevel="0" collapsed="false">
      <c r="A13" s="143" t="s">
        <v>1082</v>
      </c>
      <c r="B13" s="144" t="n">
        <f aca="false">COUNTIFS($AE$39:$AE$88,A13)</f>
        <v>0</v>
      </c>
      <c r="D13" s="143" t="s">
        <v>518</v>
      </c>
      <c r="E13" s="144" t="n">
        <f aca="false">COUNTIFS($O$39:$O$88,D13)</f>
        <v>0</v>
      </c>
      <c r="G13" s="143" t="s">
        <v>518</v>
      </c>
      <c r="H13" s="144" t="n">
        <f aca="false">COUNTIFS($P$39:$P$88,G13)</f>
        <v>0</v>
      </c>
      <c r="J13" s="143" t="s">
        <v>2009</v>
      </c>
      <c r="K13" s="144" t="n">
        <f aca="false">COUNTIFS($BE$39:$BE$88,J13)</f>
        <v>0</v>
      </c>
    </row>
    <row r="14" customFormat="false" ht="15" hidden="false" customHeight="true" outlineLevel="0" collapsed="false">
      <c r="A14" s="143" t="s">
        <v>1084</v>
      </c>
      <c r="B14" s="144" t="n">
        <f aca="false">COUNTIFS($AE$39:$AE$88,A14)</f>
        <v>0</v>
      </c>
      <c r="D14" s="143" t="s">
        <v>520</v>
      </c>
      <c r="E14" s="144" t="n">
        <f aca="false">COUNTIFS($O$39:$O$88,D14)</f>
        <v>0</v>
      </c>
      <c r="G14" s="143" t="s">
        <v>520</v>
      </c>
      <c r="H14" s="144" t="n">
        <f aca="false">COUNTIFS($P$39:$P$88,G14)</f>
        <v>0</v>
      </c>
      <c r="J14" s="143" t="s">
        <v>2114</v>
      </c>
      <c r="K14" s="144" t="n">
        <f aca="false">COUNTIFS($BE$39:$BE$88,J14)</f>
        <v>0</v>
      </c>
    </row>
    <row r="15" customFormat="false" ht="27.75" hidden="false" customHeight="true" outlineLevel="0" collapsed="false">
      <c r="A15" s="143" t="s">
        <v>1086</v>
      </c>
      <c r="B15" s="144" t="n">
        <f aca="false">COUNTIFS($AE$39:$AE$88,A15)</f>
        <v>0</v>
      </c>
      <c r="D15" s="143" t="s">
        <v>629</v>
      </c>
      <c r="E15" s="144" t="n">
        <f aca="false">COUNTIFS($O$39:$O$88,D15)</f>
        <v>0</v>
      </c>
      <c r="G15" s="143" t="s">
        <v>522</v>
      </c>
      <c r="H15" s="144" t="n">
        <f aca="false">COUNTIFS($P$39:$P$88,G15)</f>
        <v>0</v>
      </c>
      <c r="J15" s="143" t="s">
        <v>2115</v>
      </c>
      <c r="K15" s="144" t="n">
        <f aca="false">COUNTIFS($BE$39:$BE$88,J15)</f>
        <v>0</v>
      </c>
    </row>
    <row r="16" customFormat="false" ht="27.75" hidden="false" customHeight="true" outlineLevel="0" collapsed="false">
      <c r="A16" s="143" t="s">
        <v>1088</v>
      </c>
      <c r="B16" s="144" t="n">
        <f aca="false">COUNTIFS($AE$39:$AE$88,A16)</f>
        <v>0</v>
      </c>
      <c r="D16" s="143" t="s">
        <v>631</v>
      </c>
      <c r="E16" s="144" t="n">
        <f aca="false">COUNTIFS($O$39:$O$88,D16)</f>
        <v>0</v>
      </c>
      <c r="G16" s="143" t="s">
        <v>524</v>
      </c>
      <c r="H16" s="144" t="n">
        <f aca="false">COUNTIFS($P$39:$P$88,G16)</f>
        <v>0</v>
      </c>
      <c r="J16" s="143" t="s">
        <v>2116</v>
      </c>
      <c r="K16" s="144" t="n">
        <f aca="false">COUNTIFS($BE$39:$BE$88,J16)</f>
        <v>0</v>
      </c>
    </row>
    <row r="17" customFormat="false" ht="27.75" hidden="false" customHeight="true" outlineLevel="0" collapsed="false">
      <c r="A17" s="143" t="s">
        <v>1090</v>
      </c>
      <c r="B17" s="144" t="n">
        <f aca="false">COUNTIFS($AE$39:$AE$88,A17)</f>
        <v>0</v>
      </c>
      <c r="D17" s="143" t="s">
        <v>633</v>
      </c>
      <c r="E17" s="144" t="n">
        <f aca="false">COUNTIFS($O$39:$O$88,D17)</f>
        <v>0</v>
      </c>
      <c r="G17" s="143" t="s">
        <v>526</v>
      </c>
      <c r="H17" s="144" t="n">
        <f aca="false">COUNTIFS($P$39:$P$88,G17)</f>
        <v>0</v>
      </c>
    </row>
    <row r="18" customFormat="false" ht="27.75" hidden="false" customHeight="true" outlineLevel="0" collapsed="false">
      <c r="A18" s="143" t="s">
        <v>1092</v>
      </c>
      <c r="B18" s="144" t="n">
        <f aca="false">COUNTIFS($AE$39:$AE$88,A18)</f>
        <v>0</v>
      </c>
      <c r="D18" s="143" t="s">
        <v>540</v>
      </c>
      <c r="E18" s="144" t="n">
        <f aca="false">COUNTIFS($O$39:$O$88,D18)</f>
        <v>0</v>
      </c>
      <c r="G18" s="143" t="s">
        <v>528</v>
      </c>
      <c r="H18" s="144" t="n">
        <f aca="false">COUNTIFS($P$39:$P$88,G18)</f>
        <v>0</v>
      </c>
    </row>
    <row r="19" customFormat="false" ht="27.75" hidden="false" customHeight="true" outlineLevel="0" collapsed="false">
      <c r="A19" s="143" t="s">
        <v>142</v>
      </c>
      <c r="B19" s="144" t="n">
        <f aca="false">COUNTIFS($AE$39:$AE$88,A19)</f>
        <v>0</v>
      </c>
      <c r="D19" s="143" t="s">
        <v>538</v>
      </c>
      <c r="E19" s="144" t="n">
        <f aca="false">COUNTIFS($O$39:$O$88,D19)</f>
        <v>0</v>
      </c>
      <c r="G19" s="143" t="s">
        <v>530</v>
      </c>
      <c r="H19" s="144" t="n">
        <f aca="false">COUNTIFS($P$39:$P$88,G19)</f>
        <v>0</v>
      </c>
    </row>
    <row r="20" customFormat="false" ht="41.25" hidden="false" customHeight="true" outlineLevel="0" collapsed="false">
      <c r="A20" s="143" t="s">
        <v>1095</v>
      </c>
      <c r="B20" s="144" t="n">
        <f aca="false">COUNTIFS($AE$39:$AE$88,A20)</f>
        <v>0</v>
      </c>
      <c r="D20" s="143" t="s">
        <v>536</v>
      </c>
      <c r="E20" s="144" t="n">
        <f aca="false">COUNTIFS($O$39:$O$88,D20)</f>
        <v>0</v>
      </c>
      <c r="G20" s="143" t="s">
        <v>532</v>
      </c>
      <c r="H20" s="144" t="n">
        <f aca="false">COUNTIFS($P$39:$P$88,G20)</f>
        <v>0</v>
      </c>
    </row>
    <row r="21" customFormat="false" ht="27.75" hidden="false" customHeight="true" outlineLevel="0" collapsed="false">
      <c r="D21" s="143" t="s">
        <v>314</v>
      </c>
      <c r="E21" s="144" t="n">
        <f aca="false">COUNTIFS($O$39:$O$88,D21)</f>
        <v>0</v>
      </c>
      <c r="G21" s="143" t="s">
        <v>534</v>
      </c>
      <c r="H21" s="144" t="n">
        <f aca="false">COUNTIFS($P$39:$P$88,G21)</f>
        <v>0</v>
      </c>
    </row>
    <row r="22" customFormat="false" ht="15" hidden="false" customHeight="true" outlineLevel="0" collapsed="false">
      <c r="G22" s="143" t="s">
        <v>536</v>
      </c>
      <c r="H22" s="144" t="n">
        <f aca="false">COUNTIFS($P$39:$P$88,G22)</f>
        <v>0</v>
      </c>
    </row>
    <row r="23" customFormat="false" ht="15" hidden="false" customHeight="true" outlineLevel="0" collapsed="false">
      <c r="A23" s="18" t="s">
        <v>2117</v>
      </c>
      <c r="B23" s="18"/>
      <c r="C23" s="18"/>
      <c r="D23" s="18"/>
      <c r="G23" s="143" t="s">
        <v>538</v>
      </c>
      <c r="H23" s="144" t="n">
        <f aca="false">COUNTIFS($P$39:$P$88,G23)</f>
        <v>0</v>
      </c>
    </row>
    <row r="24" customFormat="false" ht="32.25" hidden="false" customHeight="true" outlineLevel="0" collapsed="false">
      <c r="A24" s="142" t="s">
        <v>53</v>
      </c>
      <c r="B24" s="142" t="s">
        <v>2103</v>
      </c>
      <c r="C24" s="142" t="s">
        <v>2104</v>
      </c>
      <c r="D24" s="142" t="s">
        <v>2105</v>
      </c>
      <c r="G24" s="143" t="s">
        <v>540</v>
      </c>
      <c r="H24" s="144" t="n">
        <f aca="false">COUNTIFS($P$39:$P$88,G24)</f>
        <v>0</v>
      </c>
    </row>
    <row r="25" customFormat="false" ht="15" hidden="false" customHeight="true" outlineLevel="0" collapsed="false">
      <c r="A25" s="145" t="n">
        <v>2024</v>
      </c>
      <c r="B25" s="146" t="n">
        <f aca="false">SUMIFS($AC$39:$AC$88,$V$39:$V$88,$A25)</f>
        <v>0</v>
      </c>
      <c r="C25" s="146" t="n">
        <f aca="false">SUMIFS($AB$39:$AB$88,$V$39:$V$88,$A25)</f>
        <v>0</v>
      </c>
      <c r="D25" s="146" t="n">
        <f aca="false">$B25-$C25</f>
        <v>0</v>
      </c>
      <c r="G25" s="143" t="s">
        <v>314</v>
      </c>
      <c r="H25" s="144" t="n">
        <f aca="false">COUNTIFS($P$39:$P$88,G25)</f>
        <v>0</v>
      </c>
    </row>
    <row r="26" customFormat="false" ht="15" hidden="false" customHeight="true" outlineLevel="0" collapsed="false">
      <c r="A26" s="145" t="n">
        <v>2025</v>
      </c>
      <c r="B26" s="146" t="n">
        <f aca="false">SUMIFS($AC$39:$AC$88,$V$39:$V$88,$A26)</f>
        <v>0</v>
      </c>
      <c r="C26" s="146" t="n">
        <f aca="false">SUMIFS($AB$39:$AB$88,$V$39:$V$88,$A26)</f>
        <v>0</v>
      </c>
      <c r="D26" s="146" t="n">
        <f aca="false">$B26-$C26</f>
        <v>0</v>
      </c>
    </row>
    <row r="27" customFormat="false" ht="15" hidden="false" customHeight="true" outlineLevel="0" collapsed="false">
      <c r="A27" s="145" t="n">
        <v>2026</v>
      </c>
      <c r="B27" s="146" t="n">
        <f aca="false">SUMIFS($AC$39:$AC$88,$V$39:$V$88,$A27)</f>
        <v>0</v>
      </c>
      <c r="C27" s="146" t="n">
        <f aca="false">SUMIFS($AB$39:$AB$88,$V$39:$V$88,$A27)</f>
        <v>0</v>
      </c>
      <c r="D27" s="146" t="n">
        <f aca="false">$B27-$C27</f>
        <v>0</v>
      </c>
    </row>
    <row r="28" customFormat="false" ht="15" hidden="false" customHeight="true" outlineLevel="0" collapsed="false">
      <c r="A28" s="145" t="n">
        <v>2027</v>
      </c>
      <c r="B28" s="146" t="n">
        <f aca="false">SUMIFS($AC$39:$AC$88,$V$39:$V$88,$A28)</f>
        <v>0</v>
      </c>
      <c r="C28" s="146" t="n">
        <f aca="false">SUMIFS($AB$39:$AB$88,$V$39:$V$88,$A28)</f>
        <v>0</v>
      </c>
      <c r="D28" s="146" t="n">
        <f aca="false">$B28-$C28</f>
        <v>0</v>
      </c>
    </row>
    <row r="29" customFormat="false" ht="15" hidden="false" customHeight="true" outlineLevel="0" collapsed="false">
      <c r="A29" s="145" t="n">
        <v>2028</v>
      </c>
      <c r="B29" s="146" t="n">
        <f aca="false">SUMIFS($AC$39:$AC$88,$V$39:$V$88,$A29)</f>
        <v>0</v>
      </c>
      <c r="C29" s="146" t="n">
        <f aca="false">SUMIFS($AB$39:$AB$88,$V$39:$V$88,$A29)</f>
        <v>0</v>
      </c>
      <c r="D29" s="146" t="n">
        <f aca="false">$B29-$C29</f>
        <v>0</v>
      </c>
    </row>
    <row r="30" customFormat="false" ht="15" hidden="false" customHeight="true" outlineLevel="0" collapsed="false">
      <c r="A30" s="145" t="n">
        <v>2029</v>
      </c>
      <c r="B30" s="146" t="n">
        <f aca="false">SUMIFS($AC$39:$AC$88,$V$39:$V$88,$A30)</f>
        <v>0</v>
      </c>
      <c r="C30" s="146" t="n">
        <f aca="false">SUMIFS($AB$39:$AB$88,$V$39:$V$88,$A30)</f>
        <v>0</v>
      </c>
      <c r="D30" s="146" t="n">
        <f aca="false">$B30-$C30</f>
        <v>0</v>
      </c>
    </row>
    <row r="31" customFormat="false" ht="15" hidden="false" customHeight="true" outlineLevel="0" collapsed="false">
      <c r="A31" s="145" t="n">
        <v>2030</v>
      </c>
      <c r="B31" s="146" t="n">
        <f aca="false">SUMIFS($AC$39:$AC$88,$V$39:$V$88,$A31)</f>
        <v>0</v>
      </c>
      <c r="C31" s="146" t="n">
        <f aca="false">SUMIFS($AB$39:$AB$88,$V$39:$V$88,$A31)</f>
        <v>0</v>
      </c>
      <c r="D31" s="146" t="n">
        <f aca="false">$B31-$C31</f>
        <v>0</v>
      </c>
    </row>
    <row r="32" customFormat="false" ht="15" hidden="false" customHeight="true" outlineLevel="0" collapsed="false">
      <c r="A32" s="145" t="n">
        <v>2031</v>
      </c>
      <c r="B32" s="146" t="n">
        <f aca="false">SUMIFS($AC$39:$AC$88,$V$39:$V$88,$A32)</f>
        <v>0</v>
      </c>
      <c r="C32" s="146" t="n">
        <f aca="false">SUMIFS($AB$39:$AB$88,$V$39:$V$88,$A32)</f>
        <v>0</v>
      </c>
      <c r="D32" s="146" t="n">
        <f aca="false">$B32-$C32</f>
        <v>0</v>
      </c>
    </row>
    <row r="33" customFormat="false" ht="15" hidden="false" customHeight="true" outlineLevel="0" collapsed="false">
      <c r="A33" s="145" t="n">
        <v>2032</v>
      </c>
      <c r="B33" s="146" t="n">
        <f aca="false">SUMIFS($AC$39:$AC$88,$V$39:$V$88,$A33)</f>
        <v>0</v>
      </c>
      <c r="C33" s="146" t="n">
        <f aca="false">SUMIFS($AB$39:$AB$88,$V$39:$V$88,$A33)</f>
        <v>0</v>
      </c>
      <c r="D33" s="146" t="n">
        <f aca="false">$B33-$C33</f>
        <v>0</v>
      </c>
    </row>
    <row r="34" customFormat="false" ht="15" hidden="false" customHeight="true" outlineLevel="0" collapsed="false">
      <c r="A34" s="145" t="n">
        <v>2033</v>
      </c>
      <c r="B34" s="146" t="n">
        <f aca="false">SUMIFS($AC$39:$AC$88,$V$39:$V$88,$A34)</f>
        <v>0</v>
      </c>
      <c r="C34" s="146" t="n">
        <f aca="false">SUMIFS($AB$39:$AB$88,$V$39:$V$88,$A34)</f>
        <v>0</v>
      </c>
      <c r="D34" s="146" t="n">
        <f aca="false">$B34-$C34</f>
        <v>0</v>
      </c>
    </row>
    <row r="37" customFormat="false" ht="15" hidden="false" customHeight="true" outlineLevel="0" collapsed="false">
      <c r="A37" s="18" t="s">
        <v>2118</v>
      </c>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row>
    <row r="38" customFormat="false" ht="33.75" hidden="false" customHeight="true" outlineLevel="0" collapsed="false">
      <c r="A38" s="142" t="s">
        <v>2119</v>
      </c>
      <c r="B38" s="142" t="s">
        <v>2120</v>
      </c>
      <c r="C38" s="142" t="s">
        <v>2027</v>
      </c>
      <c r="D38" s="142" t="s">
        <v>1909</v>
      </c>
      <c r="E38" s="142" t="s">
        <v>2121</v>
      </c>
      <c r="F38" s="142" t="s">
        <v>1903</v>
      </c>
      <c r="G38" s="142" t="s">
        <v>874</v>
      </c>
      <c r="H38" s="142" t="s">
        <v>1570</v>
      </c>
      <c r="I38" s="142" t="s">
        <v>1508</v>
      </c>
      <c r="J38" s="142" t="s">
        <v>1327</v>
      </c>
      <c r="K38" s="142" t="s">
        <v>2122</v>
      </c>
      <c r="L38" s="142" t="s">
        <v>1696</v>
      </c>
      <c r="M38" s="142" t="s">
        <v>2025</v>
      </c>
      <c r="N38" s="142" t="s">
        <v>2123</v>
      </c>
      <c r="O38" s="142" t="s">
        <v>2113</v>
      </c>
      <c r="P38" s="142" t="s">
        <v>1656</v>
      </c>
      <c r="Q38" s="142" t="s">
        <v>1354</v>
      </c>
      <c r="R38" s="142" t="s">
        <v>2124</v>
      </c>
      <c r="S38" s="142" t="s">
        <v>2125</v>
      </c>
      <c r="T38" s="142" t="s">
        <v>2126</v>
      </c>
      <c r="U38" s="142" t="s">
        <v>1667</v>
      </c>
      <c r="V38" s="142" t="s">
        <v>53</v>
      </c>
      <c r="W38" s="142" t="s">
        <v>68</v>
      </c>
      <c r="X38" s="142" t="s">
        <v>67</v>
      </c>
      <c r="Y38" s="142" t="s">
        <v>1368</v>
      </c>
      <c r="Z38" s="142" t="s">
        <v>2127</v>
      </c>
      <c r="AA38" s="142" t="s">
        <v>2128</v>
      </c>
      <c r="AB38" s="142" t="s">
        <v>2104</v>
      </c>
      <c r="AC38" s="142" t="s">
        <v>2103</v>
      </c>
      <c r="AD38" s="142" t="s">
        <v>2105</v>
      </c>
      <c r="AE38" s="142" t="s">
        <v>2111</v>
      </c>
      <c r="AF38" s="142" t="s">
        <v>2129</v>
      </c>
      <c r="AG38" s="142" t="s">
        <v>506</v>
      </c>
      <c r="AH38" s="142" t="s">
        <v>2130</v>
      </c>
      <c r="AI38" s="142" t="s">
        <v>1365</v>
      </c>
      <c r="AJ38" s="142" t="s">
        <v>2131</v>
      </c>
      <c r="AK38" s="142" t="s">
        <v>2132</v>
      </c>
      <c r="AL38" s="142" t="s">
        <v>2133</v>
      </c>
      <c r="AM38" s="142" t="s">
        <v>2134</v>
      </c>
      <c r="AN38" s="142" t="s">
        <v>2135</v>
      </c>
      <c r="AO38" s="142" t="s">
        <v>2136</v>
      </c>
      <c r="AP38" s="142" t="s">
        <v>2137</v>
      </c>
      <c r="AQ38" s="142" t="s">
        <v>2138</v>
      </c>
      <c r="AR38" s="142" t="s">
        <v>2139</v>
      </c>
      <c r="AS38" s="142" t="s">
        <v>1583</v>
      </c>
      <c r="AT38" s="142" t="s">
        <v>2140</v>
      </c>
      <c r="AU38" s="142" t="s">
        <v>2141</v>
      </c>
      <c r="AV38" s="142" t="s">
        <v>2142</v>
      </c>
      <c r="AW38" s="142" t="s">
        <v>2143</v>
      </c>
      <c r="AX38" s="142" t="s">
        <v>2144</v>
      </c>
      <c r="AY38" s="142" t="s">
        <v>2145</v>
      </c>
      <c r="AZ38" s="142" t="s">
        <v>2146</v>
      </c>
      <c r="BA38" s="142" t="s">
        <v>2147</v>
      </c>
      <c r="BB38" s="142" t="s">
        <v>2148</v>
      </c>
      <c r="BC38" s="142" t="s">
        <v>2149</v>
      </c>
      <c r="BD38" s="142" t="s">
        <v>2150</v>
      </c>
      <c r="BE38" s="142" t="s">
        <v>2044</v>
      </c>
      <c r="BF38" s="142" t="s">
        <v>1533</v>
      </c>
      <c r="BG38" s="142" t="s">
        <v>2151</v>
      </c>
      <c r="BH38" s="142" t="s">
        <v>2047</v>
      </c>
    </row>
    <row r="39" customFormat="false" ht="15" hidden="false" customHeight="true" outlineLevel="0" collapsed="false">
      <c r="A39" s="147" t="str">
        <f aca="false">IF($O39="","","REC"&amp;TEXT(ROW()-38,"00000"))</f>
        <v/>
      </c>
      <c r="B39" s="148"/>
      <c r="C39" s="148"/>
      <c r="D39" s="148"/>
      <c r="E39" s="149" t="n">
        <f aca="false">IFERROR(INDEX(DONATEURS!$B$56:$B$205,MATCH($D39,DONATEURS!$A$56:$A$205,0)),"")</f>
        <v>0</v>
      </c>
      <c r="F39" s="149" t="n">
        <f aca="false">IFERROR(INDEX(DONATEURS!$E$56:$E$205,MATCH($D39,DONATEURS!$A$56:$A$205,0)),"")</f>
        <v>0</v>
      </c>
      <c r="G39" s="149" t="n">
        <f aca="false">IFERROR(INDEX(DONATEURS!$G$56:$G$205,MATCH($D39,DONATEURS!$A$56:$A$205,0)),"")</f>
        <v>0</v>
      </c>
      <c r="H39" s="148"/>
      <c r="I39" s="149" t="n">
        <f aca="false">IFERROR(INDEX(PROJETS!$C$56:$C$95,MATCH($H39,PROJETS!$A$56:$A$95,0)),"")</f>
        <v>0</v>
      </c>
      <c r="J39" s="149" t="n">
        <f aca="false">IFERROR(INDEX(PROJETS!$J$56:$J$95,MATCH($H39,PROJETS!$A$56:$A$95,0)),"")</f>
        <v>0</v>
      </c>
      <c r="K39" s="149" t="n">
        <f aca="false">IFERROR(INDEX(PROJETS!$N$56:$N$95,MATCH($H39,PROJETS!$A$56:$A$95,0)),"")</f>
        <v>0</v>
      </c>
      <c r="L39" s="148"/>
      <c r="M39" s="149" t="n">
        <f aca="false">IFERROR(INDEX(ACTIVITES!$G$56:$G$105,MATCH($L39,ACTIVITES!$A$56:$A$105,0)),"")</f>
        <v>0</v>
      </c>
      <c r="N39" s="148"/>
      <c r="O39" s="148"/>
      <c r="P39" s="148"/>
      <c r="Q39" s="148"/>
      <c r="R39" s="148"/>
      <c r="S39" s="148"/>
      <c r="T39" s="150"/>
      <c r="U39" s="150"/>
      <c r="V39" s="151" t="str">
        <f aca="false">IF($T39="","",YEAR($T39))</f>
        <v/>
      </c>
      <c r="W39" s="147" t="str">
        <f aca="false">IF($T39="","","T"&amp;ROUNDUP(MONTH($T39)/3,0))</f>
        <v/>
      </c>
      <c r="X39" s="147" t="str">
        <f aca="false">IF($T39="","",TEXT($T39,"mmmm"))</f>
        <v/>
      </c>
      <c r="Y39" s="148"/>
      <c r="Z39" s="152"/>
      <c r="AA39" s="153"/>
      <c r="AB39" s="154" t="str">
        <f aca="false">IF($AA39="","",IF(OR($Y39="FCFA",$Y39=""),$AA39,$AA39*IF($Z39="",1,$Z39)))</f>
        <v/>
      </c>
      <c r="AC39" s="153"/>
      <c r="AD39" s="154" t="str">
        <f aca="false">IF($AC39="","",MAX($AC39-IF($AB39="",0,$AB39),0))</f>
        <v/>
      </c>
      <c r="AE39" s="148"/>
      <c r="AF39" s="148"/>
      <c r="AG39" s="148"/>
      <c r="AH39" s="155"/>
      <c r="AI39" s="148"/>
      <c r="AJ39" s="155"/>
      <c r="AK39" s="155"/>
      <c r="AL39" s="150"/>
      <c r="AM39" s="148"/>
      <c r="AN39" s="148"/>
      <c r="AO39" s="148"/>
      <c r="AP39" s="148"/>
      <c r="AQ39" s="155"/>
      <c r="AR39" s="148"/>
      <c r="AS39" s="148"/>
      <c r="AT39" s="148"/>
      <c r="AU39" s="148"/>
      <c r="AV39" s="153"/>
      <c r="AW39" s="148"/>
      <c r="AX39" s="148"/>
      <c r="AY39" s="155"/>
      <c r="AZ39" s="148"/>
      <c r="BA39" s="148"/>
      <c r="BB39" s="148"/>
      <c r="BC39" s="150"/>
      <c r="BD39" s="148"/>
      <c r="BE39" s="147" t="str">
        <f aca="true">IF($AC39="","",IF($AD39&lt;=0,"Recu integralement",IF(AND($AU39&lt;&gt;"",$AU39&lt;=TODAY()),"Relance necessaire",IF(AND($U39&lt;&gt;"",$T39="",$U39&lt;TODAY()),"Retard",IF($AD39&gt;0.5*$AC39,"Vigilance","Normal")))))</f>
        <v/>
      </c>
      <c r="BF39" s="155"/>
      <c r="BG39" s="151" t="str">
        <f aca="false">IF($D39="","",COUNTIFS($D$39:$D39,$D39))</f>
        <v/>
      </c>
      <c r="BH39" s="151" t="str">
        <f aca="false">IF($H39="","",COUNTIFS($H$39:$H39,$H39))</f>
        <v/>
      </c>
    </row>
    <row r="40" customFormat="false" ht="15" hidden="false" customHeight="true" outlineLevel="0" collapsed="false">
      <c r="A40" s="147" t="str">
        <f aca="false">IF($O40="","","REC"&amp;TEXT(ROW()-38,"00000"))</f>
        <v/>
      </c>
      <c r="B40" s="148"/>
      <c r="C40" s="148"/>
      <c r="D40" s="148"/>
      <c r="E40" s="149" t="n">
        <f aca="false">IFERROR(INDEX(DONATEURS!$B$56:$B$205,MATCH($D40,DONATEURS!$A$56:$A$205,0)),"")</f>
        <v>0</v>
      </c>
      <c r="F40" s="149" t="n">
        <f aca="false">IFERROR(INDEX(DONATEURS!$E$56:$E$205,MATCH($D40,DONATEURS!$A$56:$A$205,0)),"")</f>
        <v>0</v>
      </c>
      <c r="G40" s="149" t="n">
        <f aca="false">IFERROR(INDEX(DONATEURS!$G$56:$G$205,MATCH($D40,DONATEURS!$A$56:$A$205,0)),"")</f>
        <v>0</v>
      </c>
      <c r="H40" s="148"/>
      <c r="I40" s="149" t="n">
        <f aca="false">IFERROR(INDEX(PROJETS!$C$56:$C$95,MATCH($H40,PROJETS!$A$56:$A$95,0)),"")</f>
        <v>0</v>
      </c>
      <c r="J40" s="149" t="n">
        <f aca="false">IFERROR(INDEX(PROJETS!$J$56:$J$95,MATCH($H40,PROJETS!$A$56:$A$95,0)),"")</f>
        <v>0</v>
      </c>
      <c r="K40" s="149" t="n">
        <f aca="false">IFERROR(INDEX(PROJETS!$N$56:$N$95,MATCH($H40,PROJETS!$A$56:$A$95,0)),"")</f>
        <v>0</v>
      </c>
      <c r="L40" s="148"/>
      <c r="M40" s="149" t="n">
        <f aca="false">IFERROR(INDEX(ACTIVITES!$G$56:$G$105,MATCH($L40,ACTIVITES!$A$56:$A$105,0)),"")</f>
        <v>0</v>
      </c>
      <c r="N40" s="148"/>
      <c r="O40" s="148"/>
      <c r="P40" s="148"/>
      <c r="Q40" s="148"/>
      <c r="R40" s="148"/>
      <c r="S40" s="148"/>
      <c r="T40" s="150"/>
      <c r="U40" s="150"/>
      <c r="V40" s="151" t="str">
        <f aca="false">IF($T40="","",YEAR($T40))</f>
        <v/>
      </c>
      <c r="W40" s="147" t="str">
        <f aca="false">IF($T40="","","T"&amp;ROUNDUP(MONTH($T40)/3,0))</f>
        <v/>
      </c>
      <c r="X40" s="147" t="str">
        <f aca="false">IF($T40="","",TEXT($T40,"mmmm"))</f>
        <v/>
      </c>
      <c r="Y40" s="148"/>
      <c r="Z40" s="152"/>
      <c r="AA40" s="153"/>
      <c r="AB40" s="154" t="str">
        <f aca="false">IF($AA40="","",IF(OR($Y40="FCFA",$Y40=""),$AA40,$AA40*IF($Z40="",1,$Z40)))</f>
        <v/>
      </c>
      <c r="AC40" s="153"/>
      <c r="AD40" s="154" t="str">
        <f aca="false">IF($AC40="","",MAX($AC40-IF($AB40="",0,$AB40),0))</f>
        <v/>
      </c>
      <c r="AE40" s="148"/>
      <c r="AF40" s="148"/>
      <c r="AG40" s="148"/>
      <c r="AH40" s="155"/>
      <c r="AI40" s="148"/>
      <c r="AJ40" s="155"/>
      <c r="AK40" s="155"/>
      <c r="AL40" s="150"/>
      <c r="AM40" s="148"/>
      <c r="AN40" s="148"/>
      <c r="AO40" s="148"/>
      <c r="AP40" s="148"/>
      <c r="AQ40" s="155"/>
      <c r="AR40" s="148"/>
      <c r="AS40" s="148"/>
      <c r="AT40" s="148"/>
      <c r="AU40" s="148"/>
      <c r="AV40" s="153"/>
      <c r="AW40" s="148"/>
      <c r="AX40" s="148"/>
      <c r="AY40" s="155"/>
      <c r="AZ40" s="148"/>
      <c r="BA40" s="148"/>
      <c r="BB40" s="148"/>
      <c r="BC40" s="150"/>
      <c r="BD40" s="148"/>
      <c r="BE40" s="147" t="str">
        <f aca="true">IF($AC40="","",IF($AD40&lt;=0,"Recu integralement",IF(AND($AU40&lt;&gt;"",$AU40&lt;=TODAY()),"Relance necessaire",IF(AND($U40&lt;&gt;"",$T40="",$U40&lt;TODAY()),"Retard",IF($AD40&gt;0.5*$AC40,"Vigilance","Normal")))))</f>
        <v/>
      </c>
      <c r="BF40" s="155"/>
      <c r="BG40" s="151" t="str">
        <f aca="false">IF($D40="","",COUNTIFS($D$39:$D40,$D40))</f>
        <v/>
      </c>
      <c r="BH40" s="151" t="str">
        <f aca="false">IF($H40="","",COUNTIFS($H$39:$H40,$H40))</f>
        <v/>
      </c>
    </row>
    <row r="41" customFormat="false" ht="15" hidden="false" customHeight="true" outlineLevel="0" collapsed="false">
      <c r="A41" s="147" t="str">
        <f aca="false">IF($O41="","","REC"&amp;TEXT(ROW()-38,"00000"))</f>
        <v/>
      </c>
      <c r="B41" s="148"/>
      <c r="C41" s="148"/>
      <c r="D41" s="148"/>
      <c r="E41" s="149" t="n">
        <f aca="false">IFERROR(INDEX(DONATEURS!$B$56:$B$205,MATCH($D41,DONATEURS!$A$56:$A$205,0)),"")</f>
        <v>0</v>
      </c>
      <c r="F41" s="149" t="n">
        <f aca="false">IFERROR(INDEX(DONATEURS!$E$56:$E$205,MATCH($D41,DONATEURS!$A$56:$A$205,0)),"")</f>
        <v>0</v>
      </c>
      <c r="G41" s="149" t="n">
        <f aca="false">IFERROR(INDEX(DONATEURS!$G$56:$G$205,MATCH($D41,DONATEURS!$A$56:$A$205,0)),"")</f>
        <v>0</v>
      </c>
      <c r="H41" s="148"/>
      <c r="I41" s="149" t="n">
        <f aca="false">IFERROR(INDEX(PROJETS!$C$56:$C$95,MATCH($H41,PROJETS!$A$56:$A$95,0)),"")</f>
        <v>0</v>
      </c>
      <c r="J41" s="149" t="n">
        <f aca="false">IFERROR(INDEX(PROJETS!$J$56:$J$95,MATCH($H41,PROJETS!$A$56:$A$95,0)),"")</f>
        <v>0</v>
      </c>
      <c r="K41" s="149" t="n">
        <f aca="false">IFERROR(INDEX(PROJETS!$N$56:$N$95,MATCH($H41,PROJETS!$A$56:$A$95,0)),"")</f>
        <v>0</v>
      </c>
      <c r="L41" s="148"/>
      <c r="M41" s="149" t="n">
        <f aca="false">IFERROR(INDEX(ACTIVITES!$G$56:$G$105,MATCH($L41,ACTIVITES!$A$56:$A$105,0)),"")</f>
        <v>0</v>
      </c>
      <c r="N41" s="148"/>
      <c r="O41" s="148"/>
      <c r="P41" s="148"/>
      <c r="Q41" s="148"/>
      <c r="R41" s="148"/>
      <c r="S41" s="148"/>
      <c r="T41" s="150"/>
      <c r="U41" s="150"/>
      <c r="V41" s="151" t="str">
        <f aca="false">IF($T41="","",YEAR($T41))</f>
        <v/>
      </c>
      <c r="W41" s="147" t="str">
        <f aca="false">IF($T41="","","T"&amp;ROUNDUP(MONTH($T41)/3,0))</f>
        <v/>
      </c>
      <c r="X41" s="147" t="str">
        <f aca="false">IF($T41="","",TEXT($T41,"mmmm"))</f>
        <v/>
      </c>
      <c r="Y41" s="148"/>
      <c r="Z41" s="152"/>
      <c r="AA41" s="153"/>
      <c r="AB41" s="154" t="str">
        <f aca="false">IF($AA41="","",IF(OR($Y41="FCFA",$Y41=""),$AA41,$AA41*IF($Z41="",1,$Z41)))</f>
        <v/>
      </c>
      <c r="AC41" s="153"/>
      <c r="AD41" s="154" t="str">
        <f aca="false">IF($AC41="","",MAX($AC41-IF($AB41="",0,$AB41),0))</f>
        <v/>
      </c>
      <c r="AE41" s="148"/>
      <c r="AF41" s="148"/>
      <c r="AG41" s="148"/>
      <c r="AH41" s="155"/>
      <c r="AI41" s="148"/>
      <c r="AJ41" s="155"/>
      <c r="AK41" s="155"/>
      <c r="AL41" s="150"/>
      <c r="AM41" s="148"/>
      <c r="AN41" s="148"/>
      <c r="AO41" s="148"/>
      <c r="AP41" s="148"/>
      <c r="AQ41" s="155"/>
      <c r="AR41" s="148"/>
      <c r="AS41" s="148"/>
      <c r="AT41" s="148"/>
      <c r="AU41" s="148"/>
      <c r="AV41" s="153"/>
      <c r="AW41" s="148"/>
      <c r="AX41" s="148"/>
      <c r="AY41" s="155"/>
      <c r="AZ41" s="148"/>
      <c r="BA41" s="148"/>
      <c r="BB41" s="148"/>
      <c r="BC41" s="150"/>
      <c r="BD41" s="148"/>
      <c r="BE41" s="147" t="str">
        <f aca="true">IF($AC41="","",IF($AD41&lt;=0,"Recu integralement",IF(AND($AU41&lt;&gt;"",$AU41&lt;=TODAY()),"Relance necessaire",IF(AND($U41&lt;&gt;"",$T41="",$U41&lt;TODAY()),"Retard",IF($AD41&gt;0.5*$AC41,"Vigilance","Normal")))))</f>
        <v/>
      </c>
      <c r="BF41" s="155"/>
      <c r="BG41" s="151" t="str">
        <f aca="false">IF($D41="","",COUNTIFS($D$39:$D41,$D41))</f>
        <v/>
      </c>
      <c r="BH41" s="151" t="str">
        <f aca="false">IF($H41="","",COUNTIFS($H$39:$H41,$H41))</f>
        <v/>
      </c>
    </row>
    <row r="42" customFormat="false" ht="15" hidden="false" customHeight="true" outlineLevel="0" collapsed="false">
      <c r="A42" s="147" t="str">
        <f aca="false">IF($O42="","","REC"&amp;TEXT(ROW()-38,"00000"))</f>
        <v/>
      </c>
      <c r="B42" s="148"/>
      <c r="C42" s="148"/>
      <c r="D42" s="148"/>
      <c r="E42" s="149" t="n">
        <f aca="false">IFERROR(INDEX(DONATEURS!$B$56:$B$205,MATCH($D42,DONATEURS!$A$56:$A$205,0)),"")</f>
        <v>0</v>
      </c>
      <c r="F42" s="149" t="n">
        <f aca="false">IFERROR(INDEX(DONATEURS!$E$56:$E$205,MATCH($D42,DONATEURS!$A$56:$A$205,0)),"")</f>
        <v>0</v>
      </c>
      <c r="G42" s="149" t="n">
        <f aca="false">IFERROR(INDEX(DONATEURS!$G$56:$G$205,MATCH($D42,DONATEURS!$A$56:$A$205,0)),"")</f>
        <v>0</v>
      </c>
      <c r="H42" s="148"/>
      <c r="I42" s="149" t="n">
        <f aca="false">IFERROR(INDEX(PROJETS!$C$56:$C$95,MATCH($H42,PROJETS!$A$56:$A$95,0)),"")</f>
        <v>0</v>
      </c>
      <c r="J42" s="149" t="n">
        <f aca="false">IFERROR(INDEX(PROJETS!$J$56:$J$95,MATCH($H42,PROJETS!$A$56:$A$95,0)),"")</f>
        <v>0</v>
      </c>
      <c r="K42" s="149" t="n">
        <f aca="false">IFERROR(INDEX(PROJETS!$N$56:$N$95,MATCH($H42,PROJETS!$A$56:$A$95,0)),"")</f>
        <v>0</v>
      </c>
      <c r="L42" s="148"/>
      <c r="M42" s="149" t="n">
        <f aca="false">IFERROR(INDEX(ACTIVITES!$G$56:$G$105,MATCH($L42,ACTIVITES!$A$56:$A$105,0)),"")</f>
        <v>0</v>
      </c>
      <c r="N42" s="148"/>
      <c r="O42" s="148"/>
      <c r="P42" s="148"/>
      <c r="Q42" s="148"/>
      <c r="R42" s="148"/>
      <c r="S42" s="148"/>
      <c r="T42" s="150"/>
      <c r="U42" s="150"/>
      <c r="V42" s="151" t="str">
        <f aca="false">IF($T42="","",YEAR($T42))</f>
        <v/>
      </c>
      <c r="W42" s="147" t="str">
        <f aca="false">IF($T42="","","T"&amp;ROUNDUP(MONTH($T42)/3,0))</f>
        <v/>
      </c>
      <c r="X42" s="147" t="str">
        <f aca="false">IF($T42="","",TEXT($T42,"mmmm"))</f>
        <v/>
      </c>
      <c r="Y42" s="148"/>
      <c r="Z42" s="152"/>
      <c r="AA42" s="153"/>
      <c r="AB42" s="154" t="str">
        <f aca="false">IF($AA42="","",IF(OR($Y42="FCFA",$Y42=""),$AA42,$AA42*IF($Z42="",1,$Z42)))</f>
        <v/>
      </c>
      <c r="AC42" s="153"/>
      <c r="AD42" s="154" t="str">
        <f aca="false">IF($AC42="","",MAX($AC42-IF($AB42="",0,$AB42),0))</f>
        <v/>
      </c>
      <c r="AE42" s="148"/>
      <c r="AF42" s="148"/>
      <c r="AG42" s="148"/>
      <c r="AH42" s="155"/>
      <c r="AI42" s="148"/>
      <c r="AJ42" s="155"/>
      <c r="AK42" s="155"/>
      <c r="AL42" s="150"/>
      <c r="AM42" s="148"/>
      <c r="AN42" s="148"/>
      <c r="AO42" s="148"/>
      <c r="AP42" s="148"/>
      <c r="AQ42" s="155"/>
      <c r="AR42" s="148"/>
      <c r="AS42" s="148"/>
      <c r="AT42" s="148"/>
      <c r="AU42" s="148"/>
      <c r="AV42" s="153"/>
      <c r="AW42" s="148"/>
      <c r="AX42" s="148"/>
      <c r="AY42" s="155"/>
      <c r="AZ42" s="148"/>
      <c r="BA42" s="148"/>
      <c r="BB42" s="148"/>
      <c r="BC42" s="150"/>
      <c r="BD42" s="148"/>
      <c r="BE42" s="147" t="str">
        <f aca="true">IF($AC42="","",IF($AD42&lt;=0,"Recu integralement",IF(AND($AU42&lt;&gt;"",$AU42&lt;=TODAY()),"Relance necessaire",IF(AND($U42&lt;&gt;"",$T42="",$U42&lt;TODAY()),"Retard",IF($AD42&gt;0.5*$AC42,"Vigilance","Normal")))))</f>
        <v/>
      </c>
      <c r="BF42" s="155"/>
      <c r="BG42" s="151" t="str">
        <f aca="false">IF($D42="","",COUNTIFS($D$39:$D42,$D42))</f>
        <v/>
      </c>
      <c r="BH42" s="151" t="str">
        <f aca="false">IF($H42="","",COUNTIFS($H$39:$H42,$H42))</f>
        <v/>
      </c>
    </row>
    <row r="43" customFormat="false" ht="15" hidden="false" customHeight="true" outlineLevel="0" collapsed="false">
      <c r="A43" s="147" t="str">
        <f aca="false">IF($O43="","","REC"&amp;TEXT(ROW()-38,"00000"))</f>
        <v/>
      </c>
      <c r="B43" s="148"/>
      <c r="C43" s="148"/>
      <c r="D43" s="148"/>
      <c r="E43" s="149" t="n">
        <f aca="false">IFERROR(INDEX(DONATEURS!$B$56:$B$205,MATCH($D43,DONATEURS!$A$56:$A$205,0)),"")</f>
        <v>0</v>
      </c>
      <c r="F43" s="149" t="n">
        <f aca="false">IFERROR(INDEX(DONATEURS!$E$56:$E$205,MATCH($D43,DONATEURS!$A$56:$A$205,0)),"")</f>
        <v>0</v>
      </c>
      <c r="G43" s="149" t="n">
        <f aca="false">IFERROR(INDEX(DONATEURS!$G$56:$G$205,MATCH($D43,DONATEURS!$A$56:$A$205,0)),"")</f>
        <v>0</v>
      </c>
      <c r="H43" s="148"/>
      <c r="I43" s="149" t="n">
        <f aca="false">IFERROR(INDEX(PROJETS!$C$56:$C$95,MATCH($H43,PROJETS!$A$56:$A$95,0)),"")</f>
        <v>0</v>
      </c>
      <c r="J43" s="149" t="n">
        <f aca="false">IFERROR(INDEX(PROJETS!$J$56:$J$95,MATCH($H43,PROJETS!$A$56:$A$95,0)),"")</f>
        <v>0</v>
      </c>
      <c r="K43" s="149" t="n">
        <f aca="false">IFERROR(INDEX(PROJETS!$N$56:$N$95,MATCH($H43,PROJETS!$A$56:$A$95,0)),"")</f>
        <v>0</v>
      </c>
      <c r="L43" s="148"/>
      <c r="M43" s="149" t="n">
        <f aca="false">IFERROR(INDEX(ACTIVITES!$G$56:$G$105,MATCH($L43,ACTIVITES!$A$56:$A$105,0)),"")</f>
        <v>0</v>
      </c>
      <c r="N43" s="148"/>
      <c r="O43" s="148"/>
      <c r="P43" s="148"/>
      <c r="Q43" s="148"/>
      <c r="R43" s="148"/>
      <c r="S43" s="148"/>
      <c r="T43" s="150"/>
      <c r="U43" s="150"/>
      <c r="V43" s="151" t="str">
        <f aca="false">IF($T43="","",YEAR($T43))</f>
        <v/>
      </c>
      <c r="W43" s="147" t="str">
        <f aca="false">IF($T43="","","T"&amp;ROUNDUP(MONTH($T43)/3,0))</f>
        <v/>
      </c>
      <c r="X43" s="147" t="str">
        <f aca="false">IF($T43="","",TEXT($T43,"mmmm"))</f>
        <v/>
      </c>
      <c r="Y43" s="148"/>
      <c r="Z43" s="152"/>
      <c r="AA43" s="153"/>
      <c r="AB43" s="154" t="str">
        <f aca="false">IF($AA43="","",IF(OR($Y43="FCFA",$Y43=""),$AA43,$AA43*IF($Z43="",1,$Z43)))</f>
        <v/>
      </c>
      <c r="AC43" s="153"/>
      <c r="AD43" s="154" t="str">
        <f aca="false">IF($AC43="","",MAX($AC43-IF($AB43="",0,$AB43),0))</f>
        <v/>
      </c>
      <c r="AE43" s="148"/>
      <c r="AF43" s="148"/>
      <c r="AG43" s="148"/>
      <c r="AH43" s="155"/>
      <c r="AI43" s="148"/>
      <c r="AJ43" s="155"/>
      <c r="AK43" s="155"/>
      <c r="AL43" s="150"/>
      <c r="AM43" s="148"/>
      <c r="AN43" s="148"/>
      <c r="AO43" s="148"/>
      <c r="AP43" s="148"/>
      <c r="AQ43" s="155"/>
      <c r="AR43" s="148"/>
      <c r="AS43" s="148"/>
      <c r="AT43" s="148"/>
      <c r="AU43" s="148"/>
      <c r="AV43" s="153"/>
      <c r="AW43" s="148"/>
      <c r="AX43" s="148"/>
      <c r="AY43" s="155"/>
      <c r="AZ43" s="148"/>
      <c r="BA43" s="148"/>
      <c r="BB43" s="148"/>
      <c r="BC43" s="150"/>
      <c r="BD43" s="148"/>
      <c r="BE43" s="147" t="str">
        <f aca="true">IF($AC43="","",IF($AD43&lt;=0,"Recu integralement",IF(AND($AU43&lt;&gt;"",$AU43&lt;=TODAY()),"Relance necessaire",IF(AND($U43&lt;&gt;"",$T43="",$U43&lt;TODAY()),"Retard",IF($AD43&gt;0.5*$AC43,"Vigilance","Normal")))))</f>
        <v/>
      </c>
      <c r="BF43" s="155"/>
      <c r="BG43" s="151" t="str">
        <f aca="false">IF($D43="","",COUNTIFS($D$39:$D43,$D43))</f>
        <v/>
      </c>
      <c r="BH43" s="151" t="str">
        <f aca="false">IF($H43="","",COUNTIFS($H$39:$H43,$H43))</f>
        <v/>
      </c>
    </row>
    <row r="44" customFormat="false" ht="15" hidden="false" customHeight="true" outlineLevel="0" collapsed="false">
      <c r="A44" s="147" t="str">
        <f aca="false">IF($O44="","","REC"&amp;TEXT(ROW()-38,"00000"))</f>
        <v/>
      </c>
      <c r="B44" s="148"/>
      <c r="C44" s="148"/>
      <c r="D44" s="148"/>
      <c r="E44" s="149" t="n">
        <f aca="false">IFERROR(INDEX(DONATEURS!$B$56:$B$205,MATCH($D44,DONATEURS!$A$56:$A$205,0)),"")</f>
        <v>0</v>
      </c>
      <c r="F44" s="149" t="n">
        <f aca="false">IFERROR(INDEX(DONATEURS!$E$56:$E$205,MATCH($D44,DONATEURS!$A$56:$A$205,0)),"")</f>
        <v>0</v>
      </c>
      <c r="G44" s="149" t="n">
        <f aca="false">IFERROR(INDEX(DONATEURS!$G$56:$G$205,MATCH($D44,DONATEURS!$A$56:$A$205,0)),"")</f>
        <v>0</v>
      </c>
      <c r="H44" s="148"/>
      <c r="I44" s="149" t="n">
        <f aca="false">IFERROR(INDEX(PROJETS!$C$56:$C$95,MATCH($H44,PROJETS!$A$56:$A$95,0)),"")</f>
        <v>0</v>
      </c>
      <c r="J44" s="149" t="n">
        <f aca="false">IFERROR(INDEX(PROJETS!$J$56:$J$95,MATCH($H44,PROJETS!$A$56:$A$95,0)),"")</f>
        <v>0</v>
      </c>
      <c r="K44" s="149" t="n">
        <f aca="false">IFERROR(INDEX(PROJETS!$N$56:$N$95,MATCH($H44,PROJETS!$A$56:$A$95,0)),"")</f>
        <v>0</v>
      </c>
      <c r="L44" s="148"/>
      <c r="M44" s="149" t="n">
        <f aca="false">IFERROR(INDEX(ACTIVITES!$G$56:$G$105,MATCH($L44,ACTIVITES!$A$56:$A$105,0)),"")</f>
        <v>0</v>
      </c>
      <c r="N44" s="148"/>
      <c r="O44" s="148"/>
      <c r="P44" s="148"/>
      <c r="Q44" s="148"/>
      <c r="R44" s="148"/>
      <c r="S44" s="148"/>
      <c r="T44" s="150"/>
      <c r="U44" s="150"/>
      <c r="V44" s="151" t="str">
        <f aca="false">IF($T44="","",YEAR($T44))</f>
        <v/>
      </c>
      <c r="W44" s="147" t="str">
        <f aca="false">IF($T44="","","T"&amp;ROUNDUP(MONTH($T44)/3,0))</f>
        <v/>
      </c>
      <c r="X44" s="147" t="str">
        <f aca="false">IF($T44="","",TEXT($T44,"mmmm"))</f>
        <v/>
      </c>
      <c r="Y44" s="148"/>
      <c r="Z44" s="152"/>
      <c r="AA44" s="153"/>
      <c r="AB44" s="154" t="str">
        <f aca="false">IF($AA44="","",IF(OR($Y44="FCFA",$Y44=""),$AA44,$AA44*IF($Z44="",1,$Z44)))</f>
        <v/>
      </c>
      <c r="AC44" s="153"/>
      <c r="AD44" s="154" t="str">
        <f aca="false">IF($AC44="","",MAX($AC44-IF($AB44="",0,$AB44),0))</f>
        <v/>
      </c>
      <c r="AE44" s="148"/>
      <c r="AF44" s="148"/>
      <c r="AG44" s="148"/>
      <c r="AH44" s="155"/>
      <c r="AI44" s="148"/>
      <c r="AJ44" s="155"/>
      <c r="AK44" s="155"/>
      <c r="AL44" s="150"/>
      <c r="AM44" s="148"/>
      <c r="AN44" s="148"/>
      <c r="AO44" s="148"/>
      <c r="AP44" s="148"/>
      <c r="AQ44" s="155"/>
      <c r="AR44" s="148"/>
      <c r="AS44" s="148"/>
      <c r="AT44" s="148"/>
      <c r="AU44" s="148"/>
      <c r="AV44" s="153"/>
      <c r="AW44" s="148"/>
      <c r="AX44" s="148"/>
      <c r="AY44" s="155"/>
      <c r="AZ44" s="148"/>
      <c r="BA44" s="148"/>
      <c r="BB44" s="148"/>
      <c r="BC44" s="150"/>
      <c r="BD44" s="148"/>
      <c r="BE44" s="147" t="str">
        <f aca="true">IF($AC44="","",IF($AD44&lt;=0,"Recu integralement",IF(AND($AU44&lt;&gt;"",$AU44&lt;=TODAY()),"Relance necessaire",IF(AND($U44&lt;&gt;"",$T44="",$U44&lt;TODAY()),"Retard",IF($AD44&gt;0.5*$AC44,"Vigilance","Normal")))))</f>
        <v/>
      </c>
      <c r="BF44" s="155"/>
      <c r="BG44" s="151" t="str">
        <f aca="false">IF($D44="","",COUNTIFS($D$39:$D44,$D44))</f>
        <v/>
      </c>
      <c r="BH44" s="151" t="str">
        <f aca="false">IF($H44="","",COUNTIFS($H$39:$H44,$H44))</f>
        <v/>
      </c>
    </row>
    <row r="45" customFormat="false" ht="15" hidden="false" customHeight="true" outlineLevel="0" collapsed="false">
      <c r="A45" s="147" t="str">
        <f aca="false">IF($O45="","","REC"&amp;TEXT(ROW()-38,"00000"))</f>
        <v/>
      </c>
      <c r="B45" s="148"/>
      <c r="C45" s="148"/>
      <c r="D45" s="148"/>
      <c r="E45" s="149" t="n">
        <f aca="false">IFERROR(INDEX(DONATEURS!$B$56:$B$205,MATCH($D45,DONATEURS!$A$56:$A$205,0)),"")</f>
        <v>0</v>
      </c>
      <c r="F45" s="149" t="n">
        <f aca="false">IFERROR(INDEX(DONATEURS!$E$56:$E$205,MATCH($D45,DONATEURS!$A$56:$A$205,0)),"")</f>
        <v>0</v>
      </c>
      <c r="G45" s="149" t="n">
        <f aca="false">IFERROR(INDEX(DONATEURS!$G$56:$G$205,MATCH($D45,DONATEURS!$A$56:$A$205,0)),"")</f>
        <v>0</v>
      </c>
      <c r="H45" s="148"/>
      <c r="I45" s="149" t="n">
        <f aca="false">IFERROR(INDEX(PROJETS!$C$56:$C$95,MATCH($H45,PROJETS!$A$56:$A$95,0)),"")</f>
        <v>0</v>
      </c>
      <c r="J45" s="149" t="n">
        <f aca="false">IFERROR(INDEX(PROJETS!$J$56:$J$95,MATCH($H45,PROJETS!$A$56:$A$95,0)),"")</f>
        <v>0</v>
      </c>
      <c r="K45" s="149" t="n">
        <f aca="false">IFERROR(INDEX(PROJETS!$N$56:$N$95,MATCH($H45,PROJETS!$A$56:$A$95,0)),"")</f>
        <v>0</v>
      </c>
      <c r="L45" s="148"/>
      <c r="M45" s="149" t="n">
        <f aca="false">IFERROR(INDEX(ACTIVITES!$G$56:$G$105,MATCH($L45,ACTIVITES!$A$56:$A$105,0)),"")</f>
        <v>0</v>
      </c>
      <c r="N45" s="148"/>
      <c r="O45" s="148"/>
      <c r="P45" s="148"/>
      <c r="Q45" s="148"/>
      <c r="R45" s="148"/>
      <c r="S45" s="148"/>
      <c r="T45" s="150"/>
      <c r="U45" s="150"/>
      <c r="V45" s="151" t="str">
        <f aca="false">IF($T45="","",YEAR($T45))</f>
        <v/>
      </c>
      <c r="W45" s="147" t="str">
        <f aca="false">IF($T45="","","T"&amp;ROUNDUP(MONTH($T45)/3,0))</f>
        <v/>
      </c>
      <c r="X45" s="147" t="str">
        <f aca="false">IF($T45="","",TEXT($T45,"mmmm"))</f>
        <v/>
      </c>
      <c r="Y45" s="148"/>
      <c r="Z45" s="152"/>
      <c r="AA45" s="153"/>
      <c r="AB45" s="154" t="str">
        <f aca="false">IF($AA45="","",IF(OR($Y45="FCFA",$Y45=""),$AA45,$AA45*IF($Z45="",1,$Z45)))</f>
        <v/>
      </c>
      <c r="AC45" s="153"/>
      <c r="AD45" s="154" t="str">
        <f aca="false">IF($AC45="","",MAX($AC45-IF($AB45="",0,$AB45),0))</f>
        <v/>
      </c>
      <c r="AE45" s="148"/>
      <c r="AF45" s="148"/>
      <c r="AG45" s="148"/>
      <c r="AH45" s="155"/>
      <c r="AI45" s="148"/>
      <c r="AJ45" s="155"/>
      <c r="AK45" s="155"/>
      <c r="AL45" s="150"/>
      <c r="AM45" s="148"/>
      <c r="AN45" s="148"/>
      <c r="AO45" s="148"/>
      <c r="AP45" s="148"/>
      <c r="AQ45" s="155"/>
      <c r="AR45" s="148"/>
      <c r="AS45" s="148"/>
      <c r="AT45" s="148"/>
      <c r="AU45" s="148"/>
      <c r="AV45" s="153"/>
      <c r="AW45" s="148"/>
      <c r="AX45" s="148"/>
      <c r="AY45" s="155"/>
      <c r="AZ45" s="148"/>
      <c r="BA45" s="148"/>
      <c r="BB45" s="148"/>
      <c r="BC45" s="150"/>
      <c r="BD45" s="148"/>
      <c r="BE45" s="147" t="str">
        <f aca="true">IF($AC45="","",IF($AD45&lt;=0,"Recu integralement",IF(AND($AU45&lt;&gt;"",$AU45&lt;=TODAY()),"Relance necessaire",IF(AND($U45&lt;&gt;"",$T45="",$U45&lt;TODAY()),"Retard",IF($AD45&gt;0.5*$AC45,"Vigilance","Normal")))))</f>
        <v/>
      </c>
      <c r="BF45" s="155"/>
      <c r="BG45" s="151" t="str">
        <f aca="false">IF($D45="","",COUNTIFS($D$39:$D45,$D45))</f>
        <v/>
      </c>
      <c r="BH45" s="151" t="str">
        <f aca="false">IF($H45="","",COUNTIFS($H$39:$H45,$H45))</f>
        <v/>
      </c>
    </row>
    <row r="46" customFormat="false" ht="15" hidden="false" customHeight="true" outlineLevel="0" collapsed="false">
      <c r="A46" s="147" t="str">
        <f aca="false">IF($O46="","","REC"&amp;TEXT(ROW()-38,"00000"))</f>
        <v/>
      </c>
      <c r="B46" s="148"/>
      <c r="C46" s="148"/>
      <c r="D46" s="148"/>
      <c r="E46" s="149" t="n">
        <f aca="false">IFERROR(INDEX(DONATEURS!$B$56:$B$205,MATCH($D46,DONATEURS!$A$56:$A$205,0)),"")</f>
        <v>0</v>
      </c>
      <c r="F46" s="149" t="n">
        <f aca="false">IFERROR(INDEX(DONATEURS!$E$56:$E$205,MATCH($D46,DONATEURS!$A$56:$A$205,0)),"")</f>
        <v>0</v>
      </c>
      <c r="G46" s="149" t="n">
        <f aca="false">IFERROR(INDEX(DONATEURS!$G$56:$G$205,MATCH($D46,DONATEURS!$A$56:$A$205,0)),"")</f>
        <v>0</v>
      </c>
      <c r="H46" s="148"/>
      <c r="I46" s="149" t="n">
        <f aca="false">IFERROR(INDEX(PROJETS!$C$56:$C$95,MATCH($H46,PROJETS!$A$56:$A$95,0)),"")</f>
        <v>0</v>
      </c>
      <c r="J46" s="149" t="n">
        <f aca="false">IFERROR(INDEX(PROJETS!$J$56:$J$95,MATCH($H46,PROJETS!$A$56:$A$95,0)),"")</f>
        <v>0</v>
      </c>
      <c r="K46" s="149" t="n">
        <f aca="false">IFERROR(INDEX(PROJETS!$N$56:$N$95,MATCH($H46,PROJETS!$A$56:$A$95,0)),"")</f>
        <v>0</v>
      </c>
      <c r="L46" s="148"/>
      <c r="M46" s="149" t="n">
        <f aca="false">IFERROR(INDEX(ACTIVITES!$G$56:$G$105,MATCH($L46,ACTIVITES!$A$56:$A$105,0)),"")</f>
        <v>0</v>
      </c>
      <c r="N46" s="148"/>
      <c r="O46" s="148"/>
      <c r="P46" s="148"/>
      <c r="Q46" s="148"/>
      <c r="R46" s="148"/>
      <c r="S46" s="148"/>
      <c r="T46" s="150"/>
      <c r="U46" s="150"/>
      <c r="V46" s="151" t="str">
        <f aca="false">IF($T46="","",YEAR($T46))</f>
        <v/>
      </c>
      <c r="W46" s="147" t="str">
        <f aca="false">IF($T46="","","T"&amp;ROUNDUP(MONTH($T46)/3,0))</f>
        <v/>
      </c>
      <c r="X46" s="147" t="str">
        <f aca="false">IF($T46="","",TEXT($T46,"mmmm"))</f>
        <v/>
      </c>
      <c r="Y46" s="148"/>
      <c r="Z46" s="152"/>
      <c r="AA46" s="153"/>
      <c r="AB46" s="154" t="str">
        <f aca="false">IF($AA46="","",IF(OR($Y46="FCFA",$Y46=""),$AA46,$AA46*IF($Z46="",1,$Z46)))</f>
        <v/>
      </c>
      <c r="AC46" s="153"/>
      <c r="AD46" s="154" t="str">
        <f aca="false">IF($AC46="","",MAX($AC46-IF($AB46="",0,$AB46),0))</f>
        <v/>
      </c>
      <c r="AE46" s="148"/>
      <c r="AF46" s="148"/>
      <c r="AG46" s="148"/>
      <c r="AH46" s="155"/>
      <c r="AI46" s="148"/>
      <c r="AJ46" s="155"/>
      <c r="AK46" s="155"/>
      <c r="AL46" s="150"/>
      <c r="AM46" s="148"/>
      <c r="AN46" s="148"/>
      <c r="AO46" s="148"/>
      <c r="AP46" s="148"/>
      <c r="AQ46" s="155"/>
      <c r="AR46" s="148"/>
      <c r="AS46" s="148"/>
      <c r="AT46" s="148"/>
      <c r="AU46" s="148"/>
      <c r="AV46" s="153"/>
      <c r="AW46" s="148"/>
      <c r="AX46" s="148"/>
      <c r="AY46" s="155"/>
      <c r="AZ46" s="148"/>
      <c r="BA46" s="148"/>
      <c r="BB46" s="148"/>
      <c r="BC46" s="150"/>
      <c r="BD46" s="148"/>
      <c r="BE46" s="147" t="str">
        <f aca="true">IF($AC46="","",IF($AD46&lt;=0,"Recu integralement",IF(AND($AU46&lt;&gt;"",$AU46&lt;=TODAY()),"Relance necessaire",IF(AND($U46&lt;&gt;"",$T46="",$U46&lt;TODAY()),"Retard",IF($AD46&gt;0.5*$AC46,"Vigilance","Normal")))))</f>
        <v/>
      </c>
      <c r="BF46" s="155"/>
      <c r="BG46" s="151" t="str">
        <f aca="false">IF($D46="","",COUNTIFS($D$39:$D46,$D46))</f>
        <v/>
      </c>
      <c r="BH46" s="151" t="str">
        <f aca="false">IF($H46="","",COUNTIFS($H$39:$H46,$H46))</f>
        <v/>
      </c>
    </row>
    <row r="47" customFormat="false" ht="15" hidden="false" customHeight="true" outlineLevel="0" collapsed="false">
      <c r="A47" s="147" t="str">
        <f aca="false">IF($O47="","","REC"&amp;TEXT(ROW()-38,"00000"))</f>
        <v/>
      </c>
      <c r="B47" s="148"/>
      <c r="C47" s="148"/>
      <c r="D47" s="148"/>
      <c r="E47" s="149" t="n">
        <f aca="false">IFERROR(INDEX(DONATEURS!$B$56:$B$205,MATCH($D47,DONATEURS!$A$56:$A$205,0)),"")</f>
        <v>0</v>
      </c>
      <c r="F47" s="149" t="n">
        <f aca="false">IFERROR(INDEX(DONATEURS!$E$56:$E$205,MATCH($D47,DONATEURS!$A$56:$A$205,0)),"")</f>
        <v>0</v>
      </c>
      <c r="G47" s="149" t="n">
        <f aca="false">IFERROR(INDEX(DONATEURS!$G$56:$G$205,MATCH($D47,DONATEURS!$A$56:$A$205,0)),"")</f>
        <v>0</v>
      </c>
      <c r="H47" s="148"/>
      <c r="I47" s="149" t="n">
        <f aca="false">IFERROR(INDEX(PROJETS!$C$56:$C$95,MATCH($H47,PROJETS!$A$56:$A$95,0)),"")</f>
        <v>0</v>
      </c>
      <c r="J47" s="149" t="n">
        <f aca="false">IFERROR(INDEX(PROJETS!$J$56:$J$95,MATCH($H47,PROJETS!$A$56:$A$95,0)),"")</f>
        <v>0</v>
      </c>
      <c r="K47" s="149" t="n">
        <f aca="false">IFERROR(INDEX(PROJETS!$N$56:$N$95,MATCH($H47,PROJETS!$A$56:$A$95,0)),"")</f>
        <v>0</v>
      </c>
      <c r="L47" s="148"/>
      <c r="M47" s="149" t="n">
        <f aca="false">IFERROR(INDEX(ACTIVITES!$G$56:$G$105,MATCH($L47,ACTIVITES!$A$56:$A$105,0)),"")</f>
        <v>0</v>
      </c>
      <c r="N47" s="148"/>
      <c r="O47" s="148"/>
      <c r="P47" s="148"/>
      <c r="Q47" s="148"/>
      <c r="R47" s="148"/>
      <c r="S47" s="148"/>
      <c r="T47" s="150"/>
      <c r="U47" s="150"/>
      <c r="V47" s="151" t="str">
        <f aca="false">IF($T47="","",YEAR($T47))</f>
        <v/>
      </c>
      <c r="W47" s="147" t="str">
        <f aca="false">IF($T47="","","T"&amp;ROUNDUP(MONTH($T47)/3,0))</f>
        <v/>
      </c>
      <c r="X47" s="147" t="str">
        <f aca="false">IF($T47="","",TEXT($T47,"mmmm"))</f>
        <v/>
      </c>
      <c r="Y47" s="148"/>
      <c r="Z47" s="152"/>
      <c r="AA47" s="153"/>
      <c r="AB47" s="154" t="str">
        <f aca="false">IF($AA47="","",IF(OR($Y47="FCFA",$Y47=""),$AA47,$AA47*IF($Z47="",1,$Z47)))</f>
        <v/>
      </c>
      <c r="AC47" s="153"/>
      <c r="AD47" s="154" t="str">
        <f aca="false">IF($AC47="","",MAX($AC47-IF($AB47="",0,$AB47),0))</f>
        <v/>
      </c>
      <c r="AE47" s="148"/>
      <c r="AF47" s="148"/>
      <c r="AG47" s="148"/>
      <c r="AH47" s="155"/>
      <c r="AI47" s="148"/>
      <c r="AJ47" s="155"/>
      <c r="AK47" s="155"/>
      <c r="AL47" s="150"/>
      <c r="AM47" s="148"/>
      <c r="AN47" s="148"/>
      <c r="AO47" s="148"/>
      <c r="AP47" s="148"/>
      <c r="AQ47" s="155"/>
      <c r="AR47" s="148"/>
      <c r="AS47" s="148"/>
      <c r="AT47" s="148"/>
      <c r="AU47" s="148"/>
      <c r="AV47" s="153"/>
      <c r="AW47" s="148"/>
      <c r="AX47" s="148"/>
      <c r="AY47" s="155"/>
      <c r="AZ47" s="148"/>
      <c r="BA47" s="148"/>
      <c r="BB47" s="148"/>
      <c r="BC47" s="150"/>
      <c r="BD47" s="148"/>
      <c r="BE47" s="147" t="str">
        <f aca="true">IF($AC47="","",IF($AD47&lt;=0,"Recu integralement",IF(AND($AU47&lt;&gt;"",$AU47&lt;=TODAY()),"Relance necessaire",IF(AND($U47&lt;&gt;"",$T47="",$U47&lt;TODAY()),"Retard",IF($AD47&gt;0.5*$AC47,"Vigilance","Normal")))))</f>
        <v/>
      </c>
      <c r="BF47" s="155"/>
      <c r="BG47" s="151" t="str">
        <f aca="false">IF($D47="","",COUNTIFS($D$39:$D47,$D47))</f>
        <v/>
      </c>
      <c r="BH47" s="151" t="str">
        <f aca="false">IF($H47="","",COUNTIFS($H$39:$H47,$H47))</f>
        <v/>
      </c>
    </row>
    <row r="48" customFormat="false" ht="15" hidden="false" customHeight="true" outlineLevel="0" collapsed="false">
      <c r="A48" s="147" t="str">
        <f aca="false">IF($O48="","","REC"&amp;TEXT(ROW()-38,"00000"))</f>
        <v/>
      </c>
      <c r="B48" s="148"/>
      <c r="C48" s="148"/>
      <c r="D48" s="148"/>
      <c r="E48" s="149" t="n">
        <f aca="false">IFERROR(INDEX(DONATEURS!$B$56:$B$205,MATCH($D48,DONATEURS!$A$56:$A$205,0)),"")</f>
        <v>0</v>
      </c>
      <c r="F48" s="149" t="n">
        <f aca="false">IFERROR(INDEX(DONATEURS!$E$56:$E$205,MATCH($D48,DONATEURS!$A$56:$A$205,0)),"")</f>
        <v>0</v>
      </c>
      <c r="G48" s="149" t="n">
        <f aca="false">IFERROR(INDEX(DONATEURS!$G$56:$G$205,MATCH($D48,DONATEURS!$A$56:$A$205,0)),"")</f>
        <v>0</v>
      </c>
      <c r="H48" s="148"/>
      <c r="I48" s="149" t="n">
        <f aca="false">IFERROR(INDEX(PROJETS!$C$56:$C$95,MATCH($H48,PROJETS!$A$56:$A$95,0)),"")</f>
        <v>0</v>
      </c>
      <c r="J48" s="149" t="n">
        <f aca="false">IFERROR(INDEX(PROJETS!$J$56:$J$95,MATCH($H48,PROJETS!$A$56:$A$95,0)),"")</f>
        <v>0</v>
      </c>
      <c r="K48" s="149" t="n">
        <f aca="false">IFERROR(INDEX(PROJETS!$N$56:$N$95,MATCH($H48,PROJETS!$A$56:$A$95,0)),"")</f>
        <v>0</v>
      </c>
      <c r="L48" s="148"/>
      <c r="M48" s="149" t="n">
        <f aca="false">IFERROR(INDEX(ACTIVITES!$G$56:$G$105,MATCH($L48,ACTIVITES!$A$56:$A$105,0)),"")</f>
        <v>0</v>
      </c>
      <c r="N48" s="148"/>
      <c r="O48" s="148"/>
      <c r="P48" s="148"/>
      <c r="Q48" s="148"/>
      <c r="R48" s="148"/>
      <c r="S48" s="148"/>
      <c r="T48" s="150"/>
      <c r="U48" s="150"/>
      <c r="V48" s="151" t="str">
        <f aca="false">IF($T48="","",YEAR($T48))</f>
        <v/>
      </c>
      <c r="W48" s="147" t="str">
        <f aca="false">IF($T48="","","T"&amp;ROUNDUP(MONTH($T48)/3,0))</f>
        <v/>
      </c>
      <c r="X48" s="147" t="str">
        <f aca="false">IF($T48="","",TEXT($T48,"mmmm"))</f>
        <v/>
      </c>
      <c r="Y48" s="148"/>
      <c r="Z48" s="152"/>
      <c r="AA48" s="153"/>
      <c r="AB48" s="154" t="str">
        <f aca="false">IF($AA48="","",IF(OR($Y48="FCFA",$Y48=""),$AA48,$AA48*IF($Z48="",1,$Z48)))</f>
        <v/>
      </c>
      <c r="AC48" s="153"/>
      <c r="AD48" s="154" t="str">
        <f aca="false">IF($AC48="","",MAX($AC48-IF($AB48="",0,$AB48),0))</f>
        <v/>
      </c>
      <c r="AE48" s="148"/>
      <c r="AF48" s="148"/>
      <c r="AG48" s="148"/>
      <c r="AH48" s="155"/>
      <c r="AI48" s="148"/>
      <c r="AJ48" s="155"/>
      <c r="AK48" s="155"/>
      <c r="AL48" s="150"/>
      <c r="AM48" s="148"/>
      <c r="AN48" s="148"/>
      <c r="AO48" s="148"/>
      <c r="AP48" s="148"/>
      <c r="AQ48" s="155"/>
      <c r="AR48" s="148"/>
      <c r="AS48" s="148"/>
      <c r="AT48" s="148"/>
      <c r="AU48" s="148"/>
      <c r="AV48" s="153"/>
      <c r="AW48" s="148"/>
      <c r="AX48" s="148"/>
      <c r="AY48" s="155"/>
      <c r="AZ48" s="148"/>
      <c r="BA48" s="148"/>
      <c r="BB48" s="148"/>
      <c r="BC48" s="150"/>
      <c r="BD48" s="148"/>
      <c r="BE48" s="147" t="str">
        <f aca="true">IF($AC48="","",IF($AD48&lt;=0,"Recu integralement",IF(AND($AU48&lt;&gt;"",$AU48&lt;=TODAY()),"Relance necessaire",IF(AND($U48&lt;&gt;"",$T48="",$U48&lt;TODAY()),"Retard",IF($AD48&gt;0.5*$AC48,"Vigilance","Normal")))))</f>
        <v/>
      </c>
      <c r="BF48" s="155"/>
      <c r="BG48" s="151" t="str">
        <f aca="false">IF($D48="","",COUNTIFS($D$39:$D48,$D48))</f>
        <v/>
      </c>
      <c r="BH48" s="151" t="str">
        <f aca="false">IF($H48="","",COUNTIFS($H$39:$H48,$H48))</f>
        <v/>
      </c>
    </row>
    <row r="49" customFormat="false" ht="15" hidden="false" customHeight="true" outlineLevel="0" collapsed="false">
      <c r="A49" s="147" t="str">
        <f aca="false">IF($O49="","","REC"&amp;TEXT(ROW()-38,"00000"))</f>
        <v/>
      </c>
      <c r="B49" s="148"/>
      <c r="C49" s="148"/>
      <c r="D49" s="148"/>
      <c r="E49" s="149" t="n">
        <f aca="false">IFERROR(INDEX(DONATEURS!$B$56:$B$205,MATCH($D49,DONATEURS!$A$56:$A$205,0)),"")</f>
        <v>0</v>
      </c>
      <c r="F49" s="149" t="n">
        <f aca="false">IFERROR(INDEX(DONATEURS!$E$56:$E$205,MATCH($D49,DONATEURS!$A$56:$A$205,0)),"")</f>
        <v>0</v>
      </c>
      <c r="G49" s="149" t="n">
        <f aca="false">IFERROR(INDEX(DONATEURS!$G$56:$G$205,MATCH($D49,DONATEURS!$A$56:$A$205,0)),"")</f>
        <v>0</v>
      </c>
      <c r="H49" s="148"/>
      <c r="I49" s="149" t="n">
        <f aca="false">IFERROR(INDEX(PROJETS!$C$56:$C$95,MATCH($H49,PROJETS!$A$56:$A$95,0)),"")</f>
        <v>0</v>
      </c>
      <c r="J49" s="149" t="n">
        <f aca="false">IFERROR(INDEX(PROJETS!$J$56:$J$95,MATCH($H49,PROJETS!$A$56:$A$95,0)),"")</f>
        <v>0</v>
      </c>
      <c r="K49" s="149" t="n">
        <f aca="false">IFERROR(INDEX(PROJETS!$N$56:$N$95,MATCH($H49,PROJETS!$A$56:$A$95,0)),"")</f>
        <v>0</v>
      </c>
      <c r="L49" s="148"/>
      <c r="M49" s="149" t="n">
        <f aca="false">IFERROR(INDEX(ACTIVITES!$G$56:$G$105,MATCH($L49,ACTIVITES!$A$56:$A$105,0)),"")</f>
        <v>0</v>
      </c>
      <c r="N49" s="148"/>
      <c r="O49" s="148"/>
      <c r="P49" s="148"/>
      <c r="Q49" s="148"/>
      <c r="R49" s="148"/>
      <c r="S49" s="148"/>
      <c r="T49" s="150"/>
      <c r="U49" s="150"/>
      <c r="V49" s="151" t="str">
        <f aca="false">IF($T49="","",YEAR($T49))</f>
        <v/>
      </c>
      <c r="W49" s="147" t="str">
        <f aca="false">IF($T49="","","T"&amp;ROUNDUP(MONTH($T49)/3,0))</f>
        <v/>
      </c>
      <c r="X49" s="147" t="str">
        <f aca="false">IF($T49="","",TEXT($T49,"mmmm"))</f>
        <v/>
      </c>
      <c r="Y49" s="148"/>
      <c r="Z49" s="152"/>
      <c r="AA49" s="153"/>
      <c r="AB49" s="154" t="str">
        <f aca="false">IF($AA49="","",IF(OR($Y49="FCFA",$Y49=""),$AA49,$AA49*IF($Z49="",1,$Z49)))</f>
        <v/>
      </c>
      <c r="AC49" s="153"/>
      <c r="AD49" s="154" t="str">
        <f aca="false">IF($AC49="","",MAX($AC49-IF($AB49="",0,$AB49),0))</f>
        <v/>
      </c>
      <c r="AE49" s="148"/>
      <c r="AF49" s="148"/>
      <c r="AG49" s="148"/>
      <c r="AH49" s="155"/>
      <c r="AI49" s="148"/>
      <c r="AJ49" s="155"/>
      <c r="AK49" s="155"/>
      <c r="AL49" s="150"/>
      <c r="AM49" s="148"/>
      <c r="AN49" s="148"/>
      <c r="AO49" s="148"/>
      <c r="AP49" s="148"/>
      <c r="AQ49" s="155"/>
      <c r="AR49" s="148"/>
      <c r="AS49" s="148"/>
      <c r="AT49" s="148"/>
      <c r="AU49" s="148"/>
      <c r="AV49" s="153"/>
      <c r="AW49" s="148"/>
      <c r="AX49" s="148"/>
      <c r="AY49" s="155"/>
      <c r="AZ49" s="148"/>
      <c r="BA49" s="148"/>
      <c r="BB49" s="148"/>
      <c r="BC49" s="150"/>
      <c r="BD49" s="148"/>
      <c r="BE49" s="147" t="str">
        <f aca="true">IF($AC49="","",IF($AD49&lt;=0,"Recu integralement",IF(AND($AU49&lt;&gt;"",$AU49&lt;=TODAY()),"Relance necessaire",IF(AND($U49&lt;&gt;"",$T49="",$U49&lt;TODAY()),"Retard",IF($AD49&gt;0.5*$AC49,"Vigilance","Normal")))))</f>
        <v/>
      </c>
      <c r="BF49" s="155"/>
      <c r="BG49" s="151" t="str">
        <f aca="false">IF($D49="","",COUNTIFS($D$39:$D49,$D49))</f>
        <v/>
      </c>
      <c r="BH49" s="151" t="str">
        <f aca="false">IF($H49="","",COUNTIFS($H$39:$H49,$H49))</f>
        <v/>
      </c>
    </row>
    <row r="50" customFormat="false" ht="15" hidden="false" customHeight="true" outlineLevel="0" collapsed="false">
      <c r="A50" s="147" t="str">
        <f aca="false">IF($O50="","","REC"&amp;TEXT(ROW()-38,"00000"))</f>
        <v/>
      </c>
      <c r="B50" s="148"/>
      <c r="C50" s="148"/>
      <c r="D50" s="148"/>
      <c r="E50" s="149" t="n">
        <f aca="false">IFERROR(INDEX(DONATEURS!$B$56:$B$205,MATCH($D50,DONATEURS!$A$56:$A$205,0)),"")</f>
        <v>0</v>
      </c>
      <c r="F50" s="149" t="n">
        <f aca="false">IFERROR(INDEX(DONATEURS!$E$56:$E$205,MATCH($D50,DONATEURS!$A$56:$A$205,0)),"")</f>
        <v>0</v>
      </c>
      <c r="G50" s="149" t="n">
        <f aca="false">IFERROR(INDEX(DONATEURS!$G$56:$G$205,MATCH($D50,DONATEURS!$A$56:$A$205,0)),"")</f>
        <v>0</v>
      </c>
      <c r="H50" s="148"/>
      <c r="I50" s="149" t="n">
        <f aca="false">IFERROR(INDEX(PROJETS!$C$56:$C$95,MATCH($H50,PROJETS!$A$56:$A$95,0)),"")</f>
        <v>0</v>
      </c>
      <c r="J50" s="149" t="n">
        <f aca="false">IFERROR(INDEX(PROJETS!$J$56:$J$95,MATCH($H50,PROJETS!$A$56:$A$95,0)),"")</f>
        <v>0</v>
      </c>
      <c r="K50" s="149" t="n">
        <f aca="false">IFERROR(INDEX(PROJETS!$N$56:$N$95,MATCH($H50,PROJETS!$A$56:$A$95,0)),"")</f>
        <v>0</v>
      </c>
      <c r="L50" s="148"/>
      <c r="M50" s="149" t="n">
        <f aca="false">IFERROR(INDEX(ACTIVITES!$G$56:$G$105,MATCH($L50,ACTIVITES!$A$56:$A$105,0)),"")</f>
        <v>0</v>
      </c>
      <c r="N50" s="148"/>
      <c r="O50" s="148"/>
      <c r="P50" s="148"/>
      <c r="Q50" s="148"/>
      <c r="R50" s="148"/>
      <c r="S50" s="148"/>
      <c r="T50" s="150"/>
      <c r="U50" s="150"/>
      <c r="V50" s="151" t="str">
        <f aca="false">IF($T50="","",YEAR($T50))</f>
        <v/>
      </c>
      <c r="W50" s="147" t="str">
        <f aca="false">IF($T50="","","T"&amp;ROUNDUP(MONTH($T50)/3,0))</f>
        <v/>
      </c>
      <c r="X50" s="147" t="str">
        <f aca="false">IF($T50="","",TEXT($T50,"mmmm"))</f>
        <v/>
      </c>
      <c r="Y50" s="148"/>
      <c r="Z50" s="152"/>
      <c r="AA50" s="153"/>
      <c r="AB50" s="154" t="str">
        <f aca="false">IF($AA50="","",IF(OR($Y50="FCFA",$Y50=""),$AA50,$AA50*IF($Z50="",1,$Z50)))</f>
        <v/>
      </c>
      <c r="AC50" s="153"/>
      <c r="AD50" s="154" t="str">
        <f aca="false">IF($AC50="","",MAX($AC50-IF($AB50="",0,$AB50),0))</f>
        <v/>
      </c>
      <c r="AE50" s="148"/>
      <c r="AF50" s="148"/>
      <c r="AG50" s="148"/>
      <c r="AH50" s="155"/>
      <c r="AI50" s="148"/>
      <c r="AJ50" s="155"/>
      <c r="AK50" s="155"/>
      <c r="AL50" s="150"/>
      <c r="AM50" s="148"/>
      <c r="AN50" s="148"/>
      <c r="AO50" s="148"/>
      <c r="AP50" s="148"/>
      <c r="AQ50" s="155"/>
      <c r="AR50" s="148"/>
      <c r="AS50" s="148"/>
      <c r="AT50" s="148"/>
      <c r="AU50" s="148"/>
      <c r="AV50" s="153"/>
      <c r="AW50" s="148"/>
      <c r="AX50" s="148"/>
      <c r="AY50" s="155"/>
      <c r="AZ50" s="148"/>
      <c r="BA50" s="148"/>
      <c r="BB50" s="148"/>
      <c r="BC50" s="150"/>
      <c r="BD50" s="148"/>
      <c r="BE50" s="147" t="str">
        <f aca="true">IF($AC50="","",IF($AD50&lt;=0,"Recu integralement",IF(AND($AU50&lt;&gt;"",$AU50&lt;=TODAY()),"Relance necessaire",IF(AND($U50&lt;&gt;"",$T50="",$U50&lt;TODAY()),"Retard",IF($AD50&gt;0.5*$AC50,"Vigilance","Normal")))))</f>
        <v/>
      </c>
      <c r="BF50" s="155"/>
      <c r="BG50" s="151" t="str">
        <f aca="false">IF($D50="","",COUNTIFS($D$39:$D50,$D50))</f>
        <v/>
      </c>
      <c r="BH50" s="151" t="str">
        <f aca="false">IF($H50="","",COUNTIFS($H$39:$H50,$H50))</f>
        <v/>
      </c>
    </row>
    <row r="51" customFormat="false" ht="15" hidden="false" customHeight="true" outlineLevel="0" collapsed="false">
      <c r="A51" s="147" t="str">
        <f aca="false">IF($O51="","","REC"&amp;TEXT(ROW()-38,"00000"))</f>
        <v/>
      </c>
      <c r="B51" s="148"/>
      <c r="C51" s="148"/>
      <c r="D51" s="148"/>
      <c r="E51" s="149" t="n">
        <f aca="false">IFERROR(INDEX(DONATEURS!$B$56:$B$205,MATCH($D51,DONATEURS!$A$56:$A$205,0)),"")</f>
        <v>0</v>
      </c>
      <c r="F51" s="149" t="n">
        <f aca="false">IFERROR(INDEX(DONATEURS!$E$56:$E$205,MATCH($D51,DONATEURS!$A$56:$A$205,0)),"")</f>
        <v>0</v>
      </c>
      <c r="G51" s="149" t="n">
        <f aca="false">IFERROR(INDEX(DONATEURS!$G$56:$G$205,MATCH($D51,DONATEURS!$A$56:$A$205,0)),"")</f>
        <v>0</v>
      </c>
      <c r="H51" s="148"/>
      <c r="I51" s="149" t="n">
        <f aca="false">IFERROR(INDEX(PROJETS!$C$56:$C$95,MATCH($H51,PROJETS!$A$56:$A$95,0)),"")</f>
        <v>0</v>
      </c>
      <c r="J51" s="149" t="n">
        <f aca="false">IFERROR(INDEX(PROJETS!$J$56:$J$95,MATCH($H51,PROJETS!$A$56:$A$95,0)),"")</f>
        <v>0</v>
      </c>
      <c r="K51" s="149" t="n">
        <f aca="false">IFERROR(INDEX(PROJETS!$N$56:$N$95,MATCH($H51,PROJETS!$A$56:$A$95,0)),"")</f>
        <v>0</v>
      </c>
      <c r="L51" s="148"/>
      <c r="M51" s="149" t="n">
        <f aca="false">IFERROR(INDEX(ACTIVITES!$G$56:$G$105,MATCH($L51,ACTIVITES!$A$56:$A$105,0)),"")</f>
        <v>0</v>
      </c>
      <c r="N51" s="148"/>
      <c r="O51" s="148"/>
      <c r="P51" s="148"/>
      <c r="Q51" s="148"/>
      <c r="R51" s="148"/>
      <c r="S51" s="148"/>
      <c r="T51" s="150"/>
      <c r="U51" s="150"/>
      <c r="V51" s="151" t="str">
        <f aca="false">IF($T51="","",YEAR($T51))</f>
        <v/>
      </c>
      <c r="W51" s="147" t="str">
        <f aca="false">IF($T51="","","T"&amp;ROUNDUP(MONTH($T51)/3,0))</f>
        <v/>
      </c>
      <c r="X51" s="147" t="str">
        <f aca="false">IF($T51="","",TEXT($T51,"mmmm"))</f>
        <v/>
      </c>
      <c r="Y51" s="148"/>
      <c r="Z51" s="152"/>
      <c r="AA51" s="153"/>
      <c r="AB51" s="154" t="str">
        <f aca="false">IF($AA51="","",IF(OR($Y51="FCFA",$Y51=""),$AA51,$AA51*IF($Z51="",1,$Z51)))</f>
        <v/>
      </c>
      <c r="AC51" s="153"/>
      <c r="AD51" s="154" t="str">
        <f aca="false">IF($AC51="","",MAX($AC51-IF($AB51="",0,$AB51),0))</f>
        <v/>
      </c>
      <c r="AE51" s="148"/>
      <c r="AF51" s="148"/>
      <c r="AG51" s="148"/>
      <c r="AH51" s="155"/>
      <c r="AI51" s="148"/>
      <c r="AJ51" s="155"/>
      <c r="AK51" s="155"/>
      <c r="AL51" s="150"/>
      <c r="AM51" s="148"/>
      <c r="AN51" s="148"/>
      <c r="AO51" s="148"/>
      <c r="AP51" s="148"/>
      <c r="AQ51" s="155"/>
      <c r="AR51" s="148"/>
      <c r="AS51" s="148"/>
      <c r="AT51" s="148"/>
      <c r="AU51" s="148"/>
      <c r="AV51" s="153"/>
      <c r="AW51" s="148"/>
      <c r="AX51" s="148"/>
      <c r="AY51" s="155"/>
      <c r="AZ51" s="148"/>
      <c r="BA51" s="148"/>
      <c r="BB51" s="148"/>
      <c r="BC51" s="150"/>
      <c r="BD51" s="148"/>
      <c r="BE51" s="147" t="str">
        <f aca="true">IF($AC51="","",IF($AD51&lt;=0,"Recu integralement",IF(AND($AU51&lt;&gt;"",$AU51&lt;=TODAY()),"Relance necessaire",IF(AND($U51&lt;&gt;"",$T51="",$U51&lt;TODAY()),"Retard",IF($AD51&gt;0.5*$AC51,"Vigilance","Normal")))))</f>
        <v/>
      </c>
      <c r="BF51" s="155"/>
      <c r="BG51" s="151" t="str">
        <f aca="false">IF($D51="","",COUNTIFS($D$39:$D51,$D51))</f>
        <v/>
      </c>
      <c r="BH51" s="151" t="str">
        <f aca="false">IF($H51="","",COUNTIFS($H$39:$H51,$H51))</f>
        <v/>
      </c>
    </row>
    <row r="52" customFormat="false" ht="15" hidden="false" customHeight="true" outlineLevel="0" collapsed="false">
      <c r="A52" s="147" t="str">
        <f aca="false">IF($O52="","","REC"&amp;TEXT(ROW()-38,"00000"))</f>
        <v/>
      </c>
      <c r="B52" s="148"/>
      <c r="C52" s="148"/>
      <c r="D52" s="148"/>
      <c r="E52" s="149" t="n">
        <f aca="false">IFERROR(INDEX(DONATEURS!$B$56:$B$205,MATCH($D52,DONATEURS!$A$56:$A$205,0)),"")</f>
        <v>0</v>
      </c>
      <c r="F52" s="149" t="n">
        <f aca="false">IFERROR(INDEX(DONATEURS!$E$56:$E$205,MATCH($D52,DONATEURS!$A$56:$A$205,0)),"")</f>
        <v>0</v>
      </c>
      <c r="G52" s="149" t="n">
        <f aca="false">IFERROR(INDEX(DONATEURS!$G$56:$G$205,MATCH($D52,DONATEURS!$A$56:$A$205,0)),"")</f>
        <v>0</v>
      </c>
      <c r="H52" s="148"/>
      <c r="I52" s="149" t="n">
        <f aca="false">IFERROR(INDEX(PROJETS!$C$56:$C$95,MATCH($H52,PROJETS!$A$56:$A$95,0)),"")</f>
        <v>0</v>
      </c>
      <c r="J52" s="149" t="n">
        <f aca="false">IFERROR(INDEX(PROJETS!$J$56:$J$95,MATCH($H52,PROJETS!$A$56:$A$95,0)),"")</f>
        <v>0</v>
      </c>
      <c r="K52" s="149" t="n">
        <f aca="false">IFERROR(INDEX(PROJETS!$N$56:$N$95,MATCH($H52,PROJETS!$A$56:$A$95,0)),"")</f>
        <v>0</v>
      </c>
      <c r="L52" s="148"/>
      <c r="M52" s="149" t="n">
        <f aca="false">IFERROR(INDEX(ACTIVITES!$G$56:$G$105,MATCH($L52,ACTIVITES!$A$56:$A$105,0)),"")</f>
        <v>0</v>
      </c>
      <c r="N52" s="148"/>
      <c r="O52" s="148"/>
      <c r="P52" s="148"/>
      <c r="Q52" s="148"/>
      <c r="R52" s="148"/>
      <c r="S52" s="148"/>
      <c r="T52" s="150"/>
      <c r="U52" s="150"/>
      <c r="V52" s="151" t="str">
        <f aca="false">IF($T52="","",YEAR($T52))</f>
        <v/>
      </c>
      <c r="W52" s="147" t="str">
        <f aca="false">IF($T52="","","T"&amp;ROUNDUP(MONTH($T52)/3,0))</f>
        <v/>
      </c>
      <c r="X52" s="147" t="str">
        <f aca="false">IF($T52="","",TEXT($T52,"mmmm"))</f>
        <v/>
      </c>
      <c r="Y52" s="148"/>
      <c r="Z52" s="152"/>
      <c r="AA52" s="153"/>
      <c r="AB52" s="154" t="str">
        <f aca="false">IF($AA52="","",IF(OR($Y52="FCFA",$Y52=""),$AA52,$AA52*IF($Z52="",1,$Z52)))</f>
        <v/>
      </c>
      <c r="AC52" s="153"/>
      <c r="AD52" s="154" t="str">
        <f aca="false">IF($AC52="","",MAX($AC52-IF($AB52="",0,$AB52),0))</f>
        <v/>
      </c>
      <c r="AE52" s="148"/>
      <c r="AF52" s="148"/>
      <c r="AG52" s="148"/>
      <c r="AH52" s="155"/>
      <c r="AI52" s="148"/>
      <c r="AJ52" s="155"/>
      <c r="AK52" s="155"/>
      <c r="AL52" s="150"/>
      <c r="AM52" s="148"/>
      <c r="AN52" s="148"/>
      <c r="AO52" s="148"/>
      <c r="AP52" s="148"/>
      <c r="AQ52" s="155"/>
      <c r="AR52" s="148"/>
      <c r="AS52" s="148"/>
      <c r="AT52" s="148"/>
      <c r="AU52" s="148"/>
      <c r="AV52" s="153"/>
      <c r="AW52" s="148"/>
      <c r="AX52" s="148"/>
      <c r="AY52" s="155"/>
      <c r="AZ52" s="148"/>
      <c r="BA52" s="148"/>
      <c r="BB52" s="148"/>
      <c r="BC52" s="150"/>
      <c r="BD52" s="148"/>
      <c r="BE52" s="147" t="str">
        <f aca="true">IF($AC52="","",IF($AD52&lt;=0,"Recu integralement",IF(AND($AU52&lt;&gt;"",$AU52&lt;=TODAY()),"Relance necessaire",IF(AND($U52&lt;&gt;"",$T52="",$U52&lt;TODAY()),"Retard",IF($AD52&gt;0.5*$AC52,"Vigilance","Normal")))))</f>
        <v/>
      </c>
      <c r="BF52" s="155"/>
      <c r="BG52" s="151" t="str">
        <f aca="false">IF($D52="","",COUNTIFS($D$39:$D52,$D52))</f>
        <v/>
      </c>
      <c r="BH52" s="151" t="str">
        <f aca="false">IF($H52="","",COUNTIFS($H$39:$H52,$H52))</f>
        <v/>
      </c>
    </row>
    <row r="53" customFormat="false" ht="15" hidden="false" customHeight="true" outlineLevel="0" collapsed="false">
      <c r="A53" s="147" t="str">
        <f aca="false">IF($O53="","","REC"&amp;TEXT(ROW()-38,"00000"))</f>
        <v/>
      </c>
      <c r="B53" s="148"/>
      <c r="C53" s="148"/>
      <c r="D53" s="148"/>
      <c r="E53" s="149" t="n">
        <f aca="false">IFERROR(INDEX(DONATEURS!$B$56:$B$205,MATCH($D53,DONATEURS!$A$56:$A$205,0)),"")</f>
        <v>0</v>
      </c>
      <c r="F53" s="149" t="n">
        <f aca="false">IFERROR(INDEX(DONATEURS!$E$56:$E$205,MATCH($D53,DONATEURS!$A$56:$A$205,0)),"")</f>
        <v>0</v>
      </c>
      <c r="G53" s="149" t="n">
        <f aca="false">IFERROR(INDEX(DONATEURS!$G$56:$G$205,MATCH($D53,DONATEURS!$A$56:$A$205,0)),"")</f>
        <v>0</v>
      </c>
      <c r="H53" s="148"/>
      <c r="I53" s="149" t="n">
        <f aca="false">IFERROR(INDEX(PROJETS!$C$56:$C$95,MATCH($H53,PROJETS!$A$56:$A$95,0)),"")</f>
        <v>0</v>
      </c>
      <c r="J53" s="149" t="n">
        <f aca="false">IFERROR(INDEX(PROJETS!$J$56:$J$95,MATCH($H53,PROJETS!$A$56:$A$95,0)),"")</f>
        <v>0</v>
      </c>
      <c r="K53" s="149" t="n">
        <f aca="false">IFERROR(INDEX(PROJETS!$N$56:$N$95,MATCH($H53,PROJETS!$A$56:$A$95,0)),"")</f>
        <v>0</v>
      </c>
      <c r="L53" s="148"/>
      <c r="M53" s="149" t="n">
        <f aca="false">IFERROR(INDEX(ACTIVITES!$G$56:$G$105,MATCH($L53,ACTIVITES!$A$56:$A$105,0)),"")</f>
        <v>0</v>
      </c>
      <c r="N53" s="148"/>
      <c r="O53" s="148"/>
      <c r="P53" s="148"/>
      <c r="Q53" s="148"/>
      <c r="R53" s="148"/>
      <c r="S53" s="148"/>
      <c r="T53" s="150"/>
      <c r="U53" s="150"/>
      <c r="V53" s="151" t="str">
        <f aca="false">IF($T53="","",YEAR($T53))</f>
        <v/>
      </c>
      <c r="W53" s="147" t="str">
        <f aca="false">IF($T53="","","T"&amp;ROUNDUP(MONTH($T53)/3,0))</f>
        <v/>
      </c>
      <c r="X53" s="147" t="str">
        <f aca="false">IF($T53="","",TEXT($T53,"mmmm"))</f>
        <v/>
      </c>
      <c r="Y53" s="148"/>
      <c r="Z53" s="152"/>
      <c r="AA53" s="153"/>
      <c r="AB53" s="154" t="str">
        <f aca="false">IF($AA53="","",IF(OR($Y53="FCFA",$Y53=""),$AA53,$AA53*IF($Z53="",1,$Z53)))</f>
        <v/>
      </c>
      <c r="AC53" s="153"/>
      <c r="AD53" s="154" t="str">
        <f aca="false">IF($AC53="","",MAX($AC53-IF($AB53="",0,$AB53),0))</f>
        <v/>
      </c>
      <c r="AE53" s="148"/>
      <c r="AF53" s="148"/>
      <c r="AG53" s="148"/>
      <c r="AH53" s="155"/>
      <c r="AI53" s="148"/>
      <c r="AJ53" s="155"/>
      <c r="AK53" s="155"/>
      <c r="AL53" s="150"/>
      <c r="AM53" s="148"/>
      <c r="AN53" s="148"/>
      <c r="AO53" s="148"/>
      <c r="AP53" s="148"/>
      <c r="AQ53" s="155"/>
      <c r="AR53" s="148"/>
      <c r="AS53" s="148"/>
      <c r="AT53" s="148"/>
      <c r="AU53" s="148"/>
      <c r="AV53" s="153"/>
      <c r="AW53" s="148"/>
      <c r="AX53" s="148"/>
      <c r="AY53" s="155"/>
      <c r="AZ53" s="148"/>
      <c r="BA53" s="148"/>
      <c r="BB53" s="148"/>
      <c r="BC53" s="150"/>
      <c r="BD53" s="148"/>
      <c r="BE53" s="147" t="str">
        <f aca="true">IF($AC53="","",IF($AD53&lt;=0,"Recu integralement",IF(AND($AU53&lt;&gt;"",$AU53&lt;=TODAY()),"Relance necessaire",IF(AND($U53&lt;&gt;"",$T53="",$U53&lt;TODAY()),"Retard",IF($AD53&gt;0.5*$AC53,"Vigilance","Normal")))))</f>
        <v/>
      </c>
      <c r="BF53" s="155"/>
      <c r="BG53" s="151" t="str">
        <f aca="false">IF($D53="","",COUNTIFS($D$39:$D53,$D53))</f>
        <v/>
      </c>
      <c r="BH53" s="151" t="str">
        <f aca="false">IF($H53="","",COUNTIFS($H$39:$H53,$H53))</f>
        <v/>
      </c>
    </row>
    <row r="54" customFormat="false" ht="15" hidden="false" customHeight="true" outlineLevel="0" collapsed="false">
      <c r="A54" s="147" t="str">
        <f aca="false">IF($O54="","","REC"&amp;TEXT(ROW()-38,"00000"))</f>
        <v/>
      </c>
      <c r="B54" s="148"/>
      <c r="C54" s="148"/>
      <c r="D54" s="148"/>
      <c r="E54" s="149" t="n">
        <f aca="false">IFERROR(INDEX(DONATEURS!$B$56:$B$205,MATCH($D54,DONATEURS!$A$56:$A$205,0)),"")</f>
        <v>0</v>
      </c>
      <c r="F54" s="149" t="n">
        <f aca="false">IFERROR(INDEX(DONATEURS!$E$56:$E$205,MATCH($D54,DONATEURS!$A$56:$A$205,0)),"")</f>
        <v>0</v>
      </c>
      <c r="G54" s="149" t="n">
        <f aca="false">IFERROR(INDEX(DONATEURS!$G$56:$G$205,MATCH($D54,DONATEURS!$A$56:$A$205,0)),"")</f>
        <v>0</v>
      </c>
      <c r="H54" s="148"/>
      <c r="I54" s="149" t="n">
        <f aca="false">IFERROR(INDEX(PROJETS!$C$56:$C$95,MATCH($H54,PROJETS!$A$56:$A$95,0)),"")</f>
        <v>0</v>
      </c>
      <c r="J54" s="149" t="n">
        <f aca="false">IFERROR(INDEX(PROJETS!$J$56:$J$95,MATCH($H54,PROJETS!$A$56:$A$95,0)),"")</f>
        <v>0</v>
      </c>
      <c r="K54" s="149" t="n">
        <f aca="false">IFERROR(INDEX(PROJETS!$N$56:$N$95,MATCH($H54,PROJETS!$A$56:$A$95,0)),"")</f>
        <v>0</v>
      </c>
      <c r="L54" s="148"/>
      <c r="M54" s="149" t="n">
        <f aca="false">IFERROR(INDEX(ACTIVITES!$G$56:$G$105,MATCH($L54,ACTIVITES!$A$56:$A$105,0)),"")</f>
        <v>0</v>
      </c>
      <c r="N54" s="148"/>
      <c r="O54" s="148"/>
      <c r="P54" s="148"/>
      <c r="Q54" s="148"/>
      <c r="R54" s="148"/>
      <c r="S54" s="148"/>
      <c r="T54" s="150"/>
      <c r="U54" s="150"/>
      <c r="V54" s="151" t="str">
        <f aca="false">IF($T54="","",YEAR($T54))</f>
        <v/>
      </c>
      <c r="W54" s="147" t="str">
        <f aca="false">IF($T54="","","T"&amp;ROUNDUP(MONTH($T54)/3,0))</f>
        <v/>
      </c>
      <c r="X54" s="147" t="str">
        <f aca="false">IF($T54="","",TEXT($T54,"mmmm"))</f>
        <v/>
      </c>
      <c r="Y54" s="148"/>
      <c r="Z54" s="152"/>
      <c r="AA54" s="153"/>
      <c r="AB54" s="154" t="str">
        <f aca="false">IF($AA54="","",IF(OR($Y54="FCFA",$Y54=""),$AA54,$AA54*IF($Z54="",1,$Z54)))</f>
        <v/>
      </c>
      <c r="AC54" s="153"/>
      <c r="AD54" s="154" t="str">
        <f aca="false">IF($AC54="","",MAX($AC54-IF($AB54="",0,$AB54),0))</f>
        <v/>
      </c>
      <c r="AE54" s="148"/>
      <c r="AF54" s="148"/>
      <c r="AG54" s="148"/>
      <c r="AH54" s="155"/>
      <c r="AI54" s="148"/>
      <c r="AJ54" s="155"/>
      <c r="AK54" s="155"/>
      <c r="AL54" s="150"/>
      <c r="AM54" s="148"/>
      <c r="AN54" s="148"/>
      <c r="AO54" s="148"/>
      <c r="AP54" s="148"/>
      <c r="AQ54" s="155"/>
      <c r="AR54" s="148"/>
      <c r="AS54" s="148"/>
      <c r="AT54" s="148"/>
      <c r="AU54" s="148"/>
      <c r="AV54" s="153"/>
      <c r="AW54" s="148"/>
      <c r="AX54" s="148"/>
      <c r="AY54" s="155"/>
      <c r="AZ54" s="148"/>
      <c r="BA54" s="148"/>
      <c r="BB54" s="148"/>
      <c r="BC54" s="150"/>
      <c r="BD54" s="148"/>
      <c r="BE54" s="147" t="str">
        <f aca="true">IF($AC54="","",IF($AD54&lt;=0,"Recu integralement",IF(AND($AU54&lt;&gt;"",$AU54&lt;=TODAY()),"Relance necessaire",IF(AND($U54&lt;&gt;"",$T54="",$U54&lt;TODAY()),"Retard",IF($AD54&gt;0.5*$AC54,"Vigilance","Normal")))))</f>
        <v/>
      </c>
      <c r="BF54" s="155"/>
      <c r="BG54" s="151" t="str">
        <f aca="false">IF($D54="","",COUNTIFS($D$39:$D54,$D54))</f>
        <v/>
      </c>
      <c r="BH54" s="151" t="str">
        <f aca="false">IF($H54="","",COUNTIFS($H$39:$H54,$H54))</f>
        <v/>
      </c>
    </row>
    <row r="55" customFormat="false" ht="15" hidden="false" customHeight="true" outlineLevel="0" collapsed="false">
      <c r="A55" s="147" t="str">
        <f aca="false">IF($O55="","","REC"&amp;TEXT(ROW()-38,"00000"))</f>
        <v/>
      </c>
      <c r="B55" s="148"/>
      <c r="C55" s="148"/>
      <c r="D55" s="148"/>
      <c r="E55" s="149" t="n">
        <f aca="false">IFERROR(INDEX(DONATEURS!$B$56:$B$205,MATCH($D55,DONATEURS!$A$56:$A$205,0)),"")</f>
        <v>0</v>
      </c>
      <c r="F55" s="149" t="n">
        <f aca="false">IFERROR(INDEX(DONATEURS!$E$56:$E$205,MATCH($D55,DONATEURS!$A$56:$A$205,0)),"")</f>
        <v>0</v>
      </c>
      <c r="G55" s="149" t="n">
        <f aca="false">IFERROR(INDEX(DONATEURS!$G$56:$G$205,MATCH($D55,DONATEURS!$A$56:$A$205,0)),"")</f>
        <v>0</v>
      </c>
      <c r="H55" s="148"/>
      <c r="I55" s="149" t="n">
        <f aca="false">IFERROR(INDEX(PROJETS!$C$56:$C$95,MATCH($H55,PROJETS!$A$56:$A$95,0)),"")</f>
        <v>0</v>
      </c>
      <c r="J55" s="149" t="n">
        <f aca="false">IFERROR(INDEX(PROJETS!$J$56:$J$95,MATCH($H55,PROJETS!$A$56:$A$95,0)),"")</f>
        <v>0</v>
      </c>
      <c r="K55" s="149" t="n">
        <f aca="false">IFERROR(INDEX(PROJETS!$N$56:$N$95,MATCH($H55,PROJETS!$A$56:$A$95,0)),"")</f>
        <v>0</v>
      </c>
      <c r="L55" s="148"/>
      <c r="M55" s="149" t="n">
        <f aca="false">IFERROR(INDEX(ACTIVITES!$G$56:$G$105,MATCH($L55,ACTIVITES!$A$56:$A$105,0)),"")</f>
        <v>0</v>
      </c>
      <c r="N55" s="148"/>
      <c r="O55" s="148"/>
      <c r="P55" s="148"/>
      <c r="Q55" s="148"/>
      <c r="R55" s="148"/>
      <c r="S55" s="148"/>
      <c r="T55" s="150"/>
      <c r="U55" s="150"/>
      <c r="V55" s="151" t="str">
        <f aca="false">IF($T55="","",YEAR($T55))</f>
        <v/>
      </c>
      <c r="W55" s="147" t="str">
        <f aca="false">IF($T55="","","T"&amp;ROUNDUP(MONTH($T55)/3,0))</f>
        <v/>
      </c>
      <c r="X55" s="147" t="str">
        <f aca="false">IF($T55="","",TEXT($T55,"mmmm"))</f>
        <v/>
      </c>
      <c r="Y55" s="148"/>
      <c r="Z55" s="152"/>
      <c r="AA55" s="153"/>
      <c r="AB55" s="154" t="str">
        <f aca="false">IF($AA55="","",IF(OR($Y55="FCFA",$Y55=""),$AA55,$AA55*IF($Z55="",1,$Z55)))</f>
        <v/>
      </c>
      <c r="AC55" s="153"/>
      <c r="AD55" s="154" t="str">
        <f aca="false">IF($AC55="","",MAX($AC55-IF($AB55="",0,$AB55),0))</f>
        <v/>
      </c>
      <c r="AE55" s="148"/>
      <c r="AF55" s="148"/>
      <c r="AG55" s="148"/>
      <c r="AH55" s="155"/>
      <c r="AI55" s="148"/>
      <c r="AJ55" s="155"/>
      <c r="AK55" s="155"/>
      <c r="AL55" s="150"/>
      <c r="AM55" s="148"/>
      <c r="AN55" s="148"/>
      <c r="AO55" s="148"/>
      <c r="AP55" s="148"/>
      <c r="AQ55" s="155"/>
      <c r="AR55" s="148"/>
      <c r="AS55" s="148"/>
      <c r="AT55" s="148"/>
      <c r="AU55" s="148"/>
      <c r="AV55" s="153"/>
      <c r="AW55" s="148"/>
      <c r="AX55" s="148"/>
      <c r="AY55" s="155"/>
      <c r="AZ55" s="148"/>
      <c r="BA55" s="148"/>
      <c r="BB55" s="148"/>
      <c r="BC55" s="150"/>
      <c r="BD55" s="148"/>
      <c r="BE55" s="147" t="str">
        <f aca="true">IF($AC55="","",IF($AD55&lt;=0,"Recu integralement",IF(AND($AU55&lt;&gt;"",$AU55&lt;=TODAY()),"Relance necessaire",IF(AND($U55&lt;&gt;"",$T55="",$U55&lt;TODAY()),"Retard",IF($AD55&gt;0.5*$AC55,"Vigilance","Normal")))))</f>
        <v/>
      </c>
      <c r="BF55" s="155"/>
      <c r="BG55" s="151" t="str">
        <f aca="false">IF($D55="","",COUNTIFS($D$39:$D55,$D55))</f>
        <v/>
      </c>
      <c r="BH55" s="151" t="str">
        <f aca="false">IF($H55="","",COUNTIFS($H$39:$H55,$H55))</f>
        <v/>
      </c>
    </row>
    <row r="56" customFormat="false" ht="15" hidden="false" customHeight="true" outlineLevel="0" collapsed="false">
      <c r="A56" s="147" t="str">
        <f aca="false">IF($O56="","","REC"&amp;TEXT(ROW()-38,"00000"))</f>
        <v/>
      </c>
      <c r="B56" s="148"/>
      <c r="C56" s="148"/>
      <c r="D56" s="148"/>
      <c r="E56" s="149" t="n">
        <f aca="false">IFERROR(INDEX(DONATEURS!$B$56:$B$205,MATCH($D56,DONATEURS!$A$56:$A$205,0)),"")</f>
        <v>0</v>
      </c>
      <c r="F56" s="149" t="n">
        <f aca="false">IFERROR(INDEX(DONATEURS!$E$56:$E$205,MATCH($D56,DONATEURS!$A$56:$A$205,0)),"")</f>
        <v>0</v>
      </c>
      <c r="G56" s="149" t="n">
        <f aca="false">IFERROR(INDEX(DONATEURS!$G$56:$G$205,MATCH($D56,DONATEURS!$A$56:$A$205,0)),"")</f>
        <v>0</v>
      </c>
      <c r="H56" s="148"/>
      <c r="I56" s="149" t="n">
        <f aca="false">IFERROR(INDEX(PROJETS!$C$56:$C$95,MATCH($H56,PROJETS!$A$56:$A$95,0)),"")</f>
        <v>0</v>
      </c>
      <c r="J56" s="149" t="n">
        <f aca="false">IFERROR(INDEX(PROJETS!$J$56:$J$95,MATCH($H56,PROJETS!$A$56:$A$95,0)),"")</f>
        <v>0</v>
      </c>
      <c r="K56" s="149" t="n">
        <f aca="false">IFERROR(INDEX(PROJETS!$N$56:$N$95,MATCH($H56,PROJETS!$A$56:$A$95,0)),"")</f>
        <v>0</v>
      </c>
      <c r="L56" s="148"/>
      <c r="M56" s="149" t="n">
        <f aca="false">IFERROR(INDEX(ACTIVITES!$G$56:$G$105,MATCH($L56,ACTIVITES!$A$56:$A$105,0)),"")</f>
        <v>0</v>
      </c>
      <c r="N56" s="148"/>
      <c r="O56" s="148"/>
      <c r="P56" s="148"/>
      <c r="Q56" s="148"/>
      <c r="R56" s="148"/>
      <c r="S56" s="148"/>
      <c r="T56" s="150"/>
      <c r="U56" s="150"/>
      <c r="V56" s="151" t="str">
        <f aca="false">IF($T56="","",YEAR($T56))</f>
        <v/>
      </c>
      <c r="W56" s="147" t="str">
        <f aca="false">IF($T56="","","T"&amp;ROUNDUP(MONTH($T56)/3,0))</f>
        <v/>
      </c>
      <c r="X56" s="147" t="str">
        <f aca="false">IF($T56="","",TEXT($T56,"mmmm"))</f>
        <v/>
      </c>
      <c r="Y56" s="148"/>
      <c r="Z56" s="152"/>
      <c r="AA56" s="153"/>
      <c r="AB56" s="154" t="str">
        <f aca="false">IF($AA56="","",IF(OR($Y56="FCFA",$Y56=""),$AA56,$AA56*IF($Z56="",1,$Z56)))</f>
        <v/>
      </c>
      <c r="AC56" s="153"/>
      <c r="AD56" s="154" t="str">
        <f aca="false">IF($AC56="","",MAX($AC56-IF($AB56="",0,$AB56),0))</f>
        <v/>
      </c>
      <c r="AE56" s="148"/>
      <c r="AF56" s="148"/>
      <c r="AG56" s="148"/>
      <c r="AH56" s="155"/>
      <c r="AI56" s="148"/>
      <c r="AJ56" s="155"/>
      <c r="AK56" s="155"/>
      <c r="AL56" s="150"/>
      <c r="AM56" s="148"/>
      <c r="AN56" s="148"/>
      <c r="AO56" s="148"/>
      <c r="AP56" s="148"/>
      <c r="AQ56" s="155"/>
      <c r="AR56" s="148"/>
      <c r="AS56" s="148"/>
      <c r="AT56" s="148"/>
      <c r="AU56" s="148"/>
      <c r="AV56" s="153"/>
      <c r="AW56" s="148"/>
      <c r="AX56" s="148"/>
      <c r="AY56" s="155"/>
      <c r="AZ56" s="148"/>
      <c r="BA56" s="148"/>
      <c r="BB56" s="148"/>
      <c r="BC56" s="150"/>
      <c r="BD56" s="148"/>
      <c r="BE56" s="147" t="str">
        <f aca="true">IF($AC56="","",IF($AD56&lt;=0,"Recu integralement",IF(AND($AU56&lt;&gt;"",$AU56&lt;=TODAY()),"Relance necessaire",IF(AND($U56&lt;&gt;"",$T56="",$U56&lt;TODAY()),"Retard",IF($AD56&gt;0.5*$AC56,"Vigilance","Normal")))))</f>
        <v/>
      </c>
      <c r="BF56" s="155"/>
      <c r="BG56" s="151" t="str">
        <f aca="false">IF($D56="","",COUNTIFS($D$39:$D56,$D56))</f>
        <v/>
      </c>
      <c r="BH56" s="151" t="str">
        <f aca="false">IF($H56="","",COUNTIFS($H$39:$H56,$H56))</f>
        <v/>
      </c>
    </row>
    <row r="57" customFormat="false" ht="15" hidden="false" customHeight="true" outlineLevel="0" collapsed="false">
      <c r="A57" s="147" t="str">
        <f aca="false">IF($O57="","","REC"&amp;TEXT(ROW()-38,"00000"))</f>
        <v/>
      </c>
      <c r="B57" s="148"/>
      <c r="C57" s="148"/>
      <c r="D57" s="148"/>
      <c r="E57" s="149" t="n">
        <f aca="false">IFERROR(INDEX(DONATEURS!$B$56:$B$205,MATCH($D57,DONATEURS!$A$56:$A$205,0)),"")</f>
        <v>0</v>
      </c>
      <c r="F57" s="149" t="n">
        <f aca="false">IFERROR(INDEX(DONATEURS!$E$56:$E$205,MATCH($D57,DONATEURS!$A$56:$A$205,0)),"")</f>
        <v>0</v>
      </c>
      <c r="G57" s="149" t="n">
        <f aca="false">IFERROR(INDEX(DONATEURS!$G$56:$G$205,MATCH($D57,DONATEURS!$A$56:$A$205,0)),"")</f>
        <v>0</v>
      </c>
      <c r="H57" s="148"/>
      <c r="I57" s="149" t="n">
        <f aca="false">IFERROR(INDEX(PROJETS!$C$56:$C$95,MATCH($H57,PROJETS!$A$56:$A$95,0)),"")</f>
        <v>0</v>
      </c>
      <c r="J57" s="149" t="n">
        <f aca="false">IFERROR(INDEX(PROJETS!$J$56:$J$95,MATCH($H57,PROJETS!$A$56:$A$95,0)),"")</f>
        <v>0</v>
      </c>
      <c r="K57" s="149" t="n">
        <f aca="false">IFERROR(INDEX(PROJETS!$N$56:$N$95,MATCH($H57,PROJETS!$A$56:$A$95,0)),"")</f>
        <v>0</v>
      </c>
      <c r="L57" s="148"/>
      <c r="M57" s="149" t="n">
        <f aca="false">IFERROR(INDEX(ACTIVITES!$G$56:$G$105,MATCH($L57,ACTIVITES!$A$56:$A$105,0)),"")</f>
        <v>0</v>
      </c>
      <c r="N57" s="148"/>
      <c r="O57" s="148"/>
      <c r="P57" s="148"/>
      <c r="Q57" s="148"/>
      <c r="R57" s="148"/>
      <c r="S57" s="148"/>
      <c r="T57" s="150"/>
      <c r="U57" s="150"/>
      <c r="V57" s="151" t="str">
        <f aca="false">IF($T57="","",YEAR($T57))</f>
        <v/>
      </c>
      <c r="W57" s="147" t="str">
        <f aca="false">IF($T57="","","T"&amp;ROUNDUP(MONTH($T57)/3,0))</f>
        <v/>
      </c>
      <c r="X57" s="147" t="str">
        <f aca="false">IF($T57="","",TEXT($T57,"mmmm"))</f>
        <v/>
      </c>
      <c r="Y57" s="148"/>
      <c r="Z57" s="152"/>
      <c r="AA57" s="153"/>
      <c r="AB57" s="154" t="str">
        <f aca="false">IF($AA57="","",IF(OR($Y57="FCFA",$Y57=""),$AA57,$AA57*IF($Z57="",1,$Z57)))</f>
        <v/>
      </c>
      <c r="AC57" s="153"/>
      <c r="AD57" s="154" t="str">
        <f aca="false">IF($AC57="","",MAX($AC57-IF($AB57="",0,$AB57),0))</f>
        <v/>
      </c>
      <c r="AE57" s="148"/>
      <c r="AF57" s="148"/>
      <c r="AG57" s="148"/>
      <c r="AH57" s="155"/>
      <c r="AI57" s="148"/>
      <c r="AJ57" s="155"/>
      <c r="AK57" s="155"/>
      <c r="AL57" s="150"/>
      <c r="AM57" s="148"/>
      <c r="AN57" s="148"/>
      <c r="AO57" s="148"/>
      <c r="AP57" s="148"/>
      <c r="AQ57" s="155"/>
      <c r="AR57" s="148"/>
      <c r="AS57" s="148"/>
      <c r="AT57" s="148"/>
      <c r="AU57" s="148"/>
      <c r="AV57" s="153"/>
      <c r="AW57" s="148"/>
      <c r="AX57" s="148"/>
      <c r="AY57" s="155"/>
      <c r="AZ57" s="148"/>
      <c r="BA57" s="148"/>
      <c r="BB57" s="148"/>
      <c r="BC57" s="150"/>
      <c r="BD57" s="148"/>
      <c r="BE57" s="147" t="str">
        <f aca="true">IF($AC57="","",IF($AD57&lt;=0,"Recu integralement",IF(AND($AU57&lt;&gt;"",$AU57&lt;=TODAY()),"Relance necessaire",IF(AND($U57&lt;&gt;"",$T57="",$U57&lt;TODAY()),"Retard",IF($AD57&gt;0.5*$AC57,"Vigilance","Normal")))))</f>
        <v/>
      </c>
      <c r="BF57" s="155"/>
      <c r="BG57" s="151" t="str">
        <f aca="false">IF($D57="","",COUNTIFS($D$39:$D57,$D57))</f>
        <v/>
      </c>
      <c r="BH57" s="151" t="str">
        <f aca="false">IF($H57="","",COUNTIFS($H$39:$H57,$H57))</f>
        <v/>
      </c>
    </row>
    <row r="58" customFormat="false" ht="15" hidden="false" customHeight="true" outlineLevel="0" collapsed="false">
      <c r="A58" s="147" t="str">
        <f aca="false">IF($O58="","","REC"&amp;TEXT(ROW()-38,"00000"))</f>
        <v/>
      </c>
      <c r="B58" s="148"/>
      <c r="C58" s="148"/>
      <c r="D58" s="148"/>
      <c r="E58" s="149" t="n">
        <f aca="false">IFERROR(INDEX(DONATEURS!$B$56:$B$205,MATCH($D58,DONATEURS!$A$56:$A$205,0)),"")</f>
        <v>0</v>
      </c>
      <c r="F58" s="149" t="n">
        <f aca="false">IFERROR(INDEX(DONATEURS!$E$56:$E$205,MATCH($D58,DONATEURS!$A$56:$A$205,0)),"")</f>
        <v>0</v>
      </c>
      <c r="G58" s="149" t="n">
        <f aca="false">IFERROR(INDEX(DONATEURS!$G$56:$G$205,MATCH($D58,DONATEURS!$A$56:$A$205,0)),"")</f>
        <v>0</v>
      </c>
      <c r="H58" s="148"/>
      <c r="I58" s="149" t="n">
        <f aca="false">IFERROR(INDEX(PROJETS!$C$56:$C$95,MATCH($H58,PROJETS!$A$56:$A$95,0)),"")</f>
        <v>0</v>
      </c>
      <c r="J58" s="149" t="n">
        <f aca="false">IFERROR(INDEX(PROJETS!$J$56:$J$95,MATCH($H58,PROJETS!$A$56:$A$95,0)),"")</f>
        <v>0</v>
      </c>
      <c r="K58" s="149" t="n">
        <f aca="false">IFERROR(INDEX(PROJETS!$N$56:$N$95,MATCH($H58,PROJETS!$A$56:$A$95,0)),"")</f>
        <v>0</v>
      </c>
      <c r="L58" s="148"/>
      <c r="M58" s="149" t="n">
        <f aca="false">IFERROR(INDEX(ACTIVITES!$G$56:$G$105,MATCH($L58,ACTIVITES!$A$56:$A$105,0)),"")</f>
        <v>0</v>
      </c>
      <c r="N58" s="148"/>
      <c r="O58" s="148"/>
      <c r="P58" s="148"/>
      <c r="Q58" s="148"/>
      <c r="R58" s="148"/>
      <c r="S58" s="148"/>
      <c r="T58" s="150"/>
      <c r="U58" s="150"/>
      <c r="V58" s="151" t="str">
        <f aca="false">IF($T58="","",YEAR($T58))</f>
        <v/>
      </c>
      <c r="W58" s="147" t="str">
        <f aca="false">IF($T58="","","T"&amp;ROUNDUP(MONTH($T58)/3,0))</f>
        <v/>
      </c>
      <c r="X58" s="147" t="str">
        <f aca="false">IF($T58="","",TEXT($T58,"mmmm"))</f>
        <v/>
      </c>
      <c r="Y58" s="148"/>
      <c r="Z58" s="152"/>
      <c r="AA58" s="153"/>
      <c r="AB58" s="154" t="str">
        <f aca="false">IF($AA58="","",IF(OR($Y58="FCFA",$Y58=""),$AA58,$AA58*IF($Z58="",1,$Z58)))</f>
        <v/>
      </c>
      <c r="AC58" s="153"/>
      <c r="AD58" s="154" t="str">
        <f aca="false">IF($AC58="","",MAX($AC58-IF($AB58="",0,$AB58),0))</f>
        <v/>
      </c>
      <c r="AE58" s="148"/>
      <c r="AF58" s="148"/>
      <c r="AG58" s="148"/>
      <c r="AH58" s="155"/>
      <c r="AI58" s="148"/>
      <c r="AJ58" s="155"/>
      <c r="AK58" s="155"/>
      <c r="AL58" s="150"/>
      <c r="AM58" s="148"/>
      <c r="AN58" s="148"/>
      <c r="AO58" s="148"/>
      <c r="AP58" s="148"/>
      <c r="AQ58" s="155"/>
      <c r="AR58" s="148"/>
      <c r="AS58" s="148"/>
      <c r="AT58" s="148"/>
      <c r="AU58" s="148"/>
      <c r="AV58" s="153"/>
      <c r="AW58" s="148"/>
      <c r="AX58" s="148"/>
      <c r="AY58" s="155"/>
      <c r="AZ58" s="148"/>
      <c r="BA58" s="148"/>
      <c r="BB58" s="148"/>
      <c r="BC58" s="150"/>
      <c r="BD58" s="148"/>
      <c r="BE58" s="147" t="str">
        <f aca="true">IF($AC58="","",IF($AD58&lt;=0,"Recu integralement",IF(AND($AU58&lt;&gt;"",$AU58&lt;=TODAY()),"Relance necessaire",IF(AND($U58&lt;&gt;"",$T58="",$U58&lt;TODAY()),"Retard",IF($AD58&gt;0.5*$AC58,"Vigilance","Normal")))))</f>
        <v/>
      </c>
      <c r="BF58" s="155"/>
      <c r="BG58" s="151" t="str">
        <f aca="false">IF($D58="","",COUNTIFS($D$39:$D58,$D58))</f>
        <v/>
      </c>
      <c r="BH58" s="151" t="str">
        <f aca="false">IF($H58="","",COUNTIFS($H$39:$H58,$H58))</f>
        <v/>
      </c>
    </row>
    <row r="59" customFormat="false" ht="15" hidden="false" customHeight="true" outlineLevel="0" collapsed="false">
      <c r="A59" s="147" t="str">
        <f aca="false">IF($O59="","","REC"&amp;TEXT(ROW()-38,"00000"))</f>
        <v/>
      </c>
      <c r="B59" s="148"/>
      <c r="C59" s="148"/>
      <c r="D59" s="148"/>
      <c r="E59" s="149" t="n">
        <f aca="false">IFERROR(INDEX(DONATEURS!$B$56:$B$205,MATCH($D59,DONATEURS!$A$56:$A$205,0)),"")</f>
        <v>0</v>
      </c>
      <c r="F59" s="149" t="n">
        <f aca="false">IFERROR(INDEX(DONATEURS!$E$56:$E$205,MATCH($D59,DONATEURS!$A$56:$A$205,0)),"")</f>
        <v>0</v>
      </c>
      <c r="G59" s="149" t="n">
        <f aca="false">IFERROR(INDEX(DONATEURS!$G$56:$G$205,MATCH($D59,DONATEURS!$A$56:$A$205,0)),"")</f>
        <v>0</v>
      </c>
      <c r="H59" s="148"/>
      <c r="I59" s="149" t="n">
        <f aca="false">IFERROR(INDEX(PROJETS!$C$56:$C$95,MATCH($H59,PROJETS!$A$56:$A$95,0)),"")</f>
        <v>0</v>
      </c>
      <c r="J59" s="149" t="n">
        <f aca="false">IFERROR(INDEX(PROJETS!$J$56:$J$95,MATCH($H59,PROJETS!$A$56:$A$95,0)),"")</f>
        <v>0</v>
      </c>
      <c r="K59" s="149" t="n">
        <f aca="false">IFERROR(INDEX(PROJETS!$N$56:$N$95,MATCH($H59,PROJETS!$A$56:$A$95,0)),"")</f>
        <v>0</v>
      </c>
      <c r="L59" s="148"/>
      <c r="M59" s="149" t="n">
        <f aca="false">IFERROR(INDEX(ACTIVITES!$G$56:$G$105,MATCH($L59,ACTIVITES!$A$56:$A$105,0)),"")</f>
        <v>0</v>
      </c>
      <c r="N59" s="148"/>
      <c r="O59" s="148"/>
      <c r="P59" s="148"/>
      <c r="Q59" s="148"/>
      <c r="R59" s="148"/>
      <c r="S59" s="148"/>
      <c r="T59" s="150"/>
      <c r="U59" s="150"/>
      <c r="V59" s="151" t="str">
        <f aca="false">IF($T59="","",YEAR($T59))</f>
        <v/>
      </c>
      <c r="W59" s="147" t="str">
        <f aca="false">IF($T59="","","T"&amp;ROUNDUP(MONTH($T59)/3,0))</f>
        <v/>
      </c>
      <c r="X59" s="147" t="str">
        <f aca="false">IF($T59="","",TEXT($T59,"mmmm"))</f>
        <v/>
      </c>
      <c r="Y59" s="148"/>
      <c r="Z59" s="152"/>
      <c r="AA59" s="153"/>
      <c r="AB59" s="154" t="str">
        <f aca="false">IF($AA59="","",IF(OR($Y59="FCFA",$Y59=""),$AA59,$AA59*IF($Z59="",1,$Z59)))</f>
        <v/>
      </c>
      <c r="AC59" s="153"/>
      <c r="AD59" s="154" t="str">
        <f aca="false">IF($AC59="","",MAX($AC59-IF($AB59="",0,$AB59),0))</f>
        <v/>
      </c>
      <c r="AE59" s="148"/>
      <c r="AF59" s="148"/>
      <c r="AG59" s="148"/>
      <c r="AH59" s="155"/>
      <c r="AI59" s="148"/>
      <c r="AJ59" s="155"/>
      <c r="AK59" s="155"/>
      <c r="AL59" s="150"/>
      <c r="AM59" s="148"/>
      <c r="AN59" s="148"/>
      <c r="AO59" s="148"/>
      <c r="AP59" s="148"/>
      <c r="AQ59" s="155"/>
      <c r="AR59" s="148"/>
      <c r="AS59" s="148"/>
      <c r="AT59" s="148"/>
      <c r="AU59" s="148"/>
      <c r="AV59" s="153"/>
      <c r="AW59" s="148"/>
      <c r="AX59" s="148"/>
      <c r="AY59" s="155"/>
      <c r="AZ59" s="148"/>
      <c r="BA59" s="148"/>
      <c r="BB59" s="148"/>
      <c r="BC59" s="150"/>
      <c r="BD59" s="148"/>
      <c r="BE59" s="147" t="str">
        <f aca="true">IF($AC59="","",IF($AD59&lt;=0,"Recu integralement",IF(AND($AU59&lt;&gt;"",$AU59&lt;=TODAY()),"Relance necessaire",IF(AND($U59&lt;&gt;"",$T59="",$U59&lt;TODAY()),"Retard",IF($AD59&gt;0.5*$AC59,"Vigilance","Normal")))))</f>
        <v/>
      </c>
      <c r="BF59" s="155"/>
      <c r="BG59" s="151" t="str">
        <f aca="false">IF($D59="","",COUNTIFS($D$39:$D59,$D59))</f>
        <v/>
      </c>
      <c r="BH59" s="151" t="str">
        <f aca="false">IF($H59="","",COUNTIFS($H$39:$H59,$H59))</f>
        <v/>
      </c>
    </row>
    <row r="60" customFormat="false" ht="15" hidden="false" customHeight="true" outlineLevel="0" collapsed="false">
      <c r="A60" s="147" t="str">
        <f aca="false">IF($O60="","","REC"&amp;TEXT(ROW()-38,"00000"))</f>
        <v/>
      </c>
      <c r="B60" s="148"/>
      <c r="C60" s="148"/>
      <c r="D60" s="148"/>
      <c r="E60" s="149" t="n">
        <f aca="false">IFERROR(INDEX(DONATEURS!$B$56:$B$205,MATCH($D60,DONATEURS!$A$56:$A$205,0)),"")</f>
        <v>0</v>
      </c>
      <c r="F60" s="149" t="n">
        <f aca="false">IFERROR(INDEX(DONATEURS!$E$56:$E$205,MATCH($D60,DONATEURS!$A$56:$A$205,0)),"")</f>
        <v>0</v>
      </c>
      <c r="G60" s="149" t="n">
        <f aca="false">IFERROR(INDEX(DONATEURS!$G$56:$G$205,MATCH($D60,DONATEURS!$A$56:$A$205,0)),"")</f>
        <v>0</v>
      </c>
      <c r="H60" s="148"/>
      <c r="I60" s="149" t="n">
        <f aca="false">IFERROR(INDEX(PROJETS!$C$56:$C$95,MATCH($H60,PROJETS!$A$56:$A$95,0)),"")</f>
        <v>0</v>
      </c>
      <c r="J60" s="149" t="n">
        <f aca="false">IFERROR(INDEX(PROJETS!$J$56:$J$95,MATCH($H60,PROJETS!$A$56:$A$95,0)),"")</f>
        <v>0</v>
      </c>
      <c r="K60" s="149" t="n">
        <f aca="false">IFERROR(INDEX(PROJETS!$N$56:$N$95,MATCH($H60,PROJETS!$A$56:$A$95,0)),"")</f>
        <v>0</v>
      </c>
      <c r="L60" s="148"/>
      <c r="M60" s="149" t="n">
        <f aca="false">IFERROR(INDEX(ACTIVITES!$G$56:$G$105,MATCH($L60,ACTIVITES!$A$56:$A$105,0)),"")</f>
        <v>0</v>
      </c>
      <c r="N60" s="148"/>
      <c r="O60" s="148"/>
      <c r="P60" s="148"/>
      <c r="Q60" s="148"/>
      <c r="R60" s="148"/>
      <c r="S60" s="148"/>
      <c r="T60" s="150"/>
      <c r="U60" s="150"/>
      <c r="V60" s="151" t="str">
        <f aca="false">IF($T60="","",YEAR($T60))</f>
        <v/>
      </c>
      <c r="W60" s="147" t="str">
        <f aca="false">IF($T60="","","T"&amp;ROUNDUP(MONTH($T60)/3,0))</f>
        <v/>
      </c>
      <c r="X60" s="147" t="str">
        <f aca="false">IF($T60="","",TEXT($T60,"mmmm"))</f>
        <v/>
      </c>
      <c r="Y60" s="148"/>
      <c r="Z60" s="152"/>
      <c r="AA60" s="153"/>
      <c r="AB60" s="154" t="str">
        <f aca="false">IF($AA60="","",IF(OR($Y60="FCFA",$Y60=""),$AA60,$AA60*IF($Z60="",1,$Z60)))</f>
        <v/>
      </c>
      <c r="AC60" s="153"/>
      <c r="AD60" s="154" t="str">
        <f aca="false">IF($AC60="","",MAX($AC60-IF($AB60="",0,$AB60),0))</f>
        <v/>
      </c>
      <c r="AE60" s="148"/>
      <c r="AF60" s="148"/>
      <c r="AG60" s="148"/>
      <c r="AH60" s="155"/>
      <c r="AI60" s="148"/>
      <c r="AJ60" s="155"/>
      <c r="AK60" s="155"/>
      <c r="AL60" s="150"/>
      <c r="AM60" s="148"/>
      <c r="AN60" s="148"/>
      <c r="AO60" s="148"/>
      <c r="AP60" s="148"/>
      <c r="AQ60" s="155"/>
      <c r="AR60" s="148"/>
      <c r="AS60" s="148"/>
      <c r="AT60" s="148"/>
      <c r="AU60" s="148"/>
      <c r="AV60" s="153"/>
      <c r="AW60" s="148"/>
      <c r="AX60" s="148"/>
      <c r="AY60" s="155"/>
      <c r="AZ60" s="148"/>
      <c r="BA60" s="148"/>
      <c r="BB60" s="148"/>
      <c r="BC60" s="150"/>
      <c r="BD60" s="148"/>
      <c r="BE60" s="147" t="str">
        <f aca="true">IF($AC60="","",IF($AD60&lt;=0,"Recu integralement",IF(AND($AU60&lt;&gt;"",$AU60&lt;=TODAY()),"Relance necessaire",IF(AND($U60&lt;&gt;"",$T60="",$U60&lt;TODAY()),"Retard",IF($AD60&gt;0.5*$AC60,"Vigilance","Normal")))))</f>
        <v/>
      </c>
      <c r="BF60" s="155"/>
      <c r="BG60" s="151" t="str">
        <f aca="false">IF($D60="","",COUNTIFS($D$39:$D60,$D60))</f>
        <v/>
      </c>
      <c r="BH60" s="151" t="str">
        <f aca="false">IF($H60="","",COUNTIFS($H$39:$H60,$H60))</f>
        <v/>
      </c>
    </row>
    <row r="61" customFormat="false" ht="15" hidden="false" customHeight="true" outlineLevel="0" collapsed="false">
      <c r="A61" s="147" t="str">
        <f aca="false">IF($O61="","","REC"&amp;TEXT(ROW()-38,"00000"))</f>
        <v/>
      </c>
      <c r="B61" s="148"/>
      <c r="C61" s="148"/>
      <c r="D61" s="148"/>
      <c r="E61" s="149" t="n">
        <f aca="false">IFERROR(INDEX(DONATEURS!$B$56:$B$205,MATCH($D61,DONATEURS!$A$56:$A$205,0)),"")</f>
        <v>0</v>
      </c>
      <c r="F61" s="149" t="n">
        <f aca="false">IFERROR(INDEX(DONATEURS!$E$56:$E$205,MATCH($D61,DONATEURS!$A$56:$A$205,0)),"")</f>
        <v>0</v>
      </c>
      <c r="G61" s="149" t="n">
        <f aca="false">IFERROR(INDEX(DONATEURS!$G$56:$G$205,MATCH($D61,DONATEURS!$A$56:$A$205,0)),"")</f>
        <v>0</v>
      </c>
      <c r="H61" s="148"/>
      <c r="I61" s="149" t="n">
        <f aca="false">IFERROR(INDEX(PROJETS!$C$56:$C$95,MATCH($H61,PROJETS!$A$56:$A$95,0)),"")</f>
        <v>0</v>
      </c>
      <c r="J61" s="149" t="n">
        <f aca="false">IFERROR(INDEX(PROJETS!$J$56:$J$95,MATCH($H61,PROJETS!$A$56:$A$95,0)),"")</f>
        <v>0</v>
      </c>
      <c r="K61" s="149" t="n">
        <f aca="false">IFERROR(INDEX(PROJETS!$N$56:$N$95,MATCH($H61,PROJETS!$A$56:$A$95,0)),"")</f>
        <v>0</v>
      </c>
      <c r="L61" s="148"/>
      <c r="M61" s="149" t="n">
        <f aca="false">IFERROR(INDEX(ACTIVITES!$G$56:$G$105,MATCH($L61,ACTIVITES!$A$56:$A$105,0)),"")</f>
        <v>0</v>
      </c>
      <c r="N61" s="148"/>
      <c r="O61" s="148"/>
      <c r="P61" s="148"/>
      <c r="Q61" s="148"/>
      <c r="R61" s="148"/>
      <c r="S61" s="148"/>
      <c r="T61" s="150"/>
      <c r="U61" s="150"/>
      <c r="V61" s="151" t="str">
        <f aca="false">IF($T61="","",YEAR($T61))</f>
        <v/>
      </c>
      <c r="W61" s="147" t="str">
        <f aca="false">IF($T61="","","T"&amp;ROUNDUP(MONTH($T61)/3,0))</f>
        <v/>
      </c>
      <c r="X61" s="147" t="str">
        <f aca="false">IF($T61="","",TEXT($T61,"mmmm"))</f>
        <v/>
      </c>
      <c r="Y61" s="148"/>
      <c r="Z61" s="152"/>
      <c r="AA61" s="153"/>
      <c r="AB61" s="154" t="str">
        <f aca="false">IF($AA61="","",IF(OR($Y61="FCFA",$Y61=""),$AA61,$AA61*IF($Z61="",1,$Z61)))</f>
        <v/>
      </c>
      <c r="AC61" s="153"/>
      <c r="AD61" s="154" t="str">
        <f aca="false">IF($AC61="","",MAX($AC61-IF($AB61="",0,$AB61),0))</f>
        <v/>
      </c>
      <c r="AE61" s="148"/>
      <c r="AF61" s="148"/>
      <c r="AG61" s="148"/>
      <c r="AH61" s="155"/>
      <c r="AI61" s="148"/>
      <c r="AJ61" s="155"/>
      <c r="AK61" s="155"/>
      <c r="AL61" s="150"/>
      <c r="AM61" s="148"/>
      <c r="AN61" s="148"/>
      <c r="AO61" s="148"/>
      <c r="AP61" s="148"/>
      <c r="AQ61" s="155"/>
      <c r="AR61" s="148"/>
      <c r="AS61" s="148"/>
      <c r="AT61" s="148"/>
      <c r="AU61" s="148"/>
      <c r="AV61" s="153"/>
      <c r="AW61" s="148"/>
      <c r="AX61" s="148"/>
      <c r="AY61" s="155"/>
      <c r="AZ61" s="148"/>
      <c r="BA61" s="148"/>
      <c r="BB61" s="148"/>
      <c r="BC61" s="150"/>
      <c r="BD61" s="148"/>
      <c r="BE61" s="147" t="str">
        <f aca="true">IF($AC61="","",IF($AD61&lt;=0,"Recu integralement",IF(AND($AU61&lt;&gt;"",$AU61&lt;=TODAY()),"Relance necessaire",IF(AND($U61&lt;&gt;"",$T61="",$U61&lt;TODAY()),"Retard",IF($AD61&gt;0.5*$AC61,"Vigilance","Normal")))))</f>
        <v/>
      </c>
      <c r="BF61" s="155"/>
      <c r="BG61" s="151" t="str">
        <f aca="false">IF($D61="","",COUNTIFS($D$39:$D61,$D61))</f>
        <v/>
      </c>
      <c r="BH61" s="151" t="str">
        <f aca="false">IF($H61="","",COUNTIFS($H$39:$H61,$H61))</f>
        <v/>
      </c>
    </row>
    <row r="62" customFormat="false" ht="15" hidden="false" customHeight="true" outlineLevel="0" collapsed="false">
      <c r="A62" s="147" t="str">
        <f aca="false">IF($O62="","","REC"&amp;TEXT(ROW()-38,"00000"))</f>
        <v/>
      </c>
      <c r="B62" s="148"/>
      <c r="C62" s="148"/>
      <c r="D62" s="148"/>
      <c r="E62" s="149" t="n">
        <f aca="false">IFERROR(INDEX(DONATEURS!$B$56:$B$205,MATCH($D62,DONATEURS!$A$56:$A$205,0)),"")</f>
        <v>0</v>
      </c>
      <c r="F62" s="149" t="n">
        <f aca="false">IFERROR(INDEX(DONATEURS!$E$56:$E$205,MATCH($D62,DONATEURS!$A$56:$A$205,0)),"")</f>
        <v>0</v>
      </c>
      <c r="G62" s="149" t="n">
        <f aca="false">IFERROR(INDEX(DONATEURS!$G$56:$G$205,MATCH($D62,DONATEURS!$A$56:$A$205,0)),"")</f>
        <v>0</v>
      </c>
      <c r="H62" s="148"/>
      <c r="I62" s="149" t="n">
        <f aca="false">IFERROR(INDEX(PROJETS!$C$56:$C$95,MATCH($H62,PROJETS!$A$56:$A$95,0)),"")</f>
        <v>0</v>
      </c>
      <c r="J62" s="149" t="n">
        <f aca="false">IFERROR(INDEX(PROJETS!$J$56:$J$95,MATCH($H62,PROJETS!$A$56:$A$95,0)),"")</f>
        <v>0</v>
      </c>
      <c r="K62" s="149" t="n">
        <f aca="false">IFERROR(INDEX(PROJETS!$N$56:$N$95,MATCH($H62,PROJETS!$A$56:$A$95,0)),"")</f>
        <v>0</v>
      </c>
      <c r="L62" s="148"/>
      <c r="M62" s="149" t="n">
        <f aca="false">IFERROR(INDEX(ACTIVITES!$G$56:$G$105,MATCH($L62,ACTIVITES!$A$56:$A$105,0)),"")</f>
        <v>0</v>
      </c>
      <c r="N62" s="148"/>
      <c r="O62" s="148"/>
      <c r="P62" s="148"/>
      <c r="Q62" s="148"/>
      <c r="R62" s="148"/>
      <c r="S62" s="148"/>
      <c r="T62" s="150"/>
      <c r="U62" s="150"/>
      <c r="V62" s="151" t="str">
        <f aca="false">IF($T62="","",YEAR($T62))</f>
        <v/>
      </c>
      <c r="W62" s="147" t="str">
        <f aca="false">IF($T62="","","T"&amp;ROUNDUP(MONTH($T62)/3,0))</f>
        <v/>
      </c>
      <c r="X62" s="147" t="str">
        <f aca="false">IF($T62="","",TEXT($T62,"mmmm"))</f>
        <v/>
      </c>
      <c r="Y62" s="148"/>
      <c r="Z62" s="152"/>
      <c r="AA62" s="153"/>
      <c r="AB62" s="154" t="str">
        <f aca="false">IF($AA62="","",IF(OR($Y62="FCFA",$Y62=""),$AA62,$AA62*IF($Z62="",1,$Z62)))</f>
        <v/>
      </c>
      <c r="AC62" s="153"/>
      <c r="AD62" s="154" t="str">
        <f aca="false">IF($AC62="","",MAX($AC62-IF($AB62="",0,$AB62),0))</f>
        <v/>
      </c>
      <c r="AE62" s="148"/>
      <c r="AF62" s="148"/>
      <c r="AG62" s="148"/>
      <c r="AH62" s="155"/>
      <c r="AI62" s="148"/>
      <c r="AJ62" s="155"/>
      <c r="AK62" s="155"/>
      <c r="AL62" s="150"/>
      <c r="AM62" s="148"/>
      <c r="AN62" s="148"/>
      <c r="AO62" s="148"/>
      <c r="AP62" s="148"/>
      <c r="AQ62" s="155"/>
      <c r="AR62" s="148"/>
      <c r="AS62" s="148"/>
      <c r="AT62" s="148"/>
      <c r="AU62" s="148"/>
      <c r="AV62" s="153"/>
      <c r="AW62" s="148"/>
      <c r="AX62" s="148"/>
      <c r="AY62" s="155"/>
      <c r="AZ62" s="148"/>
      <c r="BA62" s="148"/>
      <c r="BB62" s="148"/>
      <c r="BC62" s="150"/>
      <c r="BD62" s="148"/>
      <c r="BE62" s="147" t="str">
        <f aca="true">IF($AC62="","",IF($AD62&lt;=0,"Recu integralement",IF(AND($AU62&lt;&gt;"",$AU62&lt;=TODAY()),"Relance necessaire",IF(AND($U62&lt;&gt;"",$T62="",$U62&lt;TODAY()),"Retard",IF($AD62&gt;0.5*$AC62,"Vigilance","Normal")))))</f>
        <v/>
      </c>
      <c r="BF62" s="155"/>
      <c r="BG62" s="151" t="str">
        <f aca="false">IF($D62="","",COUNTIFS($D$39:$D62,$D62))</f>
        <v/>
      </c>
      <c r="BH62" s="151" t="str">
        <f aca="false">IF($H62="","",COUNTIFS($H$39:$H62,$H62))</f>
        <v/>
      </c>
    </row>
    <row r="63" customFormat="false" ht="15" hidden="false" customHeight="true" outlineLevel="0" collapsed="false">
      <c r="A63" s="147" t="str">
        <f aca="false">IF($O63="","","REC"&amp;TEXT(ROW()-38,"00000"))</f>
        <v/>
      </c>
      <c r="B63" s="148"/>
      <c r="C63" s="148"/>
      <c r="D63" s="148"/>
      <c r="E63" s="149" t="n">
        <f aca="false">IFERROR(INDEX(DONATEURS!$B$56:$B$205,MATCH($D63,DONATEURS!$A$56:$A$205,0)),"")</f>
        <v>0</v>
      </c>
      <c r="F63" s="149" t="n">
        <f aca="false">IFERROR(INDEX(DONATEURS!$E$56:$E$205,MATCH($D63,DONATEURS!$A$56:$A$205,0)),"")</f>
        <v>0</v>
      </c>
      <c r="G63" s="149" t="n">
        <f aca="false">IFERROR(INDEX(DONATEURS!$G$56:$G$205,MATCH($D63,DONATEURS!$A$56:$A$205,0)),"")</f>
        <v>0</v>
      </c>
      <c r="H63" s="148"/>
      <c r="I63" s="149" t="n">
        <f aca="false">IFERROR(INDEX(PROJETS!$C$56:$C$95,MATCH($H63,PROJETS!$A$56:$A$95,0)),"")</f>
        <v>0</v>
      </c>
      <c r="J63" s="149" t="n">
        <f aca="false">IFERROR(INDEX(PROJETS!$J$56:$J$95,MATCH($H63,PROJETS!$A$56:$A$95,0)),"")</f>
        <v>0</v>
      </c>
      <c r="K63" s="149" t="n">
        <f aca="false">IFERROR(INDEX(PROJETS!$N$56:$N$95,MATCH($H63,PROJETS!$A$56:$A$95,0)),"")</f>
        <v>0</v>
      </c>
      <c r="L63" s="148"/>
      <c r="M63" s="149" t="n">
        <f aca="false">IFERROR(INDEX(ACTIVITES!$G$56:$G$105,MATCH($L63,ACTIVITES!$A$56:$A$105,0)),"")</f>
        <v>0</v>
      </c>
      <c r="N63" s="148"/>
      <c r="O63" s="148"/>
      <c r="P63" s="148"/>
      <c r="Q63" s="148"/>
      <c r="R63" s="148"/>
      <c r="S63" s="148"/>
      <c r="T63" s="150"/>
      <c r="U63" s="150"/>
      <c r="V63" s="151" t="str">
        <f aca="false">IF($T63="","",YEAR($T63))</f>
        <v/>
      </c>
      <c r="W63" s="147" t="str">
        <f aca="false">IF($T63="","","T"&amp;ROUNDUP(MONTH($T63)/3,0))</f>
        <v/>
      </c>
      <c r="X63" s="147" t="str">
        <f aca="false">IF($T63="","",TEXT($T63,"mmmm"))</f>
        <v/>
      </c>
      <c r="Y63" s="148"/>
      <c r="Z63" s="152"/>
      <c r="AA63" s="153"/>
      <c r="AB63" s="154" t="str">
        <f aca="false">IF($AA63="","",IF(OR($Y63="FCFA",$Y63=""),$AA63,$AA63*IF($Z63="",1,$Z63)))</f>
        <v/>
      </c>
      <c r="AC63" s="153"/>
      <c r="AD63" s="154" t="str">
        <f aca="false">IF($AC63="","",MAX($AC63-IF($AB63="",0,$AB63),0))</f>
        <v/>
      </c>
      <c r="AE63" s="148"/>
      <c r="AF63" s="148"/>
      <c r="AG63" s="148"/>
      <c r="AH63" s="155"/>
      <c r="AI63" s="148"/>
      <c r="AJ63" s="155"/>
      <c r="AK63" s="155"/>
      <c r="AL63" s="150"/>
      <c r="AM63" s="148"/>
      <c r="AN63" s="148"/>
      <c r="AO63" s="148"/>
      <c r="AP63" s="148"/>
      <c r="AQ63" s="155"/>
      <c r="AR63" s="148"/>
      <c r="AS63" s="148"/>
      <c r="AT63" s="148"/>
      <c r="AU63" s="148"/>
      <c r="AV63" s="153"/>
      <c r="AW63" s="148"/>
      <c r="AX63" s="148"/>
      <c r="AY63" s="155"/>
      <c r="AZ63" s="148"/>
      <c r="BA63" s="148"/>
      <c r="BB63" s="148"/>
      <c r="BC63" s="150"/>
      <c r="BD63" s="148"/>
      <c r="BE63" s="147" t="str">
        <f aca="true">IF($AC63="","",IF($AD63&lt;=0,"Recu integralement",IF(AND($AU63&lt;&gt;"",$AU63&lt;=TODAY()),"Relance necessaire",IF(AND($U63&lt;&gt;"",$T63="",$U63&lt;TODAY()),"Retard",IF($AD63&gt;0.5*$AC63,"Vigilance","Normal")))))</f>
        <v/>
      </c>
      <c r="BF63" s="155"/>
      <c r="BG63" s="151" t="str">
        <f aca="false">IF($D63="","",COUNTIFS($D$39:$D63,$D63))</f>
        <v/>
      </c>
      <c r="BH63" s="151" t="str">
        <f aca="false">IF($H63="","",COUNTIFS($H$39:$H63,$H63))</f>
        <v/>
      </c>
    </row>
    <row r="64" customFormat="false" ht="15" hidden="false" customHeight="true" outlineLevel="0" collapsed="false">
      <c r="A64" s="147" t="str">
        <f aca="false">IF($O64="","","REC"&amp;TEXT(ROW()-38,"00000"))</f>
        <v/>
      </c>
      <c r="B64" s="148"/>
      <c r="C64" s="148"/>
      <c r="D64" s="148"/>
      <c r="E64" s="149" t="n">
        <f aca="false">IFERROR(INDEX(DONATEURS!$B$56:$B$205,MATCH($D64,DONATEURS!$A$56:$A$205,0)),"")</f>
        <v>0</v>
      </c>
      <c r="F64" s="149" t="n">
        <f aca="false">IFERROR(INDEX(DONATEURS!$E$56:$E$205,MATCH($D64,DONATEURS!$A$56:$A$205,0)),"")</f>
        <v>0</v>
      </c>
      <c r="G64" s="149" t="n">
        <f aca="false">IFERROR(INDEX(DONATEURS!$G$56:$G$205,MATCH($D64,DONATEURS!$A$56:$A$205,0)),"")</f>
        <v>0</v>
      </c>
      <c r="H64" s="148"/>
      <c r="I64" s="149" t="n">
        <f aca="false">IFERROR(INDEX(PROJETS!$C$56:$C$95,MATCH($H64,PROJETS!$A$56:$A$95,0)),"")</f>
        <v>0</v>
      </c>
      <c r="J64" s="149" t="n">
        <f aca="false">IFERROR(INDEX(PROJETS!$J$56:$J$95,MATCH($H64,PROJETS!$A$56:$A$95,0)),"")</f>
        <v>0</v>
      </c>
      <c r="K64" s="149" t="n">
        <f aca="false">IFERROR(INDEX(PROJETS!$N$56:$N$95,MATCH($H64,PROJETS!$A$56:$A$95,0)),"")</f>
        <v>0</v>
      </c>
      <c r="L64" s="148"/>
      <c r="M64" s="149" t="n">
        <f aca="false">IFERROR(INDEX(ACTIVITES!$G$56:$G$105,MATCH($L64,ACTIVITES!$A$56:$A$105,0)),"")</f>
        <v>0</v>
      </c>
      <c r="N64" s="148"/>
      <c r="O64" s="148"/>
      <c r="P64" s="148"/>
      <c r="Q64" s="148"/>
      <c r="R64" s="148"/>
      <c r="S64" s="148"/>
      <c r="T64" s="150"/>
      <c r="U64" s="150"/>
      <c r="V64" s="151" t="str">
        <f aca="false">IF($T64="","",YEAR($T64))</f>
        <v/>
      </c>
      <c r="W64" s="147" t="str">
        <f aca="false">IF($T64="","","T"&amp;ROUNDUP(MONTH($T64)/3,0))</f>
        <v/>
      </c>
      <c r="X64" s="147" t="str">
        <f aca="false">IF($T64="","",TEXT($T64,"mmmm"))</f>
        <v/>
      </c>
      <c r="Y64" s="148"/>
      <c r="Z64" s="152"/>
      <c r="AA64" s="153"/>
      <c r="AB64" s="154" t="str">
        <f aca="false">IF($AA64="","",IF(OR($Y64="FCFA",$Y64=""),$AA64,$AA64*IF($Z64="",1,$Z64)))</f>
        <v/>
      </c>
      <c r="AC64" s="153"/>
      <c r="AD64" s="154" t="str">
        <f aca="false">IF($AC64="","",MAX($AC64-IF($AB64="",0,$AB64),0))</f>
        <v/>
      </c>
      <c r="AE64" s="148"/>
      <c r="AF64" s="148"/>
      <c r="AG64" s="148"/>
      <c r="AH64" s="155"/>
      <c r="AI64" s="148"/>
      <c r="AJ64" s="155"/>
      <c r="AK64" s="155"/>
      <c r="AL64" s="150"/>
      <c r="AM64" s="148"/>
      <c r="AN64" s="148"/>
      <c r="AO64" s="148"/>
      <c r="AP64" s="148"/>
      <c r="AQ64" s="155"/>
      <c r="AR64" s="148"/>
      <c r="AS64" s="148"/>
      <c r="AT64" s="148"/>
      <c r="AU64" s="148"/>
      <c r="AV64" s="153"/>
      <c r="AW64" s="148"/>
      <c r="AX64" s="148"/>
      <c r="AY64" s="155"/>
      <c r="AZ64" s="148"/>
      <c r="BA64" s="148"/>
      <c r="BB64" s="148"/>
      <c r="BC64" s="150"/>
      <c r="BD64" s="148"/>
      <c r="BE64" s="147" t="str">
        <f aca="true">IF($AC64="","",IF($AD64&lt;=0,"Recu integralement",IF(AND($AU64&lt;&gt;"",$AU64&lt;=TODAY()),"Relance necessaire",IF(AND($U64&lt;&gt;"",$T64="",$U64&lt;TODAY()),"Retard",IF($AD64&gt;0.5*$AC64,"Vigilance","Normal")))))</f>
        <v/>
      </c>
      <c r="BF64" s="155"/>
      <c r="BG64" s="151" t="str">
        <f aca="false">IF($D64="","",COUNTIFS($D$39:$D64,$D64))</f>
        <v/>
      </c>
      <c r="BH64" s="151" t="str">
        <f aca="false">IF($H64="","",COUNTIFS($H$39:$H64,$H64))</f>
        <v/>
      </c>
    </row>
    <row r="65" customFormat="false" ht="15" hidden="false" customHeight="true" outlineLevel="0" collapsed="false">
      <c r="A65" s="147" t="str">
        <f aca="false">IF($O65="","","REC"&amp;TEXT(ROW()-38,"00000"))</f>
        <v/>
      </c>
      <c r="B65" s="148"/>
      <c r="C65" s="148"/>
      <c r="D65" s="148"/>
      <c r="E65" s="149" t="n">
        <f aca="false">IFERROR(INDEX(DONATEURS!$B$56:$B$205,MATCH($D65,DONATEURS!$A$56:$A$205,0)),"")</f>
        <v>0</v>
      </c>
      <c r="F65" s="149" t="n">
        <f aca="false">IFERROR(INDEX(DONATEURS!$E$56:$E$205,MATCH($D65,DONATEURS!$A$56:$A$205,0)),"")</f>
        <v>0</v>
      </c>
      <c r="G65" s="149" t="n">
        <f aca="false">IFERROR(INDEX(DONATEURS!$G$56:$G$205,MATCH($D65,DONATEURS!$A$56:$A$205,0)),"")</f>
        <v>0</v>
      </c>
      <c r="H65" s="148"/>
      <c r="I65" s="149" t="n">
        <f aca="false">IFERROR(INDEX(PROJETS!$C$56:$C$95,MATCH($H65,PROJETS!$A$56:$A$95,0)),"")</f>
        <v>0</v>
      </c>
      <c r="J65" s="149" t="n">
        <f aca="false">IFERROR(INDEX(PROJETS!$J$56:$J$95,MATCH($H65,PROJETS!$A$56:$A$95,0)),"")</f>
        <v>0</v>
      </c>
      <c r="K65" s="149" t="n">
        <f aca="false">IFERROR(INDEX(PROJETS!$N$56:$N$95,MATCH($H65,PROJETS!$A$56:$A$95,0)),"")</f>
        <v>0</v>
      </c>
      <c r="L65" s="148"/>
      <c r="M65" s="149" t="n">
        <f aca="false">IFERROR(INDEX(ACTIVITES!$G$56:$G$105,MATCH($L65,ACTIVITES!$A$56:$A$105,0)),"")</f>
        <v>0</v>
      </c>
      <c r="N65" s="148"/>
      <c r="O65" s="148"/>
      <c r="P65" s="148"/>
      <c r="Q65" s="148"/>
      <c r="R65" s="148"/>
      <c r="S65" s="148"/>
      <c r="T65" s="150"/>
      <c r="U65" s="150"/>
      <c r="V65" s="151" t="str">
        <f aca="false">IF($T65="","",YEAR($T65))</f>
        <v/>
      </c>
      <c r="W65" s="147" t="str">
        <f aca="false">IF($T65="","","T"&amp;ROUNDUP(MONTH($T65)/3,0))</f>
        <v/>
      </c>
      <c r="X65" s="147" t="str">
        <f aca="false">IF($T65="","",TEXT($T65,"mmmm"))</f>
        <v/>
      </c>
      <c r="Y65" s="148"/>
      <c r="Z65" s="152"/>
      <c r="AA65" s="153"/>
      <c r="AB65" s="154" t="str">
        <f aca="false">IF($AA65="","",IF(OR($Y65="FCFA",$Y65=""),$AA65,$AA65*IF($Z65="",1,$Z65)))</f>
        <v/>
      </c>
      <c r="AC65" s="153"/>
      <c r="AD65" s="154" t="str">
        <f aca="false">IF($AC65="","",MAX($AC65-IF($AB65="",0,$AB65),0))</f>
        <v/>
      </c>
      <c r="AE65" s="148"/>
      <c r="AF65" s="148"/>
      <c r="AG65" s="148"/>
      <c r="AH65" s="155"/>
      <c r="AI65" s="148"/>
      <c r="AJ65" s="155"/>
      <c r="AK65" s="155"/>
      <c r="AL65" s="150"/>
      <c r="AM65" s="148"/>
      <c r="AN65" s="148"/>
      <c r="AO65" s="148"/>
      <c r="AP65" s="148"/>
      <c r="AQ65" s="155"/>
      <c r="AR65" s="148"/>
      <c r="AS65" s="148"/>
      <c r="AT65" s="148"/>
      <c r="AU65" s="148"/>
      <c r="AV65" s="153"/>
      <c r="AW65" s="148"/>
      <c r="AX65" s="148"/>
      <c r="AY65" s="155"/>
      <c r="AZ65" s="148"/>
      <c r="BA65" s="148"/>
      <c r="BB65" s="148"/>
      <c r="BC65" s="150"/>
      <c r="BD65" s="148"/>
      <c r="BE65" s="147" t="str">
        <f aca="true">IF($AC65="","",IF($AD65&lt;=0,"Recu integralement",IF(AND($AU65&lt;&gt;"",$AU65&lt;=TODAY()),"Relance necessaire",IF(AND($U65&lt;&gt;"",$T65="",$U65&lt;TODAY()),"Retard",IF($AD65&gt;0.5*$AC65,"Vigilance","Normal")))))</f>
        <v/>
      </c>
      <c r="BF65" s="155"/>
      <c r="BG65" s="151" t="str">
        <f aca="false">IF($D65="","",COUNTIFS($D$39:$D65,$D65))</f>
        <v/>
      </c>
      <c r="BH65" s="151" t="str">
        <f aca="false">IF($H65="","",COUNTIFS($H$39:$H65,$H65))</f>
        <v/>
      </c>
    </row>
    <row r="66" customFormat="false" ht="15" hidden="false" customHeight="true" outlineLevel="0" collapsed="false">
      <c r="A66" s="147" t="str">
        <f aca="false">IF($O66="","","REC"&amp;TEXT(ROW()-38,"00000"))</f>
        <v/>
      </c>
      <c r="B66" s="148"/>
      <c r="C66" s="148"/>
      <c r="D66" s="148"/>
      <c r="E66" s="149" t="n">
        <f aca="false">IFERROR(INDEX(DONATEURS!$B$56:$B$205,MATCH($D66,DONATEURS!$A$56:$A$205,0)),"")</f>
        <v>0</v>
      </c>
      <c r="F66" s="149" t="n">
        <f aca="false">IFERROR(INDEX(DONATEURS!$E$56:$E$205,MATCH($D66,DONATEURS!$A$56:$A$205,0)),"")</f>
        <v>0</v>
      </c>
      <c r="G66" s="149" t="n">
        <f aca="false">IFERROR(INDEX(DONATEURS!$G$56:$G$205,MATCH($D66,DONATEURS!$A$56:$A$205,0)),"")</f>
        <v>0</v>
      </c>
      <c r="H66" s="148"/>
      <c r="I66" s="149" t="n">
        <f aca="false">IFERROR(INDEX(PROJETS!$C$56:$C$95,MATCH($H66,PROJETS!$A$56:$A$95,0)),"")</f>
        <v>0</v>
      </c>
      <c r="J66" s="149" t="n">
        <f aca="false">IFERROR(INDEX(PROJETS!$J$56:$J$95,MATCH($H66,PROJETS!$A$56:$A$95,0)),"")</f>
        <v>0</v>
      </c>
      <c r="K66" s="149" t="n">
        <f aca="false">IFERROR(INDEX(PROJETS!$N$56:$N$95,MATCH($H66,PROJETS!$A$56:$A$95,0)),"")</f>
        <v>0</v>
      </c>
      <c r="L66" s="148"/>
      <c r="M66" s="149" t="n">
        <f aca="false">IFERROR(INDEX(ACTIVITES!$G$56:$G$105,MATCH($L66,ACTIVITES!$A$56:$A$105,0)),"")</f>
        <v>0</v>
      </c>
      <c r="N66" s="148"/>
      <c r="O66" s="148"/>
      <c r="P66" s="148"/>
      <c r="Q66" s="148"/>
      <c r="R66" s="148"/>
      <c r="S66" s="148"/>
      <c r="T66" s="150"/>
      <c r="U66" s="150"/>
      <c r="V66" s="151" t="str">
        <f aca="false">IF($T66="","",YEAR($T66))</f>
        <v/>
      </c>
      <c r="W66" s="147" t="str">
        <f aca="false">IF($T66="","","T"&amp;ROUNDUP(MONTH($T66)/3,0))</f>
        <v/>
      </c>
      <c r="X66" s="147" t="str">
        <f aca="false">IF($T66="","",TEXT($T66,"mmmm"))</f>
        <v/>
      </c>
      <c r="Y66" s="148"/>
      <c r="Z66" s="152"/>
      <c r="AA66" s="153"/>
      <c r="AB66" s="154" t="str">
        <f aca="false">IF($AA66="","",IF(OR($Y66="FCFA",$Y66=""),$AA66,$AA66*IF($Z66="",1,$Z66)))</f>
        <v/>
      </c>
      <c r="AC66" s="153"/>
      <c r="AD66" s="154" t="str">
        <f aca="false">IF($AC66="","",MAX($AC66-IF($AB66="",0,$AB66),0))</f>
        <v/>
      </c>
      <c r="AE66" s="148"/>
      <c r="AF66" s="148"/>
      <c r="AG66" s="148"/>
      <c r="AH66" s="155"/>
      <c r="AI66" s="148"/>
      <c r="AJ66" s="155"/>
      <c r="AK66" s="155"/>
      <c r="AL66" s="150"/>
      <c r="AM66" s="148"/>
      <c r="AN66" s="148"/>
      <c r="AO66" s="148"/>
      <c r="AP66" s="148"/>
      <c r="AQ66" s="155"/>
      <c r="AR66" s="148"/>
      <c r="AS66" s="148"/>
      <c r="AT66" s="148"/>
      <c r="AU66" s="148"/>
      <c r="AV66" s="153"/>
      <c r="AW66" s="148"/>
      <c r="AX66" s="148"/>
      <c r="AY66" s="155"/>
      <c r="AZ66" s="148"/>
      <c r="BA66" s="148"/>
      <c r="BB66" s="148"/>
      <c r="BC66" s="150"/>
      <c r="BD66" s="148"/>
      <c r="BE66" s="147" t="str">
        <f aca="true">IF($AC66="","",IF($AD66&lt;=0,"Recu integralement",IF(AND($AU66&lt;&gt;"",$AU66&lt;=TODAY()),"Relance necessaire",IF(AND($U66&lt;&gt;"",$T66="",$U66&lt;TODAY()),"Retard",IF($AD66&gt;0.5*$AC66,"Vigilance","Normal")))))</f>
        <v/>
      </c>
      <c r="BF66" s="155"/>
      <c r="BG66" s="151" t="str">
        <f aca="false">IF($D66="","",COUNTIFS($D$39:$D66,$D66))</f>
        <v/>
      </c>
      <c r="BH66" s="151" t="str">
        <f aca="false">IF($H66="","",COUNTIFS($H$39:$H66,$H66))</f>
        <v/>
      </c>
    </row>
    <row r="67" customFormat="false" ht="15" hidden="false" customHeight="true" outlineLevel="0" collapsed="false">
      <c r="A67" s="147" t="str">
        <f aca="false">IF($O67="","","REC"&amp;TEXT(ROW()-38,"00000"))</f>
        <v/>
      </c>
      <c r="B67" s="148"/>
      <c r="C67" s="148"/>
      <c r="D67" s="148"/>
      <c r="E67" s="149" t="n">
        <f aca="false">IFERROR(INDEX(DONATEURS!$B$56:$B$205,MATCH($D67,DONATEURS!$A$56:$A$205,0)),"")</f>
        <v>0</v>
      </c>
      <c r="F67" s="149" t="n">
        <f aca="false">IFERROR(INDEX(DONATEURS!$E$56:$E$205,MATCH($D67,DONATEURS!$A$56:$A$205,0)),"")</f>
        <v>0</v>
      </c>
      <c r="G67" s="149" t="n">
        <f aca="false">IFERROR(INDEX(DONATEURS!$G$56:$G$205,MATCH($D67,DONATEURS!$A$56:$A$205,0)),"")</f>
        <v>0</v>
      </c>
      <c r="H67" s="148"/>
      <c r="I67" s="149" t="n">
        <f aca="false">IFERROR(INDEX(PROJETS!$C$56:$C$95,MATCH($H67,PROJETS!$A$56:$A$95,0)),"")</f>
        <v>0</v>
      </c>
      <c r="J67" s="149" t="n">
        <f aca="false">IFERROR(INDEX(PROJETS!$J$56:$J$95,MATCH($H67,PROJETS!$A$56:$A$95,0)),"")</f>
        <v>0</v>
      </c>
      <c r="K67" s="149" t="n">
        <f aca="false">IFERROR(INDEX(PROJETS!$N$56:$N$95,MATCH($H67,PROJETS!$A$56:$A$95,0)),"")</f>
        <v>0</v>
      </c>
      <c r="L67" s="148"/>
      <c r="M67" s="149" t="n">
        <f aca="false">IFERROR(INDEX(ACTIVITES!$G$56:$G$105,MATCH($L67,ACTIVITES!$A$56:$A$105,0)),"")</f>
        <v>0</v>
      </c>
      <c r="N67" s="148"/>
      <c r="O67" s="148"/>
      <c r="P67" s="148"/>
      <c r="Q67" s="148"/>
      <c r="R67" s="148"/>
      <c r="S67" s="148"/>
      <c r="T67" s="150"/>
      <c r="U67" s="150"/>
      <c r="V67" s="151" t="str">
        <f aca="false">IF($T67="","",YEAR($T67))</f>
        <v/>
      </c>
      <c r="W67" s="147" t="str">
        <f aca="false">IF($T67="","","T"&amp;ROUNDUP(MONTH($T67)/3,0))</f>
        <v/>
      </c>
      <c r="X67" s="147" t="str">
        <f aca="false">IF($T67="","",TEXT($T67,"mmmm"))</f>
        <v/>
      </c>
      <c r="Y67" s="148"/>
      <c r="Z67" s="152"/>
      <c r="AA67" s="153"/>
      <c r="AB67" s="154" t="str">
        <f aca="false">IF($AA67="","",IF(OR($Y67="FCFA",$Y67=""),$AA67,$AA67*IF($Z67="",1,$Z67)))</f>
        <v/>
      </c>
      <c r="AC67" s="153"/>
      <c r="AD67" s="154" t="str">
        <f aca="false">IF($AC67="","",MAX($AC67-IF($AB67="",0,$AB67),0))</f>
        <v/>
      </c>
      <c r="AE67" s="148"/>
      <c r="AF67" s="148"/>
      <c r="AG67" s="148"/>
      <c r="AH67" s="155"/>
      <c r="AI67" s="148"/>
      <c r="AJ67" s="155"/>
      <c r="AK67" s="155"/>
      <c r="AL67" s="150"/>
      <c r="AM67" s="148"/>
      <c r="AN67" s="148"/>
      <c r="AO67" s="148"/>
      <c r="AP67" s="148"/>
      <c r="AQ67" s="155"/>
      <c r="AR67" s="148"/>
      <c r="AS67" s="148"/>
      <c r="AT67" s="148"/>
      <c r="AU67" s="148"/>
      <c r="AV67" s="153"/>
      <c r="AW67" s="148"/>
      <c r="AX67" s="148"/>
      <c r="AY67" s="155"/>
      <c r="AZ67" s="148"/>
      <c r="BA67" s="148"/>
      <c r="BB67" s="148"/>
      <c r="BC67" s="150"/>
      <c r="BD67" s="148"/>
      <c r="BE67" s="147" t="str">
        <f aca="true">IF($AC67="","",IF($AD67&lt;=0,"Recu integralement",IF(AND($AU67&lt;&gt;"",$AU67&lt;=TODAY()),"Relance necessaire",IF(AND($U67&lt;&gt;"",$T67="",$U67&lt;TODAY()),"Retard",IF($AD67&gt;0.5*$AC67,"Vigilance","Normal")))))</f>
        <v/>
      </c>
      <c r="BF67" s="155"/>
      <c r="BG67" s="151" t="str">
        <f aca="false">IF($D67="","",COUNTIFS($D$39:$D67,$D67))</f>
        <v/>
      </c>
      <c r="BH67" s="151" t="str">
        <f aca="false">IF($H67="","",COUNTIFS($H$39:$H67,$H67))</f>
        <v/>
      </c>
    </row>
    <row r="68" customFormat="false" ht="15" hidden="false" customHeight="true" outlineLevel="0" collapsed="false">
      <c r="A68" s="147" t="str">
        <f aca="false">IF($O68="","","REC"&amp;TEXT(ROW()-38,"00000"))</f>
        <v/>
      </c>
      <c r="B68" s="148"/>
      <c r="C68" s="148"/>
      <c r="D68" s="148"/>
      <c r="E68" s="149" t="n">
        <f aca="false">IFERROR(INDEX(DONATEURS!$B$56:$B$205,MATCH($D68,DONATEURS!$A$56:$A$205,0)),"")</f>
        <v>0</v>
      </c>
      <c r="F68" s="149" t="n">
        <f aca="false">IFERROR(INDEX(DONATEURS!$E$56:$E$205,MATCH($D68,DONATEURS!$A$56:$A$205,0)),"")</f>
        <v>0</v>
      </c>
      <c r="G68" s="149" t="n">
        <f aca="false">IFERROR(INDEX(DONATEURS!$G$56:$G$205,MATCH($D68,DONATEURS!$A$56:$A$205,0)),"")</f>
        <v>0</v>
      </c>
      <c r="H68" s="148"/>
      <c r="I68" s="149" t="n">
        <f aca="false">IFERROR(INDEX(PROJETS!$C$56:$C$95,MATCH($H68,PROJETS!$A$56:$A$95,0)),"")</f>
        <v>0</v>
      </c>
      <c r="J68" s="149" t="n">
        <f aca="false">IFERROR(INDEX(PROJETS!$J$56:$J$95,MATCH($H68,PROJETS!$A$56:$A$95,0)),"")</f>
        <v>0</v>
      </c>
      <c r="K68" s="149" t="n">
        <f aca="false">IFERROR(INDEX(PROJETS!$N$56:$N$95,MATCH($H68,PROJETS!$A$56:$A$95,0)),"")</f>
        <v>0</v>
      </c>
      <c r="L68" s="148"/>
      <c r="M68" s="149" t="n">
        <f aca="false">IFERROR(INDEX(ACTIVITES!$G$56:$G$105,MATCH($L68,ACTIVITES!$A$56:$A$105,0)),"")</f>
        <v>0</v>
      </c>
      <c r="N68" s="148"/>
      <c r="O68" s="148"/>
      <c r="P68" s="148"/>
      <c r="Q68" s="148"/>
      <c r="R68" s="148"/>
      <c r="S68" s="148"/>
      <c r="T68" s="150"/>
      <c r="U68" s="150"/>
      <c r="V68" s="151" t="str">
        <f aca="false">IF($T68="","",YEAR($T68))</f>
        <v/>
      </c>
      <c r="W68" s="147" t="str">
        <f aca="false">IF($T68="","","T"&amp;ROUNDUP(MONTH($T68)/3,0))</f>
        <v/>
      </c>
      <c r="X68" s="147" t="str">
        <f aca="false">IF($T68="","",TEXT($T68,"mmmm"))</f>
        <v/>
      </c>
      <c r="Y68" s="148"/>
      <c r="Z68" s="152"/>
      <c r="AA68" s="153"/>
      <c r="AB68" s="154" t="str">
        <f aca="false">IF($AA68="","",IF(OR($Y68="FCFA",$Y68=""),$AA68,$AA68*IF($Z68="",1,$Z68)))</f>
        <v/>
      </c>
      <c r="AC68" s="153"/>
      <c r="AD68" s="154" t="str">
        <f aca="false">IF($AC68="","",MAX($AC68-IF($AB68="",0,$AB68),0))</f>
        <v/>
      </c>
      <c r="AE68" s="148"/>
      <c r="AF68" s="148"/>
      <c r="AG68" s="148"/>
      <c r="AH68" s="155"/>
      <c r="AI68" s="148"/>
      <c r="AJ68" s="155"/>
      <c r="AK68" s="155"/>
      <c r="AL68" s="150"/>
      <c r="AM68" s="148"/>
      <c r="AN68" s="148"/>
      <c r="AO68" s="148"/>
      <c r="AP68" s="148"/>
      <c r="AQ68" s="155"/>
      <c r="AR68" s="148"/>
      <c r="AS68" s="148"/>
      <c r="AT68" s="148"/>
      <c r="AU68" s="148"/>
      <c r="AV68" s="153"/>
      <c r="AW68" s="148"/>
      <c r="AX68" s="148"/>
      <c r="AY68" s="155"/>
      <c r="AZ68" s="148"/>
      <c r="BA68" s="148"/>
      <c r="BB68" s="148"/>
      <c r="BC68" s="150"/>
      <c r="BD68" s="148"/>
      <c r="BE68" s="147" t="str">
        <f aca="true">IF($AC68="","",IF($AD68&lt;=0,"Recu integralement",IF(AND($AU68&lt;&gt;"",$AU68&lt;=TODAY()),"Relance necessaire",IF(AND($U68&lt;&gt;"",$T68="",$U68&lt;TODAY()),"Retard",IF($AD68&gt;0.5*$AC68,"Vigilance","Normal")))))</f>
        <v/>
      </c>
      <c r="BF68" s="155"/>
      <c r="BG68" s="151" t="str">
        <f aca="false">IF($D68="","",COUNTIFS($D$39:$D68,$D68))</f>
        <v/>
      </c>
      <c r="BH68" s="151" t="str">
        <f aca="false">IF($H68="","",COUNTIFS($H$39:$H68,$H68))</f>
        <v/>
      </c>
    </row>
    <row r="69" customFormat="false" ht="15" hidden="false" customHeight="true" outlineLevel="0" collapsed="false">
      <c r="A69" s="147" t="str">
        <f aca="false">IF($O69="","","REC"&amp;TEXT(ROW()-38,"00000"))</f>
        <v/>
      </c>
      <c r="B69" s="148"/>
      <c r="C69" s="148"/>
      <c r="D69" s="148"/>
      <c r="E69" s="149" t="n">
        <f aca="false">IFERROR(INDEX(DONATEURS!$B$56:$B$205,MATCH($D69,DONATEURS!$A$56:$A$205,0)),"")</f>
        <v>0</v>
      </c>
      <c r="F69" s="149" t="n">
        <f aca="false">IFERROR(INDEX(DONATEURS!$E$56:$E$205,MATCH($D69,DONATEURS!$A$56:$A$205,0)),"")</f>
        <v>0</v>
      </c>
      <c r="G69" s="149" t="n">
        <f aca="false">IFERROR(INDEX(DONATEURS!$G$56:$G$205,MATCH($D69,DONATEURS!$A$56:$A$205,0)),"")</f>
        <v>0</v>
      </c>
      <c r="H69" s="148"/>
      <c r="I69" s="149" t="n">
        <f aca="false">IFERROR(INDEX(PROJETS!$C$56:$C$95,MATCH($H69,PROJETS!$A$56:$A$95,0)),"")</f>
        <v>0</v>
      </c>
      <c r="J69" s="149" t="n">
        <f aca="false">IFERROR(INDEX(PROJETS!$J$56:$J$95,MATCH($H69,PROJETS!$A$56:$A$95,0)),"")</f>
        <v>0</v>
      </c>
      <c r="K69" s="149" t="n">
        <f aca="false">IFERROR(INDEX(PROJETS!$N$56:$N$95,MATCH($H69,PROJETS!$A$56:$A$95,0)),"")</f>
        <v>0</v>
      </c>
      <c r="L69" s="148"/>
      <c r="M69" s="149" t="n">
        <f aca="false">IFERROR(INDEX(ACTIVITES!$G$56:$G$105,MATCH($L69,ACTIVITES!$A$56:$A$105,0)),"")</f>
        <v>0</v>
      </c>
      <c r="N69" s="148"/>
      <c r="O69" s="148"/>
      <c r="P69" s="148"/>
      <c r="Q69" s="148"/>
      <c r="R69" s="148"/>
      <c r="S69" s="148"/>
      <c r="T69" s="150"/>
      <c r="U69" s="150"/>
      <c r="V69" s="151" t="str">
        <f aca="false">IF($T69="","",YEAR($T69))</f>
        <v/>
      </c>
      <c r="W69" s="147" t="str">
        <f aca="false">IF($T69="","","T"&amp;ROUNDUP(MONTH($T69)/3,0))</f>
        <v/>
      </c>
      <c r="X69" s="147" t="str">
        <f aca="false">IF($T69="","",TEXT($T69,"mmmm"))</f>
        <v/>
      </c>
      <c r="Y69" s="148"/>
      <c r="Z69" s="152"/>
      <c r="AA69" s="153"/>
      <c r="AB69" s="154" t="str">
        <f aca="false">IF($AA69="","",IF(OR($Y69="FCFA",$Y69=""),$AA69,$AA69*IF($Z69="",1,$Z69)))</f>
        <v/>
      </c>
      <c r="AC69" s="153"/>
      <c r="AD69" s="154" t="str">
        <f aca="false">IF($AC69="","",MAX($AC69-IF($AB69="",0,$AB69),0))</f>
        <v/>
      </c>
      <c r="AE69" s="148"/>
      <c r="AF69" s="148"/>
      <c r="AG69" s="148"/>
      <c r="AH69" s="155"/>
      <c r="AI69" s="148"/>
      <c r="AJ69" s="155"/>
      <c r="AK69" s="155"/>
      <c r="AL69" s="150"/>
      <c r="AM69" s="148"/>
      <c r="AN69" s="148"/>
      <c r="AO69" s="148"/>
      <c r="AP69" s="148"/>
      <c r="AQ69" s="155"/>
      <c r="AR69" s="148"/>
      <c r="AS69" s="148"/>
      <c r="AT69" s="148"/>
      <c r="AU69" s="148"/>
      <c r="AV69" s="153"/>
      <c r="AW69" s="148"/>
      <c r="AX69" s="148"/>
      <c r="AY69" s="155"/>
      <c r="AZ69" s="148"/>
      <c r="BA69" s="148"/>
      <c r="BB69" s="148"/>
      <c r="BC69" s="150"/>
      <c r="BD69" s="148"/>
      <c r="BE69" s="147" t="str">
        <f aca="true">IF($AC69="","",IF($AD69&lt;=0,"Recu integralement",IF(AND($AU69&lt;&gt;"",$AU69&lt;=TODAY()),"Relance necessaire",IF(AND($U69&lt;&gt;"",$T69="",$U69&lt;TODAY()),"Retard",IF($AD69&gt;0.5*$AC69,"Vigilance","Normal")))))</f>
        <v/>
      </c>
      <c r="BF69" s="155"/>
      <c r="BG69" s="151" t="str">
        <f aca="false">IF($D69="","",COUNTIFS($D$39:$D69,$D69))</f>
        <v/>
      </c>
      <c r="BH69" s="151" t="str">
        <f aca="false">IF($H69="","",COUNTIFS($H$39:$H69,$H69))</f>
        <v/>
      </c>
    </row>
    <row r="70" customFormat="false" ht="15" hidden="false" customHeight="true" outlineLevel="0" collapsed="false">
      <c r="A70" s="147" t="str">
        <f aca="false">IF($O70="","","REC"&amp;TEXT(ROW()-38,"00000"))</f>
        <v/>
      </c>
      <c r="B70" s="148"/>
      <c r="C70" s="148"/>
      <c r="D70" s="148"/>
      <c r="E70" s="149" t="n">
        <f aca="false">IFERROR(INDEX(DONATEURS!$B$56:$B$205,MATCH($D70,DONATEURS!$A$56:$A$205,0)),"")</f>
        <v>0</v>
      </c>
      <c r="F70" s="149" t="n">
        <f aca="false">IFERROR(INDEX(DONATEURS!$E$56:$E$205,MATCH($D70,DONATEURS!$A$56:$A$205,0)),"")</f>
        <v>0</v>
      </c>
      <c r="G70" s="149" t="n">
        <f aca="false">IFERROR(INDEX(DONATEURS!$G$56:$G$205,MATCH($D70,DONATEURS!$A$56:$A$205,0)),"")</f>
        <v>0</v>
      </c>
      <c r="H70" s="148"/>
      <c r="I70" s="149" t="n">
        <f aca="false">IFERROR(INDEX(PROJETS!$C$56:$C$95,MATCH($H70,PROJETS!$A$56:$A$95,0)),"")</f>
        <v>0</v>
      </c>
      <c r="J70" s="149" t="n">
        <f aca="false">IFERROR(INDEX(PROJETS!$J$56:$J$95,MATCH($H70,PROJETS!$A$56:$A$95,0)),"")</f>
        <v>0</v>
      </c>
      <c r="K70" s="149" t="n">
        <f aca="false">IFERROR(INDEX(PROJETS!$N$56:$N$95,MATCH($H70,PROJETS!$A$56:$A$95,0)),"")</f>
        <v>0</v>
      </c>
      <c r="L70" s="148"/>
      <c r="M70" s="149" t="n">
        <f aca="false">IFERROR(INDEX(ACTIVITES!$G$56:$G$105,MATCH($L70,ACTIVITES!$A$56:$A$105,0)),"")</f>
        <v>0</v>
      </c>
      <c r="N70" s="148"/>
      <c r="O70" s="148"/>
      <c r="P70" s="148"/>
      <c r="Q70" s="148"/>
      <c r="R70" s="148"/>
      <c r="S70" s="148"/>
      <c r="T70" s="150"/>
      <c r="U70" s="150"/>
      <c r="V70" s="151" t="str">
        <f aca="false">IF($T70="","",YEAR($T70))</f>
        <v/>
      </c>
      <c r="W70" s="147" t="str">
        <f aca="false">IF($T70="","","T"&amp;ROUNDUP(MONTH($T70)/3,0))</f>
        <v/>
      </c>
      <c r="X70" s="147" t="str">
        <f aca="false">IF($T70="","",TEXT($T70,"mmmm"))</f>
        <v/>
      </c>
      <c r="Y70" s="148"/>
      <c r="Z70" s="152"/>
      <c r="AA70" s="153"/>
      <c r="AB70" s="154" t="str">
        <f aca="false">IF($AA70="","",IF(OR($Y70="FCFA",$Y70=""),$AA70,$AA70*IF($Z70="",1,$Z70)))</f>
        <v/>
      </c>
      <c r="AC70" s="153"/>
      <c r="AD70" s="154" t="str">
        <f aca="false">IF($AC70="","",MAX($AC70-IF($AB70="",0,$AB70),0))</f>
        <v/>
      </c>
      <c r="AE70" s="148"/>
      <c r="AF70" s="148"/>
      <c r="AG70" s="148"/>
      <c r="AH70" s="155"/>
      <c r="AI70" s="148"/>
      <c r="AJ70" s="155"/>
      <c r="AK70" s="155"/>
      <c r="AL70" s="150"/>
      <c r="AM70" s="148"/>
      <c r="AN70" s="148"/>
      <c r="AO70" s="148"/>
      <c r="AP70" s="148"/>
      <c r="AQ70" s="155"/>
      <c r="AR70" s="148"/>
      <c r="AS70" s="148"/>
      <c r="AT70" s="148"/>
      <c r="AU70" s="148"/>
      <c r="AV70" s="153"/>
      <c r="AW70" s="148"/>
      <c r="AX70" s="148"/>
      <c r="AY70" s="155"/>
      <c r="AZ70" s="148"/>
      <c r="BA70" s="148"/>
      <c r="BB70" s="148"/>
      <c r="BC70" s="150"/>
      <c r="BD70" s="148"/>
      <c r="BE70" s="147" t="str">
        <f aca="true">IF($AC70="","",IF($AD70&lt;=0,"Recu integralement",IF(AND($AU70&lt;&gt;"",$AU70&lt;=TODAY()),"Relance necessaire",IF(AND($U70&lt;&gt;"",$T70="",$U70&lt;TODAY()),"Retard",IF($AD70&gt;0.5*$AC70,"Vigilance","Normal")))))</f>
        <v/>
      </c>
      <c r="BF70" s="155"/>
      <c r="BG70" s="151" t="str">
        <f aca="false">IF($D70="","",COUNTIFS($D$39:$D70,$D70))</f>
        <v/>
      </c>
      <c r="BH70" s="151" t="str">
        <f aca="false">IF($H70="","",COUNTIFS($H$39:$H70,$H70))</f>
        <v/>
      </c>
    </row>
    <row r="71" customFormat="false" ht="15" hidden="false" customHeight="true" outlineLevel="0" collapsed="false">
      <c r="A71" s="147" t="str">
        <f aca="false">IF($O71="","","REC"&amp;TEXT(ROW()-38,"00000"))</f>
        <v/>
      </c>
      <c r="B71" s="148"/>
      <c r="C71" s="148"/>
      <c r="D71" s="148"/>
      <c r="E71" s="149" t="n">
        <f aca="false">IFERROR(INDEX(DONATEURS!$B$56:$B$205,MATCH($D71,DONATEURS!$A$56:$A$205,0)),"")</f>
        <v>0</v>
      </c>
      <c r="F71" s="149" t="n">
        <f aca="false">IFERROR(INDEX(DONATEURS!$E$56:$E$205,MATCH($D71,DONATEURS!$A$56:$A$205,0)),"")</f>
        <v>0</v>
      </c>
      <c r="G71" s="149" t="n">
        <f aca="false">IFERROR(INDEX(DONATEURS!$G$56:$G$205,MATCH($D71,DONATEURS!$A$56:$A$205,0)),"")</f>
        <v>0</v>
      </c>
      <c r="H71" s="148"/>
      <c r="I71" s="149" t="n">
        <f aca="false">IFERROR(INDEX(PROJETS!$C$56:$C$95,MATCH($H71,PROJETS!$A$56:$A$95,0)),"")</f>
        <v>0</v>
      </c>
      <c r="J71" s="149" t="n">
        <f aca="false">IFERROR(INDEX(PROJETS!$J$56:$J$95,MATCH($H71,PROJETS!$A$56:$A$95,0)),"")</f>
        <v>0</v>
      </c>
      <c r="K71" s="149" t="n">
        <f aca="false">IFERROR(INDEX(PROJETS!$N$56:$N$95,MATCH($H71,PROJETS!$A$56:$A$95,0)),"")</f>
        <v>0</v>
      </c>
      <c r="L71" s="148"/>
      <c r="M71" s="149" t="n">
        <f aca="false">IFERROR(INDEX(ACTIVITES!$G$56:$G$105,MATCH($L71,ACTIVITES!$A$56:$A$105,0)),"")</f>
        <v>0</v>
      </c>
      <c r="N71" s="148"/>
      <c r="O71" s="148"/>
      <c r="P71" s="148"/>
      <c r="Q71" s="148"/>
      <c r="R71" s="148"/>
      <c r="S71" s="148"/>
      <c r="T71" s="150"/>
      <c r="U71" s="150"/>
      <c r="V71" s="151" t="str">
        <f aca="false">IF($T71="","",YEAR($T71))</f>
        <v/>
      </c>
      <c r="W71" s="147" t="str">
        <f aca="false">IF($T71="","","T"&amp;ROUNDUP(MONTH($T71)/3,0))</f>
        <v/>
      </c>
      <c r="X71" s="147" t="str">
        <f aca="false">IF($T71="","",TEXT($T71,"mmmm"))</f>
        <v/>
      </c>
      <c r="Y71" s="148"/>
      <c r="Z71" s="152"/>
      <c r="AA71" s="153"/>
      <c r="AB71" s="154" t="str">
        <f aca="false">IF($AA71="","",IF(OR($Y71="FCFA",$Y71=""),$AA71,$AA71*IF($Z71="",1,$Z71)))</f>
        <v/>
      </c>
      <c r="AC71" s="153"/>
      <c r="AD71" s="154" t="str">
        <f aca="false">IF($AC71="","",MAX($AC71-IF($AB71="",0,$AB71),0))</f>
        <v/>
      </c>
      <c r="AE71" s="148"/>
      <c r="AF71" s="148"/>
      <c r="AG71" s="148"/>
      <c r="AH71" s="155"/>
      <c r="AI71" s="148"/>
      <c r="AJ71" s="155"/>
      <c r="AK71" s="155"/>
      <c r="AL71" s="150"/>
      <c r="AM71" s="148"/>
      <c r="AN71" s="148"/>
      <c r="AO71" s="148"/>
      <c r="AP71" s="148"/>
      <c r="AQ71" s="155"/>
      <c r="AR71" s="148"/>
      <c r="AS71" s="148"/>
      <c r="AT71" s="148"/>
      <c r="AU71" s="148"/>
      <c r="AV71" s="153"/>
      <c r="AW71" s="148"/>
      <c r="AX71" s="148"/>
      <c r="AY71" s="155"/>
      <c r="AZ71" s="148"/>
      <c r="BA71" s="148"/>
      <c r="BB71" s="148"/>
      <c r="BC71" s="150"/>
      <c r="BD71" s="148"/>
      <c r="BE71" s="147" t="str">
        <f aca="true">IF($AC71="","",IF($AD71&lt;=0,"Recu integralement",IF(AND($AU71&lt;&gt;"",$AU71&lt;=TODAY()),"Relance necessaire",IF(AND($U71&lt;&gt;"",$T71="",$U71&lt;TODAY()),"Retard",IF($AD71&gt;0.5*$AC71,"Vigilance","Normal")))))</f>
        <v/>
      </c>
      <c r="BF71" s="155"/>
      <c r="BG71" s="151" t="str">
        <f aca="false">IF($D71="","",COUNTIFS($D$39:$D71,$D71))</f>
        <v/>
      </c>
      <c r="BH71" s="151" t="str">
        <f aca="false">IF($H71="","",COUNTIFS($H$39:$H71,$H71))</f>
        <v/>
      </c>
    </row>
    <row r="72" customFormat="false" ht="15" hidden="false" customHeight="true" outlineLevel="0" collapsed="false">
      <c r="A72" s="147" t="str">
        <f aca="false">IF($O72="","","REC"&amp;TEXT(ROW()-38,"00000"))</f>
        <v/>
      </c>
      <c r="B72" s="148"/>
      <c r="C72" s="148"/>
      <c r="D72" s="148"/>
      <c r="E72" s="149" t="n">
        <f aca="false">IFERROR(INDEX(DONATEURS!$B$56:$B$205,MATCH($D72,DONATEURS!$A$56:$A$205,0)),"")</f>
        <v>0</v>
      </c>
      <c r="F72" s="149" t="n">
        <f aca="false">IFERROR(INDEX(DONATEURS!$E$56:$E$205,MATCH($D72,DONATEURS!$A$56:$A$205,0)),"")</f>
        <v>0</v>
      </c>
      <c r="G72" s="149" t="n">
        <f aca="false">IFERROR(INDEX(DONATEURS!$G$56:$G$205,MATCH($D72,DONATEURS!$A$56:$A$205,0)),"")</f>
        <v>0</v>
      </c>
      <c r="H72" s="148"/>
      <c r="I72" s="149" t="n">
        <f aca="false">IFERROR(INDEX(PROJETS!$C$56:$C$95,MATCH($H72,PROJETS!$A$56:$A$95,0)),"")</f>
        <v>0</v>
      </c>
      <c r="J72" s="149" t="n">
        <f aca="false">IFERROR(INDEX(PROJETS!$J$56:$J$95,MATCH($H72,PROJETS!$A$56:$A$95,0)),"")</f>
        <v>0</v>
      </c>
      <c r="K72" s="149" t="n">
        <f aca="false">IFERROR(INDEX(PROJETS!$N$56:$N$95,MATCH($H72,PROJETS!$A$56:$A$95,0)),"")</f>
        <v>0</v>
      </c>
      <c r="L72" s="148"/>
      <c r="M72" s="149" t="n">
        <f aca="false">IFERROR(INDEX(ACTIVITES!$G$56:$G$105,MATCH($L72,ACTIVITES!$A$56:$A$105,0)),"")</f>
        <v>0</v>
      </c>
      <c r="N72" s="148"/>
      <c r="O72" s="148"/>
      <c r="P72" s="148"/>
      <c r="Q72" s="148"/>
      <c r="R72" s="148"/>
      <c r="S72" s="148"/>
      <c r="T72" s="150"/>
      <c r="U72" s="150"/>
      <c r="V72" s="151" t="str">
        <f aca="false">IF($T72="","",YEAR($T72))</f>
        <v/>
      </c>
      <c r="W72" s="147" t="str">
        <f aca="false">IF($T72="","","T"&amp;ROUNDUP(MONTH($T72)/3,0))</f>
        <v/>
      </c>
      <c r="X72" s="147" t="str">
        <f aca="false">IF($T72="","",TEXT($T72,"mmmm"))</f>
        <v/>
      </c>
      <c r="Y72" s="148"/>
      <c r="Z72" s="152"/>
      <c r="AA72" s="153"/>
      <c r="AB72" s="154" t="str">
        <f aca="false">IF($AA72="","",IF(OR($Y72="FCFA",$Y72=""),$AA72,$AA72*IF($Z72="",1,$Z72)))</f>
        <v/>
      </c>
      <c r="AC72" s="153"/>
      <c r="AD72" s="154" t="str">
        <f aca="false">IF($AC72="","",MAX($AC72-IF($AB72="",0,$AB72),0))</f>
        <v/>
      </c>
      <c r="AE72" s="148"/>
      <c r="AF72" s="148"/>
      <c r="AG72" s="148"/>
      <c r="AH72" s="155"/>
      <c r="AI72" s="148"/>
      <c r="AJ72" s="155"/>
      <c r="AK72" s="155"/>
      <c r="AL72" s="150"/>
      <c r="AM72" s="148"/>
      <c r="AN72" s="148"/>
      <c r="AO72" s="148"/>
      <c r="AP72" s="148"/>
      <c r="AQ72" s="155"/>
      <c r="AR72" s="148"/>
      <c r="AS72" s="148"/>
      <c r="AT72" s="148"/>
      <c r="AU72" s="148"/>
      <c r="AV72" s="153"/>
      <c r="AW72" s="148"/>
      <c r="AX72" s="148"/>
      <c r="AY72" s="155"/>
      <c r="AZ72" s="148"/>
      <c r="BA72" s="148"/>
      <c r="BB72" s="148"/>
      <c r="BC72" s="150"/>
      <c r="BD72" s="148"/>
      <c r="BE72" s="147" t="str">
        <f aca="true">IF($AC72="","",IF($AD72&lt;=0,"Recu integralement",IF(AND($AU72&lt;&gt;"",$AU72&lt;=TODAY()),"Relance necessaire",IF(AND($U72&lt;&gt;"",$T72="",$U72&lt;TODAY()),"Retard",IF($AD72&gt;0.5*$AC72,"Vigilance","Normal")))))</f>
        <v/>
      </c>
      <c r="BF72" s="155"/>
      <c r="BG72" s="151" t="str">
        <f aca="false">IF($D72="","",COUNTIFS($D$39:$D72,$D72))</f>
        <v/>
      </c>
      <c r="BH72" s="151" t="str">
        <f aca="false">IF($H72="","",COUNTIFS($H$39:$H72,$H72))</f>
        <v/>
      </c>
    </row>
    <row r="73" customFormat="false" ht="15" hidden="false" customHeight="true" outlineLevel="0" collapsed="false">
      <c r="A73" s="147" t="str">
        <f aca="false">IF($O73="","","REC"&amp;TEXT(ROW()-38,"00000"))</f>
        <v/>
      </c>
      <c r="B73" s="148"/>
      <c r="C73" s="148"/>
      <c r="D73" s="148"/>
      <c r="E73" s="149" t="n">
        <f aca="false">IFERROR(INDEX(DONATEURS!$B$56:$B$205,MATCH($D73,DONATEURS!$A$56:$A$205,0)),"")</f>
        <v>0</v>
      </c>
      <c r="F73" s="149" t="n">
        <f aca="false">IFERROR(INDEX(DONATEURS!$E$56:$E$205,MATCH($D73,DONATEURS!$A$56:$A$205,0)),"")</f>
        <v>0</v>
      </c>
      <c r="G73" s="149" t="n">
        <f aca="false">IFERROR(INDEX(DONATEURS!$G$56:$G$205,MATCH($D73,DONATEURS!$A$56:$A$205,0)),"")</f>
        <v>0</v>
      </c>
      <c r="H73" s="148"/>
      <c r="I73" s="149" t="n">
        <f aca="false">IFERROR(INDEX(PROJETS!$C$56:$C$95,MATCH($H73,PROJETS!$A$56:$A$95,0)),"")</f>
        <v>0</v>
      </c>
      <c r="J73" s="149" t="n">
        <f aca="false">IFERROR(INDEX(PROJETS!$J$56:$J$95,MATCH($H73,PROJETS!$A$56:$A$95,0)),"")</f>
        <v>0</v>
      </c>
      <c r="K73" s="149" t="n">
        <f aca="false">IFERROR(INDEX(PROJETS!$N$56:$N$95,MATCH($H73,PROJETS!$A$56:$A$95,0)),"")</f>
        <v>0</v>
      </c>
      <c r="L73" s="148"/>
      <c r="M73" s="149" t="n">
        <f aca="false">IFERROR(INDEX(ACTIVITES!$G$56:$G$105,MATCH($L73,ACTIVITES!$A$56:$A$105,0)),"")</f>
        <v>0</v>
      </c>
      <c r="N73" s="148"/>
      <c r="O73" s="148"/>
      <c r="P73" s="148"/>
      <c r="Q73" s="148"/>
      <c r="R73" s="148"/>
      <c r="S73" s="148"/>
      <c r="T73" s="150"/>
      <c r="U73" s="150"/>
      <c r="V73" s="151" t="str">
        <f aca="false">IF($T73="","",YEAR($T73))</f>
        <v/>
      </c>
      <c r="W73" s="147" t="str">
        <f aca="false">IF($T73="","","T"&amp;ROUNDUP(MONTH($T73)/3,0))</f>
        <v/>
      </c>
      <c r="X73" s="147" t="str">
        <f aca="false">IF($T73="","",TEXT($T73,"mmmm"))</f>
        <v/>
      </c>
      <c r="Y73" s="148"/>
      <c r="Z73" s="152"/>
      <c r="AA73" s="153"/>
      <c r="AB73" s="154" t="str">
        <f aca="false">IF($AA73="","",IF(OR($Y73="FCFA",$Y73=""),$AA73,$AA73*IF($Z73="",1,$Z73)))</f>
        <v/>
      </c>
      <c r="AC73" s="153"/>
      <c r="AD73" s="154" t="str">
        <f aca="false">IF($AC73="","",MAX($AC73-IF($AB73="",0,$AB73),0))</f>
        <v/>
      </c>
      <c r="AE73" s="148"/>
      <c r="AF73" s="148"/>
      <c r="AG73" s="148"/>
      <c r="AH73" s="155"/>
      <c r="AI73" s="148"/>
      <c r="AJ73" s="155"/>
      <c r="AK73" s="155"/>
      <c r="AL73" s="150"/>
      <c r="AM73" s="148"/>
      <c r="AN73" s="148"/>
      <c r="AO73" s="148"/>
      <c r="AP73" s="148"/>
      <c r="AQ73" s="155"/>
      <c r="AR73" s="148"/>
      <c r="AS73" s="148"/>
      <c r="AT73" s="148"/>
      <c r="AU73" s="148"/>
      <c r="AV73" s="153"/>
      <c r="AW73" s="148"/>
      <c r="AX73" s="148"/>
      <c r="AY73" s="155"/>
      <c r="AZ73" s="148"/>
      <c r="BA73" s="148"/>
      <c r="BB73" s="148"/>
      <c r="BC73" s="150"/>
      <c r="BD73" s="148"/>
      <c r="BE73" s="147" t="str">
        <f aca="true">IF($AC73="","",IF($AD73&lt;=0,"Recu integralement",IF(AND($AU73&lt;&gt;"",$AU73&lt;=TODAY()),"Relance necessaire",IF(AND($U73&lt;&gt;"",$T73="",$U73&lt;TODAY()),"Retard",IF($AD73&gt;0.5*$AC73,"Vigilance","Normal")))))</f>
        <v/>
      </c>
      <c r="BF73" s="155"/>
      <c r="BG73" s="151" t="str">
        <f aca="false">IF($D73="","",COUNTIFS($D$39:$D73,$D73))</f>
        <v/>
      </c>
      <c r="BH73" s="151" t="str">
        <f aca="false">IF($H73="","",COUNTIFS($H$39:$H73,$H73))</f>
        <v/>
      </c>
    </row>
    <row r="74" customFormat="false" ht="15" hidden="false" customHeight="true" outlineLevel="0" collapsed="false">
      <c r="A74" s="147" t="str">
        <f aca="false">IF($O74="","","REC"&amp;TEXT(ROW()-38,"00000"))</f>
        <v/>
      </c>
      <c r="B74" s="148"/>
      <c r="C74" s="148"/>
      <c r="D74" s="148"/>
      <c r="E74" s="149" t="n">
        <f aca="false">IFERROR(INDEX(DONATEURS!$B$56:$B$205,MATCH($D74,DONATEURS!$A$56:$A$205,0)),"")</f>
        <v>0</v>
      </c>
      <c r="F74" s="149" t="n">
        <f aca="false">IFERROR(INDEX(DONATEURS!$E$56:$E$205,MATCH($D74,DONATEURS!$A$56:$A$205,0)),"")</f>
        <v>0</v>
      </c>
      <c r="G74" s="149" t="n">
        <f aca="false">IFERROR(INDEX(DONATEURS!$G$56:$G$205,MATCH($D74,DONATEURS!$A$56:$A$205,0)),"")</f>
        <v>0</v>
      </c>
      <c r="H74" s="148"/>
      <c r="I74" s="149" t="n">
        <f aca="false">IFERROR(INDEX(PROJETS!$C$56:$C$95,MATCH($H74,PROJETS!$A$56:$A$95,0)),"")</f>
        <v>0</v>
      </c>
      <c r="J74" s="149" t="n">
        <f aca="false">IFERROR(INDEX(PROJETS!$J$56:$J$95,MATCH($H74,PROJETS!$A$56:$A$95,0)),"")</f>
        <v>0</v>
      </c>
      <c r="K74" s="149" t="n">
        <f aca="false">IFERROR(INDEX(PROJETS!$N$56:$N$95,MATCH($H74,PROJETS!$A$56:$A$95,0)),"")</f>
        <v>0</v>
      </c>
      <c r="L74" s="148"/>
      <c r="M74" s="149" t="n">
        <f aca="false">IFERROR(INDEX(ACTIVITES!$G$56:$G$105,MATCH($L74,ACTIVITES!$A$56:$A$105,0)),"")</f>
        <v>0</v>
      </c>
      <c r="N74" s="148"/>
      <c r="O74" s="148"/>
      <c r="P74" s="148"/>
      <c r="Q74" s="148"/>
      <c r="R74" s="148"/>
      <c r="S74" s="148"/>
      <c r="T74" s="150"/>
      <c r="U74" s="150"/>
      <c r="V74" s="151" t="str">
        <f aca="false">IF($T74="","",YEAR($T74))</f>
        <v/>
      </c>
      <c r="W74" s="147" t="str">
        <f aca="false">IF($T74="","","T"&amp;ROUNDUP(MONTH($T74)/3,0))</f>
        <v/>
      </c>
      <c r="X74" s="147" t="str">
        <f aca="false">IF($T74="","",TEXT($T74,"mmmm"))</f>
        <v/>
      </c>
      <c r="Y74" s="148"/>
      <c r="Z74" s="152"/>
      <c r="AA74" s="153"/>
      <c r="AB74" s="154" t="str">
        <f aca="false">IF($AA74="","",IF(OR($Y74="FCFA",$Y74=""),$AA74,$AA74*IF($Z74="",1,$Z74)))</f>
        <v/>
      </c>
      <c r="AC74" s="153"/>
      <c r="AD74" s="154" t="str">
        <f aca="false">IF($AC74="","",MAX($AC74-IF($AB74="",0,$AB74),0))</f>
        <v/>
      </c>
      <c r="AE74" s="148"/>
      <c r="AF74" s="148"/>
      <c r="AG74" s="148"/>
      <c r="AH74" s="155"/>
      <c r="AI74" s="148"/>
      <c r="AJ74" s="155"/>
      <c r="AK74" s="155"/>
      <c r="AL74" s="150"/>
      <c r="AM74" s="148"/>
      <c r="AN74" s="148"/>
      <c r="AO74" s="148"/>
      <c r="AP74" s="148"/>
      <c r="AQ74" s="155"/>
      <c r="AR74" s="148"/>
      <c r="AS74" s="148"/>
      <c r="AT74" s="148"/>
      <c r="AU74" s="148"/>
      <c r="AV74" s="153"/>
      <c r="AW74" s="148"/>
      <c r="AX74" s="148"/>
      <c r="AY74" s="155"/>
      <c r="AZ74" s="148"/>
      <c r="BA74" s="148"/>
      <c r="BB74" s="148"/>
      <c r="BC74" s="150"/>
      <c r="BD74" s="148"/>
      <c r="BE74" s="147" t="str">
        <f aca="true">IF($AC74="","",IF($AD74&lt;=0,"Recu integralement",IF(AND($AU74&lt;&gt;"",$AU74&lt;=TODAY()),"Relance necessaire",IF(AND($U74&lt;&gt;"",$T74="",$U74&lt;TODAY()),"Retard",IF($AD74&gt;0.5*$AC74,"Vigilance","Normal")))))</f>
        <v/>
      </c>
      <c r="BF74" s="155"/>
      <c r="BG74" s="151" t="str">
        <f aca="false">IF($D74="","",COUNTIFS($D$39:$D74,$D74))</f>
        <v/>
      </c>
      <c r="BH74" s="151" t="str">
        <f aca="false">IF($H74="","",COUNTIFS($H$39:$H74,$H74))</f>
        <v/>
      </c>
    </row>
    <row r="75" customFormat="false" ht="15" hidden="false" customHeight="true" outlineLevel="0" collapsed="false">
      <c r="A75" s="147" t="str">
        <f aca="false">IF($O75="","","REC"&amp;TEXT(ROW()-38,"00000"))</f>
        <v/>
      </c>
      <c r="B75" s="148"/>
      <c r="C75" s="148"/>
      <c r="D75" s="148"/>
      <c r="E75" s="149" t="n">
        <f aca="false">IFERROR(INDEX(DONATEURS!$B$56:$B$205,MATCH($D75,DONATEURS!$A$56:$A$205,0)),"")</f>
        <v>0</v>
      </c>
      <c r="F75" s="149" t="n">
        <f aca="false">IFERROR(INDEX(DONATEURS!$E$56:$E$205,MATCH($D75,DONATEURS!$A$56:$A$205,0)),"")</f>
        <v>0</v>
      </c>
      <c r="G75" s="149" t="n">
        <f aca="false">IFERROR(INDEX(DONATEURS!$G$56:$G$205,MATCH($D75,DONATEURS!$A$56:$A$205,0)),"")</f>
        <v>0</v>
      </c>
      <c r="H75" s="148"/>
      <c r="I75" s="149" t="n">
        <f aca="false">IFERROR(INDEX(PROJETS!$C$56:$C$95,MATCH($H75,PROJETS!$A$56:$A$95,0)),"")</f>
        <v>0</v>
      </c>
      <c r="J75" s="149" t="n">
        <f aca="false">IFERROR(INDEX(PROJETS!$J$56:$J$95,MATCH($H75,PROJETS!$A$56:$A$95,0)),"")</f>
        <v>0</v>
      </c>
      <c r="K75" s="149" t="n">
        <f aca="false">IFERROR(INDEX(PROJETS!$N$56:$N$95,MATCH($H75,PROJETS!$A$56:$A$95,0)),"")</f>
        <v>0</v>
      </c>
      <c r="L75" s="148"/>
      <c r="M75" s="149" t="n">
        <f aca="false">IFERROR(INDEX(ACTIVITES!$G$56:$G$105,MATCH($L75,ACTIVITES!$A$56:$A$105,0)),"")</f>
        <v>0</v>
      </c>
      <c r="N75" s="148"/>
      <c r="O75" s="148"/>
      <c r="P75" s="148"/>
      <c r="Q75" s="148"/>
      <c r="R75" s="148"/>
      <c r="S75" s="148"/>
      <c r="T75" s="150"/>
      <c r="U75" s="150"/>
      <c r="V75" s="151" t="str">
        <f aca="false">IF($T75="","",YEAR($T75))</f>
        <v/>
      </c>
      <c r="W75" s="147" t="str">
        <f aca="false">IF($T75="","","T"&amp;ROUNDUP(MONTH($T75)/3,0))</f>
        <v/>
      </c>
      <c r="X75" s="147" t="str">
        <f aca="false">IF($T75="","",TEXT($T75,"mmmm"))</f>
        <v/>
      </c>
      <c r="Y75" s="148"/>
      <c r="Z75" s="152"/>
      <c r="AA75" s="153"/>
      <c r="AB75" s="154" t="str">
        <f aca="false">IF($AA75="","",IF(OR($Y75="FCFA",$Y75=""),$AA75,$AA75*IF($Z75="",1,$Z75)))</f>
        <v/>
      </c>
      <c r="AC75" s="153"/>
      <c r="AD75" s="154" t="str">
        <f aca="false">IF($AC75="","",MAX($AC75-IF($AB75="",0,$AB75),0))</f>
        <v/>
      </c>
      <c r="AE75" s="148"/>
      <c r="AF75" s="148"/>
      <c r="AG75" s="148"/>
      <c r="AH75" s="155"/>
      <c r="AI75" s="148"/>
      <c r="AJ75" s="155"/>
      <c r="AK75" s="155"/>
      <c r="AL75" s="150"/>
      <c r="AM75" s="148"/>
      <c r="AN75" s="148"/>
      <c r="AO75" s="148"/>
      <c r="AP75" s="148"/>
      <c r="AQ75" s="155"/>
      <c r="AR75" s="148"/>
      <c r="AS75" s="148"/>
      <c r="AT75" s="148"/>
      <c r="AU75" s="148"/>
      <c r="AV75" s="153"/>
      <c r="AW75" s="148"/>
      <c r="AX75" s="148"/>
      <c r="AY75" s="155"/>
      <c r="AZ75" s="148"/>
      <c r="BA75" s="148"/>
      <c r="BB75" s="148"/>
      <c r="BC75" s="150"/>
      <c r="BD75" s="148"/>
      <c r="BE75" s="147" t="str">
        <f aca="true">IF($AC75="","",IF($AD75&lt;=0,"Recu integralement",IF(AND($AU75&lt;&gt;"",$AU75&lt;=TODAY()),"Relance necessaire",IF(AND($U75&lt;&gt;"",$T75="",$U75&lt;TODAY()),"Retard",IF($AD75&gt;0.5*$AC75,"Vigilance","Normal")))))</f>
        <v/>
      </c>
      <c r="BF75" s="155"/>
      <c r="BG75" s="151" t="str">
        <f aca="false">IF($D75="","",COUNTIFS($D$39:$D75,$D75))</f>
        <v/>
      </c>
      <c r="BH75" s="151" t="str">
        <f aca="false">IF($H75="","",COUNTIFS($H$39:$H75,$H75))</f>
        <v/>
      </c>
    </row>
    <row r="76" customFormat="false" ht="15" hidden="false" customHeight="true" outlineLevel="0" collapsed="false">
      <c r="A76" s="147" t="str">
        <f aca="false">IF($O76="","","REC"&amp;TEXT(ROW()-38,"00000"))</f>
        <v/>
      </c>
      <c r="B76" s="148"/>
      <c r="C76" s="148"/>
      <c r="D76" s="148"/>
      <c r="E76" s="149" t="n">
        <f aca="false">IFERROR(INDEX(DONATEURS!$B$56:$B$205,MATCH($D76,DONATEURS!$A$56:$A$205,0)),"")</f>
        <v>0</v>
      </c>
      <c r="F76" s="149" t="n">
        <f aca="false">IFERROR(INDEX(DONATEURS!$E$56:$E$205,MATCH($D76,DONATEURS!$A$56:$A$205,0)),"")</f>
        <v>0</v>
      </c>
      <c r="G76" s="149" t="n">
        <f aca="false">IFERROR(INDEX(DONATEURS!$G$56:$G$205,MATCH($D76,DONATEURS!$A$56:$A$205,0)),"")</f>
        <v>0</v>
      </c>
      <c r="H76" s="148"/>
      <c r="I76" s="149" t="n">
        <f aca="false">IFERROR(INDEX(PROJETS!$C$56:$C$95,MATCH($H76,PROJETS!$A$56:$A$95,0)),"")</f>
        <v>0</v>
      </c>
      <c r="J76" s="149" t="n">
        <f aca="false">IFERROR(INDEX(PROJETS!$J$56:$J$95,MATCH($H76,PROJETS!$A$56:$A$95,0)),"")</f>
        <v>0</v>
      </c>
      <c r="K76" s="149" t="n">
        <f aca="false">IFERROR(INDEX(PROJETS!$N$56:$N$95,MATCH($H76,PROJETS!$A$56:$A$95,0)),"")</f>
        <v>0</v>
      </c>
      <c r="L76" s="148"/>
      <c r="M76" s="149" t="n">
        <f aca="false">IFERROR(INDEX(ACTIVITES!$G$56:$G$105,MATCH($L76,ACTIVITES!$A$56:$A$105,0)),"")</f>
        <v>0</v>
      </c>
      <c r="N76" s="148"/>
      <c r="O76" s="148"/>
      <c r="P76" s="148"/>
      <c r="Q76" s="148"/>
      <c r="R76" s="148"/>
      <c r="S76" s="148"/>
      <c r="T76" s="150"/>
      <c r="U76" s="150"/>
      <c r="V76" s="151" t="str">
        <f aca="false">IF($T76="","",YEAR($T76))</f>
        <v/>
      </c>
      <c r="W76" s="147" t="str">
        <f aca="false">IF($T76="","","T"&amp;ROUNDUP(MONTH($T76)/3,0))</f>
        <v/>
      </c>
      <c r="X76" s="147" t="str">
        <f aca="false">IF($T76="","",TEXT($T76,"mmmm"))</f>
        <v/>
      </c>
      <c r="Y76" s="148"/>
      <c r="Z76" s="152"/>
      <c r="AA76" s="153"/>
      <c r="AB76" s="154" t="str">
        <f aca="false">IF($AA76="","",IF(OR($Y76="FCFA",$Y76=""),$AA76,$AA76*IF($Z76="",1,$Z76)))</f>
        <v/>
      </c>
      <c r="AC76" s="153"/>
      <c r="AD76" s="154" t="str">
        <f aca="false">IF($AC76="","",MAX($AC76-IF($AB76="",0,$AB76),0))</f>
        <v/>
      </c>
      <c r="AE76" s="148"/>
      <c r="AF76" s="148"/>
      <c r="AG76" s="148"/>
      <c r="AH76" s="155"/>
      <c r="AI76" s="148"/>
      <c r="AJ76" s="155"/>
      <c r="AK76" s="155"/>
      <c r="AL76" s="150"/>
      <c r="AM76" s="148"/>
      <c r="AN76" s="148"/>
      <c r="AO76" s="148"/>
      <c r="AP76" s="148"/>
      <c r="AQ76" s="155"/>
      <c r="AR76" s="148"/>
      <c r="AS76" s="148"/>
      <c r="AT76" s="148"/>
      <c r="AU76" s="148"/>
      <c r="AV76" s="153"/>
      <c r="AW76" s="148"/>
      <c r="AX76" s="148"/>
      <c r="AY76" s="155"/>
      <c r="AZ76" s="148"/>
      <c r="BA76" s="148"/>
      <c r="BB76" s="148"/>
      <c r="BC76" s="150"/>
      <c r="BD76" s="148"/>
      <c r="BE76" s="147" t="str">
        <f aca="true">IF($AC76="","",IF($AD76&lt;=0,"Recu integralement",IF(AND($AU76&lt;&gt;"",$AU76&lt;=TODAY()),"Relance necessaire",IF(AND($U76&lt;&gt;"",$T76="",$U76&lt;TODAY()),"Retard",IF($AD76&gt;0.5*$AC76,"Vigilance","Normal")))))</f>
        <v/>
      </c>
      <c r="BF76" s="155"/>
      <c r="BG76" s="151" t="str">
        <f aca="false">IF($D76="","",COUNTIFS($D$39:$D76,$D76))</f>
        <v/>
      </c>
      <c r="BH76" s="151" t="str">
        <f aca="false">IF($H76="","",COUNTIFS($H$39:$H76,$H76))</f>
        <v/>
      </c>
    </row>
    <row r="77" customFormat="false" ht="15" hidden="false" customHeight="true" outlineLevel="0" collapsed="false">
      <c r="A77" s="147" t="str">
        <f aca="false">IF($O77="","","REC"&amp;TEXT(ROW()-38,"00000"))</f>
        <v/>
      </c>
      <c r="B77" s="148"/>
      <c r="C77" s="148"/>
      <c r="D77" s="148"/>
      <c r="E77" s="149" t="n">
        <f aca="false">IFERROR(INDEX(DONATEURS!$B$56:$B$205,MATCH($D77,DONATEURS!$A$56:$A$205,0)),"")</f>
        <v>0</v>
      </c>
      <c r="F77" s="149" t="n">
        <f aca="false">IFERROR(INDEX(DONATEURS!$E$56:$E$205,MATCH($D77,DONATEURS!$A$56:$A$205,0)),"")</f>
        <v>0</v>
      </c>
      <c r="G77" s="149" t="n">
        <f aca="false">IFERROR(INDEX(DONATEURS!$G$56:$G$205,MATCH($D77,DONATEURS!$A$56:$A$205,0)),"")</f>
        <v>0</v>
      </c>
      <c r="H77" s="148"/>
      <c r="I77" s="149" t="n">
        <f aca="false">IFERROR(INDEX(PROJETS!$C$56:$C$95,MATCH($H77,PROJETS!$A$56:$A$95,0)),"")</f>
        <v>0</v>
      </c>
      <c r="J77" s="149" t="n">
        <f aca="false">IFERROR(INDEX(PROJETS!$J$56:$J$95,MATCH($H77,PROJETS!$A$56:$A$95,0)),"")</f>
        <v>0</v>
      </c>
      <c r="K77" s="149" t="n">
        <f aca="false">IFERROR(INDEX(PROJETS!$N$56:$N$95,MATCH($H77,PROJETS!$A$56:$A$95,0)),"")</f>
        <v>0</v>
      </c>
      <c r="L77" s="148"/>
      <c r="M77" s="149" t="n">
        <f aca="false">IFERROR(INDEX(ACTIVITES!$G$56:$G$105,MATCH($L77,ACTIVITES!$A$56:$A$105,0)),"")</f>
        <v>0</v>
      </c>
      <c r="N77" s="148"/>
      <c r="O77" s="148"/>
      <c r="P77" s="148"/>
      <c r="Q77" s="148"/>
      <c r="R77" s="148"/>
      <c r="S77" s="148"/>
      <c r="T77" s="150"/>
      <c r="U77" s="150"/>
      <c r="V77" s="151" t="str">
        <f aca="false">IF($T77="","",YEAR($T77))</f>
        <v/>
      </c>
      <c r="W77" s="147" t="str">
        <f aca="false">IF($T77="","","T"&amp;ROUNDUP(MONTH($T77)/3,0))</f>
        <v/>
      </c>
      <c r="X77" s="147" t="str">
        <f aca="false">IF($T77="","",TEXT($T77,"mmmm"))</f>
        <v/>
      </c>
      <c r="Y77" s="148"/>
      <c r="Z77" s="152"/>
      <c r="AA77" s="153"/>
      <c r="AB77" s="154" t="str">
        <f aca="false">IF($AA77="","",IF(OR($Y77="FCFA",$Y77=""),$AA77,$AA77*IF($Z77="",1,$Z77)))</f>
        <v/>
      </c>
      <c r="AC77" s="153"/>
      <c r="AD77" s="154" t="str">
        <f aca="false">IF($AC77="","",MAX($AC77-IF($AB77="",0,$AB77),0))</f>
        <v/>
      </c>
      <c r="AE77" s="148"/>
      <c r="AF77" s="148"/>
      <c r="AG77" s="148"/>
      <c r="AH77" s="155"/>
      <c r="AI77" s="148"/>
      <c r="AJ77" s="155"/>
      <c r="AK77" s="155"/>
      <c r="AL77" s="150"/>
      <c r="AM77" s="148"/>
      <c r="AN77" s="148"/>
      <c r="AO77" s="148"/>
      <c r="AP77" s="148"/>
      <c r="AQ77" s="155"/>
      <c r="AR77" s="148"/>
      <c r="AS77" s="148"/>
      <c r="AT77" s="148"/>
      <c r="AU77" s="148"/>
      <c r="AV77" s="153"/>
      <c r="AW77" s="148"/>
      <c r="AX77" s="148"/>
      <c r="AY77" s="155"/>
      <c r="AZ77" s="148"/>
      <c r="BA77" s="148"/>
      <c r="BB77" s="148"/>
      <c r="BC77" s="150"/>
      <c r="BD77" s="148"/>
      <c r="BE77" s="147" t="str">
        <f aca="true">IF($AC77="","",IF($AD77&lt;=0,"Recu integralement",IF(AND($AU77&lt;&gt;"",$AU77&lt;=TODAY()),"Relance necessaire",IF(AND($U77&lt;&gt;"",$T77="",$U77&lt;TODAY()),"Retard",IF($AD77&gt;0.5*$AC77,"Vigilance","Normal")))))</f>
        <v/>
      </c>
      <c r="BF77" s="155"/>
      <c r="BG77" s="151" t="str">
        <f aca="false">IF($D77="","",COUNTIFS($D$39:$D77,$D77))</f>
        <v/>
      </c>
      <c r="BH77" s="151" t="str">
        <f aca="false">IF($H77="","",COUNTIFS($H$39:$H77,$H77))</f>
        <v/>
      </c>
    </row>
    <row r="78" customFormat="false" ht="15" hidden="false" customHeight="true" outlineLevel="0" collapsed="false">
      <c r="A78" s="147" t="str">
        <f aca="false">IF($O78="","","REC"&amp;TEXT(ROW()-38,"00000"))</f>
        <v/>
      </c>
      <c r="B78" s="148"/>
      <c r="C78" s="148"/>
      <c r="D78" s="148"/>
      <c r="E78" s="149" t="n">
        <f aca="false">IFERROR(INDEX(DONATEURS!$B$56:$B$205,MATCH($D78,DONATEURS!$A$56:$A$205,0)),"")</f>
        <v>0</v>
      </c>
      <c r="F78" s="149" t="n">
        <f aca="false">IFERROR(INDEX(DONATEURS!$E$56:$E$205,MATCH($D78,DONATEURS!$A$56:$A$205,0)),"")</f>
        <v>0</v>
      </c>
      <c r="G78" s="149" t="n">
        <f aca="false">IFERROR(INDEX(DONATEURS!$G$56:$G$205,MATCH($D78,DONATEURS!$A$56:$A$205,0)),"")</f>
        <v>0</v>
      </c>
      <c r="H78" s="148"/>
      <c r="I78" s="149" t="n">
        <f aca="false">IFERROR(INDEX(PROJETS!$C$56:$C$95,MATCH($H78,PROJETS!$A$56:$A$95,0)),"")</f>
        <v>0</v>
      </c>
      <c r="J78" s="149" t="n">
        <f aca="false">IFERROR(INDEX(PROJETS!$J$56:$J$95,MATCH($H78,PROJETS!$A$56:$A$95,0)),"")</f>
        <v>0</v>
      </c>
      <c r="K78" s="149" t="n">
        <f aca="false">IFERROR(INDEX(PROJETS!$N$56:$N$95,MATCH($H78,PROJETS!$A$56:$A$95,0)),"")</f>
        <v>0</v>
      </c>
      <c r="L78" s="148"/>
      <c r="M78" s="149" t="n">
        <f aca="false">IFERROR(INDEX(ACTIVITES!$G$56:$G$105,MATCH($L78,ACTIVITES!$A$56:$A$105,0)),"")</f>
        <v>0</v>
      </c>
      <c r="N78" s="148"/>
      <c r="O78" s="148"/>
      <c r="P78" s="148"/>
      <c r="Q78" s="148"/>
      <c r="R78" s="148"/>
      <c r="S78" s="148"/>
      <c r="T78" s="150"/>
      <c r="U78" s="150"/>
      <c r="V78" s="151" t="str">
        <f aca="false">IF($T78="","",YEAR($T78))</f>
        <v/>
      </c>
      <c r="W78" s="147" t="str">
        <f aca="false">IF($T78="","","T"&amp;ROUNDUP(MONTH($T78)/3,0))</f>
        <v/>
      </c>
      <c r="X78" s="147" t="str">
        <f aca="false">IF($T78="","",TEXT($T78,"mmmm"))</f>
        <v/>
      </c>
      <c r="Y78" s="148"/>
      <c r="Z78" s="152"/>
      <c r="AA78" s="153"/>
      <c r="AB78" s="154" t="str">
        <f aca="false">IF($AA78="","",IF(OR($Y78="FCFA",$Y78=""),$AA78,$AA78*IF($Z78="",1,$Z78)))</f>
        <v/>
      </c>
      <c r="AC78" s="153"/>
      <c r="AD78" s="154" t="str">
        <f aca="false">IF($AC78="","",MAX($AC78-IF($AB78="",0,$AB78),0))</f>
        <v/>
      </c>
      <c r="AE78" s="148"/>
      <c r="AF78" s="148"/>
      <c r="AG78" s="148"/>
      <c r="AH78" s="155"/>
      <c r="AI78" s="148"/>
      <c r="AJ78" s="155"/>
      <c r="AK78" s="155"/>
      <c r="AL78" s="150"/>
      <c r="AM78" s="148"/>
      <c r="AN78" s="148"/>
      <c r="AO78" s="148"/>
      <c r="AP78" s="148"/>
      <c r="AQ78" s="155"/>
      <c r="AR78" s="148"/>
      <c r="AS78" s="148"/>
      <c r="AT78" s="148"/>
      <c r="AU78" s="148"/>
      <c r="AV78" s="153"/>
      <c r="AW78" s="148"/>
      <c r="AX78" s="148"/>
      <c r="AY78" s="155"/>
      <c r="AZ78" s="148"/>
      <c r="BA78" s="148"/>
      <c r="BB78" s="148"/>
      <c r="BC78" s="150"/>
      <c r="BD78" s="148"/>
      <c r="BE78" s="147" t="str">
        <f aca="true">IF($AC78="","",IF($AD78&lt;=0,"Recu integralement",IF(AND($AU78&lt;&gt;"",$AU78&lt;=TODAY()),"Relance necessaire",IF(AND($U78&lt;&gt;"",$T78="",$U78&lt;TODAY()),"Retard",IF($AD78&gt;0.5*$AC78,"Vigilance","Normal")))))</f>
        <v/>
      </c>
      <c r="BF78" s="155"/>
      <c r="BG78" s="151" t="str">
        <f aca="false">IF($D78="","",COUNTIFS($D$39:$D78,$D78))</f>
        <v/>
      </c>
      <c r="BH78" s="151" t="str">
        <f aca="false">IF($H78="","",COUNTIFS($H$39:$H78,$H78))</f>
        <v/>
      </c>
    </row>
    <row r="79" customFormat="false" ht="15" hidden="false" customHeight="true" outlineLevel="0" collapsed="false">
      <c r="A79" s="147" t="str">
        <f aca="false">IF($O79="","","REC"&amp;TEXT(ROW()-38,"00000"))</f>
        <v/>
      </c>
      <c r="B79" s="148"/>
      <c r="C79" s="148"/>
      <c r="D79" s="148"/>
      <c r="E79" s="149" t="n">
        <f aca="false">IFERROR(INDEX(DONATEURS!$B$56:$B$205,MATCH($D79,DONATEURS!$A$56:$A$205,0)),"")</f>
        <v>0</v>
      </c>
      <c r="F79" s="149" t="n">
        <f aca="false">IFERROR(INDEX(DONATEURS!$E$56:$E$205,MATCH($D79,DONATEURS!$A$56:$A$205,0)),"")</f>
        <v>0</v>
      </c>
      <c r="G79" s="149" t="n">
        <f aca="false">IFERROR(INDEX(DONATEURS!$G$56:$G$205,MATCH($D79,DONATEURS!$A$56:$A$205,0)),"")</f>
        <v>0</v>
      </c>
      <c r="H79" s="148"/>
      <c r="I79" s="149" t="n">
        <f aca="false">IFERROR(INDEX(PROJETS!$C$56:$C$95,MATCH($H79,PROJETS!$A$56:$A$95,0)),"")</f>
        <v>0</v>
      </c>
      <c r="J79" s="149" t="n">
        <f aca="false">IFERROR(INDEX(PROJETS!$J$56:$J$95,MATCH($H79,PROJETS!$A$56:$A$95,0)),"")</f>
        <v>0</v>
      </c>
      <c r="K79" s="149" t="n">
        <f aca="false">IFERROR(INDEX(PROJETS!$N$56:$N$95,MATCH($H79,PROJETS!$A$56:$A$95,0)),"")</f>
        <v>0</v>
      </c>
      <c r="L79" s="148"/>
      <c r="M79" s="149" t="n">
        <f aca="false">IFERROR(INDEX(ACTIVITES!$G$56:$G$105,MATCH($L79,ACTIVITES!$A$56:$A$105,0)),"")</f>
        <v>0</v>
      </c>
      <c r="N79" s="148"/>
      <c r="O79" s="148"/>
      <c r="P79" s="148"/>
      <c r="Q79" s="148"/>
      <c r="R79" s="148"/>
      <c r="S79" s="148"/>
      <c r="T79" s="150"/>
      <c r="U79" s="150"/>
      <c r="V79" s="151" t="str">
        <f aca="false">IF($T79="","",YEAR($T79))</f>
        <v/>
      </c>
      <c r="W79" s="147" t="str">
        <f aca="false">IF($T79="","","T"&amp;ROUNDUP(MONTH($T79)/3,0))</f>
        <v/>
      </c>
      <c r="X79" s="147" t="str">
        <f aca="false">IF($T79="","",TEXT($T79,"mmmm"))</f>
        <v/>
      </c>
      <c r="Y79" s="148"/>
      <c r="Z79" s="152"/>
      <c r="AA79" s="153"/>
      <c r="AB79" s="154" t="str">
        <f aca="false">IF($AA79="","",IF(OR($Y79="FCFA",$Y79=""),$AA79,$AA79*IF($Z79="",1,$Z79)))</f>
        <v/>
      </c>
      <c r="AC79" s="153"/>
      <c r="AD79" s="154" t="str">
        <f aca="false">IF($AC79="","",MAX($AC79-IF($AB79="",0,$AB79),0))</f>
        <v/>
      </c>
      <c r="AE79" s="148"/>
      <c r="AF79" s="148"/>
      <c r="AG79" s="148"/>
      <c r="AH79" s="155"/>
      <c r="AI79" s="148"/>
      <c r="AJ79" s="155"/>
      <c r="AK79" s="155"/>
      <c r="AL79" s="150"/>
      <c r="AM79" s="148"/>
      <c r="AN79" s="148"/>
      <c r="AO79" s="148"/>
      <c r="AP79" s="148"/>
      <c r="AQ79" s="155"/>
      <c r="AR79" s="148"/>
      <c r="AS79" s="148"/>
      <c r="AT79" s="148"/>
      <c r="AU79" s="148"/>
      <c r="AV79" s="153"/>
      <c r="AW79" s="148"/>
      <c r="AX79" s="148"/>
      <c r="AY79" s="155"/>
      <c r="AZ79" s="148"/>
      <c r="BA79" s="148"/>
      <c r="BB79" s="148"/>
      <c r="BC79" s="150"/>
      <c r="BD79" s="148"/>
      <c r="BE79" s="147" t="str">
        <f aca="true">IF($AC79="","",IF($AD79&lt;=0,"Recu integralement",IF(AND($AU79&lt;&gt;"",$AU79&lt;=TODAY()),"Relance necessaire",IF(AND($U79&lt;&gt;"",$T79="",$U79&lt;TODAY()),"Retard",IF($AD79&gt;0.5*$AC79,"Vigilance","Normal")))))</f>
        <v/>
      </c>
      <c r="BF79" s="155"/>
      <c r="BG79" s="151" t="str">
        <f aca="false">IF($D79="","",COUNTIFS($D$39:$D79,$D79))</f>
        <v/>
      </c>
      <c r="BH79" s="151" t="str">
        <f aca="false">IF($H79="","",COUNTIFS($H$39:$H79,$H79))</f>
        <v/>
      </c>
    </row>
    <row r="80" customFormat="false" ht="15" hidden="false" customHeight="true" outlineLevel="0" collapsed="false">
      <c r="A80" s="147" t="str">
        <f aca="false">IF($O80="","","REC"&amp;TEXT(ROW()-38,"00000"))</f>
        <v/>
      </c>
      <c r="B80" s="148"/>
      <c r="C80" s="148"/>
      <c r="D80" s="148"/>
      <c r="E80" s="149" t="n">
        <f aca="false">IFERROR(INDEX(DONATEURS!$B$56:$B$205,MATCH($D80,DONATEURS!$A$56:$A$205,0)),"")</f>
        <v>0</v>
      </c>
      <c r="F80" s="149" t="n">
        <f aca="false">IFERROR(INDEX(DONATEURS!$E$56:$E$205,MATCH($D80,DONATEURS!$A$56:$A$205,0)),"")</f>
        <v>0</v>
      </c>
      <c r="G80" s="149" t="n">
        <f aca="false">IFERROR(INDEX(DONATEURS!$G$56:$G$205,MATCH($D80,DONATEURS!$A$56:$A$205,0)),"")</f>
        <v>0</v>
      </c>
      <c r="H80" s="148"/>
      <c r="I80" s="149" t="n">
        <f aca="false">IFERROR(INDEX(PROJETS!$C$56:$C$95,MATCH($H80,PROJETS!$A$56:$A$95,0)),"")</f>
        <v>0</v>
      </c>
      <c r="J80" s="149" t="n">
        <f aca="false">IFERROR(INDEX(PROJETS!$J$56:$J$95,MATCH($H80,PROJETS!$A$56:$A$95,0)),"")</f>
        <v>0</v>
      </c>
      <c r="K80" s="149" t="n">
        <f aca="false">IFERROR(INDEX(PROJETS!$N$56:$N$95,MATCH($H80,PROJETS!$A$56:$A$95,0)),"")</f>
        <v>0</v>
      </c>
      <c r="L80" s="148"/>
      <c r="M80" s="149" t="n">
        <f aca="false">IFERROR(INDEX(ACTIVITES!$G$56:$G$105,MATCH($L80,ACTIVITES!$A$56:$A$105,0)),"")</f>
        <v>0</v>
      </c>
      <c r="N80" s="148"/>
      <c r="O80" s="148"/>
      <c r="P80" s="148"/>
      <c r="Q80" s="148"/>
      <c r="R80" s="148"/>
      <c r="S80" s="148"/>
      <c r="T80" s="150"/>
      <c r="U80" s="150"/>
      <c r="V80" s="151" t="str">
        <f aca="false">IF($T80="","",YEAR($T80))</f>
        <v/>
      </c>
      <c r="W80" s="147" t="str">
        <f aca="false">IF($T80="","","T"&amp;ROUNDUP(MONTH($T80)/3,0))</f>
        <v/>
      </c>
      <c r="X80" s="147" t="str">
        <f aca="false">IF($T80="","",TEXT($T80,"mmmm"))</f>
        <v/>
      </c>
      <c r="Y80" s="148"/>
      <c r="Z80" s="152"/>
      <c r="AA80" s="153"/>
      <c r="AB80" s="154" t="str">
        <f aca="false">IF($AA80="","",IF(OR($Y80="FCFA",$Y80=""),$AA80,$AA80*IF($Z80="",1,$Z80)))</f>
        <v/>
      </c>
      <c r="AC80" s="153"/>
      <c r="AD80" s="154" t="str">
        <f aca="false">IF($AC80="","",MAX($AC80-IF($AB80="",0,$AB80),0))</f>
        <v/>
      </c>
      <c r="AE80" s="148"/>
      <c r="AF80" s="148"/>
      <c r="AG80" s="148"/>
      <c r="AH80" s="155"/>
      <c r="AI80" s="148"/>
      <c r="AJ80" s="155"/>
      <c r="AK80" s="155"/>
      <c r="AL80" s="150"/>
      <c r="AM80" s="148"/>
      <c r="AN80" s="148"/>
      <c r="AO80" s="148"/>
      <c r="AP80" s="148"/>
      <c r="AQ80" s="155"/>
      <c r="AR80" s="148"/>
      <c r="AS80" s="148"/>
      <c r="AT80" s="148"/>
      <c r="AU80" s="148"/>
      <c r="AV80" s="153"/>
      <c r="AW80" s="148"/>
      <c r="AX80" s="148"/>
      <c r="AY80" s="155"/>
      <c r="AZ80" s="148"/>
      <c r="BA80" s="148"/>
      <c r="BB80" s="148"/>
      <c r="BC80" s="150"/>
      <c r="BD80" s="148"/>
      <c r="BE80" s="147" t="str">
        <f aca="true">IF($AC80="","",IF($AD80&lt;=0,"Recu integralement",IF(AND($AU80&lt;&gt;"",$AU80&lt;=TODAY()),"Relance necessaire",IF(AND($U80&lt;&gt;"",$T80="",$U80&lt;TODAY()),"Retard",IF($AD80&gt;0.5*$AC80,"Vigilance","Normal")))))</f>
        <v/>
      </c>
      <c r="BF80" s="155"/>
      <c r="BG80" s="151" t="str">
        <f aca="false">IF($D80="","",COUNTIFS($D$39:$D80,$D80))</f>
        <v/>
      </c>
      <c r="BH80" s="151" t="str">
        <f aca="false">IF($H80="","",COUNTIFS($H$39:$H80,$H80))</f>
        <v/>
      </c>
    </row>
    <row r="81" customFormat="false" ht="15" hidden="false" customHeight="true" outlineLevel="0" collapsed="false">
      <c r="A81" s="147" t="str">
        <f aca="false">IF($O81="","","REC"&amp;TEXT(ROW()-38,"00000"))</f>
        <v/>
      </c>
      <c r="B81" s="148"/>
      <c r="C81" s="148"/>
      <c r="D81" s="148"/>
      <c r="E81" s="149" t="n">
        <f aca="false">IFERROR(INDEX(DONATEURS!$B$56:$B$205,MATCH($D81,DONATEURS!$A$56:$A$205,0)),"")</f>
        <v>0</v>
      </c>
      <c r="F81" s="149" t="n">
        <f aca="false">IFERROR(INDEX(DONATEURS!$E$56:$E$205,MATCH($D81,DONATEURS!$A$56:$A$205,0)),"")</f>
        <v>0</v>
      </c>
      <c r="G81" s="149" t="n">
        <f aca="false">IFERROR(INDEX(DONATEURS!$G$56:$G$205,MATCH($D81,DONATEURS!$A$56:$A$205,0)),"")</f>
        <v>0</v>
      </c>
      <c r="H81" s="148"/>
      <c r="I81" s="149" t="n">
        <f aca="false">IFERROR(INDEX(PROJETS!$C$56:$C$95,MATCH($H81,PROJETS!$A$56:$A$95,0)),"")</f>
        <v>0</v>
      </c>
      <c r="J81" s="149" t="n">
        <f aca="false">IFERROR(INDEX(PROJETS!$J$56:$J$95,MATCH($H81,PROJETS!$A$56:$A$95,0)),"")</f>
        <v>0</v>
      </c>
      <c r="K81" s="149" t="n">
        <f aca="false">IFERROR(INDEX(PROJETS!$N$56:$N$95,MATCH($H81,PROJETS!$A$56:$A$95,0)),"")</f>
        <v>0</v>
      </c>
      <c r="L81" s="148"/>
      <c r="M81" s="149" t="n">
        <f aca="false">IFERROR(INDEX(ACTIVITES!$G$56:$G$105,MATCH($L81,ACTIVITES!$A$56:$A$105,0)),"")</f>
        <v>0</v>
      </c>
      <c r="N81" s="148"/>
      <c r="O81" s="148"/>
      <c r="P81" s="148"/>
      <c r="Q81" s="148"/>
      <c r="R81" s="148"/>
      <c r="S81" s="148"/>
      <c r="T81" s="150"/>
      <c r="U81" s="150"/>
      <c r="V81" s="151" t="str">
        <f aca="false">IF($T81="","",YEAR($T81))</f>
        <v/>
      </c>
      <c r="W81" s="147" t="str">
        <f aca="false">IF($T81="","","T"&amp;ROUNDUP(MONTH($T81)/3,0))</f>
        <v/>
      </c>
      <c r="X81" s="147" t="str">
        <f aca="false">IF($T81="","",TEXT($T81,"mmmm"))</f>
        <v/>
      </c>
      <c r="Y81" s="148"/>
      <c r="Z81" s="152"/>
      <c r="AA81" s="153"/>
      <c r="AB81" s="154" t="str">
        <f aca="false">IF($AA81="","",IF(OR($Y81="FCFA",$Y81=""),$AA81,$AA81*IF($Z81="",1,$Z81)))</f>
        <v/>
      </c>
      <c r="AC81" s="153"/>
      <c r="AD81" s="154" t="str">
        <f aca="false">IF($AC81="","",MAX($AC81-IF($AB81="",0,$AB81),0))</f>
        <v/>
      </c>
      <c r="AE81" s="148"/>
      <c r="AF81" s="148"/>
      <c r="AG81" s="148"/>
      <c r="AH81" s="155"/>
      <c r="AI81" s="148"/>
      <c r="AJ81" s="155"/>
      <c r="AK81" s="155"/>
      <c r="AL81" s="150"/>
      <c r="AM81" s="148"/>
      <c r="AN81" s="148"/>
      <c r="AO81" s="148"/>
      <c r="AP81" s="148"/>
      <c r="AQ81" s="155"/>
      <c r="AR81" s="148"/>
      <c r="AS81" s="148"/>
      <c r="AT81" s="148"/>
      <c r="AU81" s="148"/>
      <c r="AV81" s="153"/>
      <c r="AW81" s="148"/>
      <c r="AX81" s="148"/>
      <c r="AY81" s="155"/>
      <c r="AZ81" s="148"/>
      <c r="BA81" s="148"/>
      <c r="BB81" s="148"/>
      <c r="BC81" s="150"/>
      <c r="BD81" s="148"/>
      <c r="BE81" s="147" t="str">
        <f aca="true">IF($AC81="","",IF($AD81&lt;=0,"Recu integralement",IF(AND($AU81&lt;&gt;"",$AU81&lt;=TODAY()),"Relance necessaire",IF(AND($U81&lt;&gt;"",$T81="",$U81&lt;TODAY()),"Retard",IF($AD81&gt;0.5*$AC81,"Vigilance","Normal")))))</f>
        <v/>
      </c>
      <c r="BF81" s="155"/>
      <c r="BG81" s="151" t="str">
        <f aca="false">IF($D81="","",COUNTIFS($D$39:$D81,$D81))</f>
        <v/>
      </c>
      <c r="BH81" s="151" t="str">
        <f aca="false">IF($H81="","",COUNTIFS($H$39:$H81,$H81))</f>
        <v/>
      </c>
    </row>
    <row r="82" customFormat="false" ht="15" hidden="false" customHeight="true" outlineLevel="0" collapsed="false">
      <c r="A82" s="147" t="str">
        <f aca="false">IF($O82="","","REC"&amp;TEXT(ROW()-38,"00000"))</f>
        <v/>
      </c>
      <c r="B82" s="148"/>
      <c r="C82" s="148"/>
      <c r="D82" s="148"/>
      <c r="E82" s="149" t="n">
        <f aca="false">IFERROR(INDEX(DONATEURS!$B$56:$B$205,MATCH($D82,DONATEURS!$A$56:$A$205,0)),"")</f>
        <v>0</v>
      </c>
      <c r="F82" s="149" t="n">
        <f aca="false">IFERROR(INDEX(DONATEURS!$E$56:$E$205,MATCH($D82,DONATEURS!$A$56:$A$205,0)),"")</f>
        <v>0</v>
      </c>
      <c r="G82" s="149" t="n">
        <f aca="false">IFERROR(INDEX(DONATEURS!$G$56:$G$205,MATCH($D82,DONATEURS!$A$56:$A$205,0)),"")</f>
        <v>0</v>
      </c>
      <c r="H82" s="148"/>
      <c r="I82" s="149" t="n">
        <f aca="false">IFERROR(INDEX(PROJETS!$C$56:$C$95,MATCH($H82,PROJETS!$A$56:$A$95,0)),"")</f>
        <v>0</v>
      </c>
      <c r="J82" s="149" t="n">
        <f aca="false">IFERROR(INDEX(PROJETS!$J$56:$J$95,MATCH($H82,PROJETS!$A$56:$A$95,0)),"")</f>
        <v>0</v>
      </c>
      <c r="K82" s="149" t="n">
        <f aca="false">IFERROR(INDEX(PROJETS!$N$56:$N$95,MATCH($H82,PROJETS!$A$56:$A$95,0)),"")</f>
        <v>0</v>
      </c>
      <c r="L82" s="148"/>
      <c r="M82" s="149" t="n">
        <f aca="false">IFERROR(INDEX(ACTIVITES!$G$56:$G$105,MATCH($L82,ACTIVITES!$A$56:$A$105,0)),"")</f>
        <v>0</v>
      </c>
      <c r="N82" s="148"/>
      <c r="O82" s="148"/>
      <c r="P82" s="148"/>
      <c r="Q82" s="148"/>
      <c r="R82" s="148"/>
      <c r="S82" s="148"/>
      <c r="T82" s="150"/>
      <c r="U82" s="150"/>
      <c r="V82" s="151" t="str">
        <f aca="false">IF($T82="","",YEAR($T82))</f>
        <v/>
      </c>
      <c r="W82" s="147" t="str">
        <f aca="false">IF($T82="","","T"&amp;ROUNDUP(MONTH($T82)/3,0))</f>
        <v/>
      </c>
      <c r="X82" s="147" t="str">
        <f aca="false">IF($T82="","",TEXT($T82,"mmmm"))</f>
        <v/>
      </c>
      <c r="Y82" s="148"/>
      <c r="Z82" s="152"/>
      <c r="AA82" s="153"/>
      <c r="AB82" s="154" t="str">
        <f aca="false">IF($AA82="","",IF(OR($Y82="FCFA",$Y82=""),$AA82,$AA82*IF($Z82="",1,$Z82)))</f>
        <v/>
      </c>
      <c r="AC82" s="153"/>
      <c r="AD82" s="154" t="str">
        <f aca="false">IF($AC82="","",MAX($AC82-IF($AB82="",0,$AB82),0))</f>
        <v/>
      </c>
      <c r="AE82" s="148"/>
      <c r="AF82" s="148"/>
      <c r="AG82" s="148"/>
      <c r="AH82" s="155"/>
      <c r="AI82" s="148"/>
      <c r="AJ82" s="155"/>
      <c r="AK82" s="155"/>
      <c r="AL82" s="150"/>
      <c r="AM82" s="148"/>
      <c r="AN82" s="148"/>
      <c r="AO82" s="148"/>
      <c r="AP82" s="148"/>
      <c r="AQ82" s="155"/>
      <c r="AR82" s="148"/>
      <c r="AS82" s="148"/>
      <c r="AT82" s="148"/>
      <c r="AU82" s="148"/>
      <c r="AV82" s="153"/>
      <c r="AW82" s="148"/>
      <c r="AX82" s="148"/>
      <c r="AY82" s="155"/>
      <c r="AZ82" s="148"/>
      <c r="BA82" s="148"/>
      <c r="BB82" s="148"/>
      <c r="BC82" s="150"/>
      <c r="BD82" s="148"/>
      <c r="BE82" s="147" t="str">
        <f aca="true">IF($AC82="","",IF($AD82&lt;=0,"Recu integralement",IF(AND($AU82&lt;&gt;"",$AU82&lt;=TODAY()),"Relance necessaire",IF(AND($U82&lt;&gt;"",$T82="",$U82&lt;TODAY()),"Retard",IF($AD82&gt;0.5*$AC82,"Vigilance","Normal")))))</f>
        <v/>
      </c>
      <c r="BF82" s="155"/>
      <c r="BG82" s="151" t="str">
        <f aca="false">IF($D82="","",COUNTIFS($D$39:$D82,$D82))</f>
        <v/>
      </c>
      <c r="BH82" s="151" t="str">
        <f aca="false">IF($H82="","",COUNTIFS($H$39:$H82,$H82))</f>
        <v/>
      </c>
    </row>
    <row r="83" customFormat="false" ht="15" hidden="false" customHeight="true" outlineLevel="0" collapsed="false">
      <c r="A83" s="147" t="str">
        <f aca="false">IF($O83="","","REC"&amp;TEXT(ROW()-38,"00000"))</f>
        <v/>
      </c>
      <c r="B83" s="148"/>
      <c r="C83" s="148"/>
      <c r="D83" s="148"/>
      <c r="E83" s="149" t="n">
        <f aca="false">IFERROR(INDEX(DONATEURS!$B$56:$B$205,MATCH($D83,DONATEURS!$A$56:$A$205,0)),"")</f>
        <v>0</v>
      </c>
      <c r="F83" s="149" t="n">
        <f aca="false">IFERROR(INDEX(DONATEURS!$E$56:$E$205,MATCH($D83,DONATEURS!$A$56:$A$205,0)),"")</f>
        <v>0</v>
      </c>
      <c r="G83" s="149" t="n">
        <f aca="false">IFERROR(INDEX(DONATEURS!$G$56:$G$205,MATCH($D83,DONATEURS!$A$56:$A$205,0)),"")</f>
        <v>0</v>
      </c>
      <c r="H83" s="148"/>
      <c r="I83" s="149" t="n">
        <f aca="false">IFERROR(INDEX(PROJETS!$C$56:$C$95,MATCH($H83,PROJETS!$A$56:$A$95,0)),"")</f>
        <v>0</v>
      </c>
      <c r="J83" s="149" t="n">
        <f aca="false">IFERROR(INDEX(PROJETS!$J$56:$J$95,MATCH($H83,PROJETS!$A$56:$A$95,0)),"")</f>
        <v>0</v>
      </c>
      <c r="K83" s="149" t="n">
        <f aca="false">IFERROR(INDEX(PROJETS!$N$56:$N$95,MATCH($H83,PROJETS!$A$56:$A$95,0)),"")</f>
        <v>0</v>
      </c>
      <c r="L83" s="148"/>
      <c r="M83" s="149" t="n">
        <f aca="false">IFERROR(INDEX(ACTIVITES!$G$56:$G$105,MATCH($L83,ACTIVITES!$A$56:$A$105,0)),"")</f>
        <v>0</v>
      </c>
      <c r="N83" s="148"/>
      <c r="O83" s="148"/>
      <c r="P83" s="148"/>
      <c r="Q83" s="148"/>
      <c r="R83" s="148"/>
      <c r="S83" s="148"/>
      <c r="T83" s="150"/>
      <c r="U83" s="150"/>
      <c r="V83" s="151" t="str">
        <f aca="false">IF($T83="","",YEAR($T83))</f>
        <v/>
      </c>
      <c r="W83" s="147" t="str">
        <f aca="false">IF($T83="","","T"&amp;ROUNDUP(MONTH($T83)/3,0))</f>
        <v/>
      </c>
      <c r="X83" s="147" t="str">
        <f aca="false">IF($T83="","",TEXT($T83,"mmmm"))</f>
        <v/>
      </c>
      <c r="Y83" s="148"/>
      <c r="Z83" s="152"/>
      <c r="AA83" s="153"/>
      <c r="AB83" s="154" t="str">
        <f aca="false">IF($AA83="","",IF(OR($Y83="FCFA",$Y83=""),$AA83,$AA83*IF($Z83="",1,$Z83)))</f>
        <v/>
      </c>
      <c r="AC83" s="153"/>
      <c r="AD83" s="154" t="str">
        <f aca="false">IF($AC83="","",MAX($AC83-IF($AB83="",0,$AB83),0))</f>
        <v/>
      </c>
      <c r="AE83" s="148"/>
      <c r="AF83" s="148"/>
      <c r="AG83" s="148"/>
      <c r="AH83" s="155"/>
      <c r="AI83" s="148"/>
      <c r="AJ83" s="155"/>
      <c r="AK83" s="155"/>
      <c r="AL83" s="150"/>
      <c r="AM83" s="148"/>
      <c r="AN83" s="148"/>
      <c r="AO83" s="148"/>
      <c r="AP83" s="148"/>
      <c r="AQ83" s="155"/>
      <c r="AR83" s="148"/>
      <c r="AS83" s="148"/>
      <c r="AT83" s="148"/>
      <c r="AU83" s="148"/>
      <c r="AV83" s="153"/>
      <c r="AW83" s="148"/>
      <c r="AX83" s="148"/>
      <c r="AY83" s="155"/>
      <c r="AZ83" s="148"/>
      <c r="BA83" s="148"/>
      <c r="BB83" s="148"/>
      <c r="BC83" s="150"/>
      <c r="BD83" s="148"/>
      <c r="BE83" s="147" t="str">
        <f aca="true">IF($AC83="","",IF($AD83&lt;=0,"Recu integralement",IF(AND($AU83&lt;&gt;"",$AU83&lt;=TODAY()),"Relance necessaire",IF(AND($U83&lt;&gt;"",$T83="",$U83&lt;TODAY()),"Retard",IF($AD83&gt;0.5*$AC83,"Vigilance","Normal")))))</f>
        <v/>
      </c>
      <c r="BF83" s="155"/>
      <c r="BG83" s="151" t="str">
        <f aca="false">IF($D83="","",COUNTIFS($D$39:$D83,$D83))</f>
        <v/>
      </c>
      <c r="BH83" s="151" t="str">
        <f aca="false">IF($H83="","",COUNTIFS($H$39:$H83,$H83))</f>
        <v/>
      </c>
    </row>
    <row r="84" customFormat="false" ht="15" hidden="false" customHeight="true" outlineLevel="0" collapsed="false">
      <c r="A84" s="147" t="str">
        <f aca="false">IF($O84="","","REC"&amp;TEXT(ROW()-38,"00000"))</f>
        <v/>
      </c>
      <c r="B84" s="148"/>
      <c r="C84" s="148"/>
      <c r="D84" s="148"/>
      <c r="E84" s="149" t="n">
        <f aca="false">IFERROR(INDEX(DONATEURS!$B$56:$B$205,MATCH($D84,DONATEURS!$A$56:$A$205,0)),"")</f>
        <v>0</v>
      </c>
      <c r="F84" s="149" t="n">
        <f aca="false">IFERROR(INDEX(DONATEURS!$E$56:$E$205,MATCH($D84,DONATEURS!$A$56:$A$205,0)),"")</f>
        <v>0</v>
      </c>
      <c r="G84" s="149" t="n">
        <f aca="false">IFERROR(INDEX(DONATEURS!$G$56:$G$205,MATCH($D84,DONATEURS!$A$56:$A$205,0)),"")</f>
        <v>0</v>
      </c>
      <c r="H84" s="148"/>
      <c r="I84" s="149" t="n">
        <f aca="false">IFERROR(INDEX(PROJETS!$C$56:$C$95,MATCH($H84,PROJETS!$A$56:$A$95,0)),"")</f>
        <v>0</v>
      </c>
      <c r="J84" s="149" t="n">
        <f aca="false">IFERROR(INDEX(PROJETS!$J$56:$J$95,MATCH($H84,PROJETS!$A$56:$A$95,0)),"")</f>
        <v>0</v>
      </c>
      <c r="K84" s="149" t="n">
        <f aca="false">IFERROR(INDEX(PROJETS!$N$56:$N$95,MATCH($H84,PROJETS!$A$56:$A$95,0)),"")</f>
        <v>0</v>
      </c>
      <c r="L84" s="148"/>
      <c r="M84" s="149" t="n">
        <f aca="false">IFERROR(INDEX(ACTIVITES!$G$56:$G$105,MATCH($L84,ACTIVITES!$A$56:$A$105,0)),"")</f>
        <v>0</v>
      </c>
      <c r="N84" s="148"/>
      <c r="O84" s="148"/>
      <c r="P84" s="148"/>
      <c r="Q84" s="148"/>
      <c r="R84" s="148"/>
      <c r="S84" s="148"/>
      <c r="T84" s="150"/>
      <c r="U84" s="150"/>
      <c r="V84" s="151" t="str">
        <f aca="false">IF($T84="","",YEAR($T84))</f>
        <v/>
      </c>
      <c r="W84" s="147" t="str">
        <f aca="false">IF($T84="","","T"&amp;ROUNDUP(MONTH($T84)/3,0))</f>
        <v/>
      </c>
      <c r="X84" s="147" t="str">
        <f aca="false">IF($T84="","",TEXT($T84,"mmmm"))</f>
        <v/>
      </c>
      <c r="Y84" s="148"/>
      <c r="Z84" s="152"/>
      <c r="AA84" s="153"/>
      <c r="AB84" s="154" t="str">
        <f aca="false">IF($AA84="","",IF(OR($Y84="FCFA",$Y84=""),$AA84,$AA84*IF($Z84="",1,$Z84)))</f>
        <v/>
      </c>
      <c r="AC84" s="153"/>
      <c r="AD84" s="154" t="str">
        <f aca="false">IF($AC84="","",MAX($AC84-IF($AB84="",0,$AB84),0))</f>
        <v/>
      </c>
      <c r="AE84" s="148"/>
      <c r="AF84" s="148"/>
      <c r="AG84" s="148"/>
      <c r="AH84" s="155"/>
      <c r="AI84" s="148"/>
      <c r="AJ84" s="155"/>
      <c r="AK84" s="155"/>
      <c r="AL84" s="150"/>
      <c r="AM84" s="148"/>
      <c r="AN84" s="148"/>
      <c r="AO84" s="148"/>
      <c r="AP84" s="148"/>
      <c r="AQ84" s="155"/>
      <c r="AR84" s="148"/>
      <c r="AS84" s="148"/>
      <c r="AT84" s="148"/>
      <c r="AU84" s="148"/>
      <c r="AV84" s="153"/>
      <c r="AW84" s="148"/>
      <c r="AX84" s="148"/>
      <c r="AY84" s="155"/>
      <c r="AZ84" s="148"/>
      <c r="BA84" s="148"/>
      <c r="BB84" s="148"/>
      <c r="BC84" s="150"/>
      <c r="BD84" s="148"/>
      <c r="BE84" s="147" t="str">
        <f aca="true">IF($AC84="","",IF($AD84&lt;=0,"Recu integralement",IF(AND($AU84&lt;&gt;"",$AU84&lt;=TODAY()),"Relance necessaire",IF(AND($U84&lt;&gt;"",$T84="",$U84&lt;TODAY()),"Retard",IF($AD84&gt;0.5*$AC84,"Vigilance","Normal")))))</f>
        <v/>
      </c>
      <c r="BF84" s="155"/>
      <c r="BG84" s="151" t="str">
        <f aca="false">IF($D84="","",COUNTIFS($D$39:$D84,$D84))</f>
        <v/>
      </c>
      <c r="BH84" s="151" t="str">
        <f aca="false">IF($H84="","",COUNTIFS($H$39:$H84,$H84))</f>
        <v/>
      </c>
    </row>
    <row r="85" customFormat="false" ht="15" hidden="false" customHeight="true" outlineLevel="0" collapsed="false">
      <c r="A85" s="147" t="str">
        <f aca="false">IF($O85="","","REC"&amp;TEXT(ROW()-38,"00000"))</f>
        <v/>
      </c>
      <c r="B85" s="148"/>
      <c r="C85" s="148"/>
      <c r="D85" s="148"/>
      <c r="E85" s="149" t="n">
        <f aca="false">IFERROR(INDEX(DONATEURS!$B$56:$B$205,MATCH($D85,DONATEURS!$A$56:$A$205,0)),"")</f>
        <v>0</v>
      </c>
      <c r="F85" s="149" t="n">
        <f aca="false">IFERROR(INDEX(DONATEURS!$E$56:$E$205,MATCH($D85,DONATEURS!$A$56:$A$205,0)),"")</f>
        <v>0</v>
      </c>
      <c r="G85" s="149" t="n">
        <f aca="false">IFERROR(INDEX(DONATEURS!$G$56:$G$205,MATCH($D85,DONATEURS!$A$56:$A$205,0)),"")</f>
        <v>0</v>
      </c>
      <c r="H85" s="148"/>
      <c r="I85" s="149" t="n">
        <f aca="false">IFERROR(INDEX(PROJETS!$C$56:$C$95,MATCH($H85,PROJETS!$A$56:$A$95,0)),"")</f>
        <v>0</v>
      </c>
      <c r="J85" s="149" t="n">
        <f aca="false">IFERROR(INDEX(PROJETS!$J$56:$J$95,MATCH($H85,PROJETS!$A$56:$A$95,0)),"")</f>
        <v>0</v>
      </c>
      <c r="K85" s="149" t="n">
        <f aca="false">IFERROR(INDEX(PROJETS!$N$56:$N$95,MATCH($H85,PROJETS!$A$56:$A$95,0)),"")</f>
        <v>0</v>
      </c>
      <c r="L85" s="148"/>
      <c r="M85" s="149" t="n">
        <f aca="false">IFERROR(INDEX(ACTIVITES!$G$56:$G$105,MATCH($L85,ACTIVITES!$A$56:$A$105,0)),"")</f>
        <v>0</v>
      </c>
      <c r="N85" s="148"/>
      <c r="O85" s="148"/>
      <c r="P85" s="148"/>
      <c r="Q85" s="148"/>
      <c r="R85" s="148"/>
      <c r="S85" s="148"/>
      <c r="T85" s="150"/>
      <c r="U85" s="150"/>
      <c r="V85" s="151" t="str">
        <f aca="false">IF($T85="","",YEAR($T85))</f>
        <v/>
      </c>
      <c r="W85" s="147" t="str">
        <f aca="false">IF($T85="","","T"&amp;ROUNDUP(MONTH($T85)/3,0))</f>
        <v/>
      </c>
      <c r="X85" s="147" t="str">
        <f aca="false">IF($T85="","",TEXT($T85,"mmmm"))</f>
        <v/>
      </c>
      <c r="Y85" s="148"/>
      <c r="Z85" s="152"/>
      <c r="AA85" s="153"/>
      <c r="AB85" s="154" t="str">
        <f aca="false">IF($AA85="","",IF(OR($Y85="FCFA",$Y85=""),$AA85,$AA85*IF($Z85="",1,$Z85)))</f>
        <v/>
      </c>
      <c r="AC85" s="153"/>
      <c r="AD85" s="154" t="str">
        <f aca="false">IF($AC85="","",MAX($AC85-IF($AB85="",0,$AB85),0))</f>
        <v/>
      </c>
      <c r="AE85" s="148"/>
      <c r="AF85" s="148"/>
      <c r="AG85" s="148"/>
      <c r="AH85" s="155"/>
      <c r="AI85" s="148"/>
      <c r="AJ85" s="155"/>
      <c r="AK85" s="155"/>
      <c r="AL85" s="150"/>
      <c r="AM85" s="148"/>
      <c r="AN85" s="148"/>
      <c r="AO85" s="148"/>
      <c r="AP85" s="148"/>
      <c r="AQ85" s="155"/>
      <c r="AR85" s="148"/>
      <c r="AS85" s="148"/>
      <c r="AT85" s="148"/>
      <c r="AU85" s="148"/>
      <c r="AV85" s="153"/>
      <c r="AW85" s="148"/>
      <c r="AX85" s="148"/>
      <c r="AY85" s="155"/>
      <c r="AZ85" s="148"/>
      <c r="BA85" s="148"/>
      <c r="BB85" s="148"/>
      <c r="BC85" s="150"/>
      <c r="BD85" s="148"/>
      <c r="BE85" s="147" t="str">
        <f aca="true">IF($AC85="","",IF($AD85&lt;=0,"Recu integralement",IF(AND($AU85&lt;&gt;"",$AU85&lt;=TODAY()),"Relance necessaire",IF(AND($U85&lt;&gt;"",$T85="",$U85&lt;TODAY()),"Retard",IF($AD85&gt;0.5*$AC85,"Vigilance","Normal")))))</f>
        <v/>
      </c>
      <c r="BF85" s="155"/>
      <c r="BG85" s="151" t="str">
        <f aca="false">IF($D85="","",COUNTIFS($D$39:$D85,$D85))</f>
        <v/>
      </c>
      <c r="BH85" s="151" t="str">
        <f aca="false">IF($H85="","",COUNTIFS($H$39:$H85,$H85))</f>
        <v/>
      </c>
    </row>
    <row r="86" customFormat="false" ht="15" hidden="false" customHeight="true" outlineLevel="0" collapsed="false">
      <c r="A86" s="147" t="str">
        <f aca="false">IF($O86="","","REC"&amp;TEXT(ROW()-38,"00000"))</f>
        <v/>
      </c>
      <c r="B86" s="148"/>
      <c r="C86" s="148"/>
      <c r="D86" s="148"/>
      <c r="E86" s="149" t="n">
        <f aca="false">IFERROR(INDEX(DONATEURS!$B$56:$B$205,MATCH($D86,DONATEURS!$A$56:$A$205,0)),"")</f>
        <v>0</v>
      </c>
      <c r="F86" s="149" t="n">
        <f aca="false">IFERROR(INDEX(DONATEURS!$E$56:$E$205,MATCH($D86,DONATEURS!$A$56:$A$205,0)),"")</f>
        <v>0</v>
      </c>
      <c r="G86" s="149" t="n">
        <f aca="false">IFERROR(INDEX(DONATEURS!$G$56:$G$205,MATCH($D86,DONATEURS!$A$56:$A$205,0)),"")</f>
        <v>0</v>
      </c>
      <c r="H86" s="148"/>
      <c r="I86" s="149" t="n">
        <f aca="false">IFERROR(INDEX(PROJETS!$C$56:$C$95,MATCH($H86,PROJETS!$A$56:$A$95,0)),"")</f>
        <v>0</v>
      </c>
      <c r="J86" s="149" t="n">
        <f aca="false">IFERROR(INDEX(PROJETS!$J$56:$J$95,MATCH($H86,PROJETS!$A$56:$A$95,0)),"")</f>
        <v>0</v>
      </c>
      <c r="K86" s="149" t="n">
        <f aca="false">IFERROR(INDEX(PROJETS!$N$56:$N$95,MATCH($H86,PROJETS!$A$56:$A$95,0)),"")</f>
        <v>0</v>
      </c>
      <c r="L86" s="148"/>
      <c r="M86" s="149" t="n">
        <f aca="false">IFERROR(INDEX(ACTIVITES!$G$56:$G$105,MATCH($L86,ACTIVITES!$A$56:$A$105,0)),"")</f>
        <v>0</v>
      </c>
      <c r="N86" s="148"/>
      <c r="O86" s="148"/>
      <c r="P86" s="148"/>
      <c r="Q86" s="148"/>
      <c r="R86" s="148"/>
      <c r="S86" s="148"/>
      <c r="T86" s="150"/>
      <c r="U86" s="150"/>
      <c r="V86" s="151" t="str">
        <f aca="false">IF($T86="","",YEAR($T86))</f>
        <v/>
      </c>
      <c r="W86" s="147" t="str">
        <f aca="false">IF($T86="","","T"&amp;ROUNDUP(MONTH($T86)/3,0))</f>
        <v/>
      </c>
      <c r="X86" s="147" t="str">
        <f aca="false">IF($T86="","",TEXT($T86,"mmmm"))</f>
        <v/>
      </c>
      <c r="Y86" s="148"/>
      <c r="Z86" s="152"/>
      <c r="AA86" s="153"/>
      <c r="AB86" s="154" t="str">
        <f aca="false">IF($AA86="","",IF(OR($Y86="FCFA",$Y86=""),$AA86,$AA86*IF($Z86="",1,$Z86)))</f>
        <v/>
      </c>
      <c r="AC86" s="153"/>
      <c r="AD86" s="154" t="str">
        <f aca="false">IF($AC86="","",MAX($AC86-IF($AB86="",0,$AB86),0))</f>
        <v/>
      </c>
      <c r="AE86" s="148"/>
      <c r="AF86" s="148"/>
      <c r="AG86" s="148"/>
      <c r="AH86" s="155"/>
      <c r="AI86" s="148"/>
      <c r="AJ86" s="155"/>
      <c r="AK86" s="155"/>
      <c r="AL86" s="150"/>
      <c r="AM86" s="148"/>
      <c r="AN86" s="148"/>
      <c r="AO86" s="148"/>
      <c r="AP86" s="148"/>
      <c r="AQ86" s="155"/>
      <c r="AR86" s="148"/>
      <c r="AS86" s="148"/>
      <c r="AT86" s="148"/>
      <c r="AU86" s="148"/>
      <c r="AV86" s="153"/>
      <c r="AW86" s="148"/>
      <c r="AX86" s="148"/>
      <c r="AY86" s="155"/>
      <c r="AZ86" s="148"/>
      <c r="BA86" s="148"/>
      <c r="BB86" s="148"/>
      <c r="BC86" s="150"/>
      <c r="BD86" s="148"/>
      <c r="BE86" s="147" t="str">
        <f aca="true">IF($AC86="","",IF($AD86&lt;=0,"Recu integralement",IF(AND($AU86&lt;&gt;"",$AU86&lt;=TODAY()),"Relance necessaire",IF(AND($U86&lt;&gt;"",$T86="",$U86&lt;TODAY()),"Retard",IF($AD86&gt;0.5*$AC86,"Vigilance","Normal")))))</f>
        <v/>
      </c>
      <c r="BF86" s="155"/>
      <c r="BG86" s="151" t="str">
        <f aca="false">IF($D86="","",COUNTIFS($D$39:$D86,$D86))</f>
        <v/>
      </c>
      <c r="BH86" s="151" t="str">
        <f aca="false">IF($H86="","",COUNTIFS($H$39:$H86,$H86))</f>
        <v/>
      </c>
    </row>
    <row r="87" customFormat="false" ht="15" hidden="false" customHeight="true" outlineLevel="0" collapsed="false">
      <c r="A87" s="147" t="str">
        <f aca="false">IF($O87="","","REC"&amp;TEXT(ROW()-38,"00000"))</f>
        <v/>
      </c>
      <c r="B87" s="148"/>
      <c r="C87" s="148"/>
      <c r="D87" s="148"/>
      <c r="E87" s="149" t="n">
        <f aca="false">IFERROR(INDEX(DONATEURS!$B$56:$B$205,MATCH($D87,DONATEURS!$A$56:$A$205,0)),"")</f>
        <v>0</v>
      </c>
      <c r="F87" s="149" t="n">
        <f aca="false">IFERROR(INDEX(DONATEURS!$E$56:$E$205,MATCH($D87,DONATEURS!$A$56:$A$205,0)),"")</f>
        <v>0</v>
      </c>
      <c r="G87" s="149" t="n">
        <f aca="false">IFERROR(INDEX(DONATEURS!$G$56:$G$205,MATCH($D87,DONATEURS!$A$56:$A$205,0)),"")</f>
        <v>0</v>
      </c>
      <c r="H87" s="148"/>
      <c r="I87" s="149" t="n">
        <f aca="false">IFERROR(INDEX(PROJETS!$C$56:$C$95,MATCH($H87,PROJETS!$A$56:$A$95,0)),"")</f>
        <v>0</v>
      </c>
      <c r="J87" s="149" t="n">
        <f aca="false">IFERROR(INDEX(PROJETS!$J$56:$J$95,MATCH($H87,PROJETS!$A$56:$A$95,0)),"")</f>
        <v>0</v>
      </c>
      <c r="K87" s="149" t="n">
        <f aca="false">IFERROR(INDEX(PROJETS!$N$56:$N$95,MATCH($H87,PROJETS!$A$56:$A$95,0)),"")</f>
        <v>0</v>
      </c>
      <c r="L87" s="148"/>
      <c r="M87" s="149" t="n">
        <f aca="false">IFERROR(INDEX(ACTIVITES!$G$56:$G$105,MATCH($L87,ACTIVITES!$A$56:$A$105,0)),"")</f>
        <v>0</v>
      </c>
      <c r="N87" s="148"/>
      <c r="O87" s="148"/>
      <c r="P87" s="148"/>
      <c r="Q87" s="148"/>
      <c r="R87" s="148"/>
      <c r="S87" s="148"/>
      <c r="T87" s="150"/>
      <c r="U87" s="150"/>
      <c r="V87" s="151" t="str">
        <f aca="false">IF($T87="","",YEAR($T87))</f>
        <v/>
      </c>
      <c r="W87" s="147" t="str">
        <f aca="false">IF($T87="","","T"&amp;ROUNDUP(MONTH($T87)/3,0))</f>
        <v/>
      </c>
      <c r="X87" s="147" t="str">
        <f aca="false">IF($T87="","",TEXT($T87,"mmmm"))</f>
        <v/>
      </c>
      <c r="Y87" s="148"/>
      <c r="Z87" s="152"/>
      <c r="AA87" s="153"/>
      <c r="AB87" s="154" t="str">
        <f aca="false">IF($AA87="","",IF(OR($Y87="FCFA",$Y87=""),$AA87,$AA87*IF($Z87="",1,$Z87)))</f>
        <v/>
      </c>
      <c r="AC87" s="153"/>
      <c r="AD87" s="154" t="str">
        <f aca="false">IF($AC87="","",MAX($AC87-IF($AB87="",0,$AB87),0))</f>
        <v/>
      </c>
      <c r="AE87" s="148"/>
      <c r="AF87" s="148"/>
      <c r="AG87" s="148"/>
      <c r="AH87" s="155"/>
      <c r="AI87" s="148"/>
      <c r="AJ87" s="155"/>
      <c r="AK87" s="155"/>
      <c r="AL87" s="150"/>
      <c r="AM87" s="148"/>
      <c r="AN87" s="148"/>
      <c r="AO87" s="148"/>
      <c r="AP87" s="148"/>
      <c r="AQ87" s="155"/>
      <c r="AR87" s="148"/>
      <c r="AS87" s="148"/>
      <c r="AT87" s="148"/>
      <c r="AU87" s="148"/>
      <c r="AV87" s="153"/>
      <c r="AW87" s="148"/>
      <c r="AX87" s="148"/>
      <c r="AY87" s="155"/>
      <c r="AZ87" s="148"/>
      <c r="BA87" s="148"/>
      <c r="BB87" s="148"/>
      <c r="BC87" s="150"/>
      <c r="BD87" s="148"/>
      <c r="BE87" s="147" t="str">
        <f aca="true">IF($AC87="","",IF($AD87&lt;=0,"Recu integralement",IF(AND($AU87&lt;&gt;"",$AU87&lt;=TODAY()),"Relance necessaire",IF(AND($U87&lt;&gt;"",$T87="",$U87&lt;TODAY()),"Retard",IF($AD87&gt;0.5*$AC87,"Vigilance","Normal")))))</f>
        <v/>
      </c>
      <c r="BF87" s="155"/>
      <c r="BG87" s="151" t="str">
        <f aca="false">IF($D87="","",COUNTIFS($D$39:$D87,$D87))</f>
        <v/>
      </c>
      <c r="BH87" s="151" t="str">
        <f aca="false">IF($H87="","",COUNTIFS($H$39:$H87,$H87))</f>
        <v/>
      </c>
    </row>
    <row r="88" customFormat="false" ht="15" hidden="false" customHeight="true" outlineLevel="0" collapsed="false">
      <c r="A88" s="147" t="str">
        <f aca="false">IF($O88="","","REC"&amp;TEXT(ROW()-38,"00000"))</f>
        <v/>
      </c>
      <c r="B88" s="148"/>
      <c r="C88" s="148"/>
      <c r="D88" s="148"/>
      <c r="E88" s="149" t="n">
        <f aca="false">IFERROR(INDEX(DONATEURS!$B$56:$B$205,MATCH($D88,DONATEURS!$A$56:$A$205,0)),"")</f>
        <v>0</v>
      </c>
      <c r="F88" s="149" t="n">
        <f aca="false">IFERROR(INDEX(DONATEURS!$E$56:$E$205,MATCH($D88,DONATEURS!$A$56:$A$205,0)),"")</f>
        <v>0</v>
      </c>
      <c r="G88" s="149" t="n">
        <f aca="false">IFERROR(INDEX(DONATEURS!$G$56:$G$205,MATCH($D88,DONATEURS!$A$56:$A$205,0)),"")</f>
        <v>0</v>
      </c>
      <c r="H88" s="148"/>
      <c r="I88" s="149" t="n">
        <f aca="false">IFERROR(INDEX(PROJETS!$C$56:$C$95,MATCH($H88,PROJETS!$A$56:$A$95,0)),"")</f>
        <v>0</v>
      </c>
      <c r="J88" s="149" t="n">
        <f aca="false">IFERROR(INDEX(PROJETS!$J$56:$J$95,MATCH($H88,PROJETS!$A$56:$A$95,0)),"")</f>
        <v>0</v>
      </c>
      <c r="K88" s="149" t="n">
        <f aca="false">IFERROR(INDEX(PROJETS!$N$56:$N$95,MATCH($H88,PROJETS!$A$56:$A$95,0)),"")</f>
        <v>0</v>
      </c>
      <c r="L88" s="148"/>
      <c r="M88" s="149" t="n">
        <f aca="false">IFERROR(INDEX(ACTIVITES!$G$56:$G$105,MATCH($L88,ACTIVITES!$A$56:$A$105,0)),"")</f>
        <v>0</v>
      </c>
      <c r="N88" s="148"/>
      <c r="O88" s="148"/>
      <c r="P88" s="148"/>
      <c r="Q88" s="148"/>
      <c r="R88" s="148"/>
      <c r="S88" s="148"/>
      <c r="T88" s="150"/>
      <c r="U88" s="150"/>
      <c r="V88" s="151" t="str">
        <f aca="false">IF($T88="","",YEAR($T88))</f>
        <v/>
      </c>
      <c r="W88" s="147" t="str">
        <f aca="false">IF($T88="","","T"&amp;ROUNDUP(MONTH($T88)/3,0))</f>
        <v/>
      </c>
      <c r="X88" s="147" t="str">
        <f aca="false">IF($T88="","",TEXT($T88,"mmmm"))</f>
        <v/>
      </c>
      <c r="Y88" s="148"/>
      <c r="Z88" s="152"/>
      <c r="AA88" s="153"/>
      <c r="AB88" s="154" t="str">
        <f aca="false">IF($AA88="","",IF(OR($Y88="FCFA",$Y88=""),$AA88,$AA88*IF($Z88="",1,$Z88)))</f>
        <v/>
      </c>
      <c r="AC88" s="153"/>
      <c r="AD88" s="154" t="str">
        <f aca="false">IF($AC88="","",MAX($AC88-IF($AB88="",0,$AB88),0))</f>
        <v/>
      </c>
      <c r="AE88" s="148"/>
      <c r="AF88" s="148"/>
      <c r="AG88" s="148"/>
      <c r="AH88" s="155"/>
      <c r="AI88" s="148"/>
      <c r="AJ88" s="155"/>
      <c r="AK88" s="155"/>
      <c r="AL88" s="150"/>
      <c r="AM88" s="148"/>
      <c r="AN88" s="148"/>
      <c r="AO88" s="148"/>
      <c r="AP88" s="148"/>
      <c r="AQ88" s="155"/>
      <c r="AR88" s="148"/>
      <c r="AS88" s="148"/>
      <c r="AT88" s="148"/>
      <c r="AU88" s="148"/>
      <c r="AV88" s="153"/>
      <c r="AW88" s="148"/>
      <c r="AX88" s="148"/>
      <c r="AY88" s="155"/>
      <c r="AZ88" s="148"/>
      <c r="BA88" s="148"/>
      <c r="BB88" s="148"/>
      <c r="BC88" s="150"/>
      <c r="BD88" s="148"/>
      <c r="BE88" s="147" t="str">
        <f aca="true">IF($AC88="","",IF($AD88&lt;=0,"Recu integralement",IF(AND($AU88&lt;&gt;"",$AU88&lt;=TODAY()),"Relance necessaire",IF(AND($U88&lt;&gt;"",$T88="",$U88&lt;TODAY()),"Retard",IF($AD88&gt;0.5*$AC88,"Vigilance","Normal")))))</f>
        <v/>
      </c>
      <c r="BF88" s="155"/>
      <c r="BG88" s="151" t="str">
        <f aca="false">IF($D88="","",COUNTIFS($D$39:$D88,$D88))</f>
        <v/>
      </c>
      <c r="BH88" s="151" t="str">
        <f aca="false">IF($H88="","",COUNTIFS($H$39:$H88,$H88))</f>
        <v/>
      </c>
    </row>
    <row r="90" customFormat="false" ht="15" hidden="false" customHeight="true" outlineLevel="0" collapsed="false">
      <c r="A90" s="18" t="s">
        <v>2068</v>
      </c>
      <c r="B90" s="18"/>
      <c r="C90" s="18"/>
      <c r="D90" s="18"/>
      <c r="E90" s="18"/>
    </row>
    <row r="91" customFormat="false" ht="21.75" hidden="false" customHeight="true" outlineLevel="0" collapsed="false">
      <c r="A91" s="142" t="s">
        <v>1909</v>
      </c>
      <c r="B91" s="142" t="s">
        <v>2121</v>
      </c>
      <c r="C91" s="142" t="s">
        <v>2107</v>
      </c>
      <c r="D91" s="142" t="s">
        <v>2104</v>
      </c>
      <c r="E91" s="142" t="s">
        <v>2105</v>
      </c>
    </row>
    <row r="92" customFormat="false" ht="15" hidden="false" customHeight="true" outlineLevel="0" collapsed="false">
      <c r="A92" s="144" t="str">
        <f aca="false">IF(DONATEURS!$A$56="","",DONATEURS!$A$56)</f>
        <v>DON00001</v>
      </c>
      <c r="B92" s="156" t="str">
        <f aca="false">IF($A92="","",IFERROR(INDEX(DONATEURS!$B$56:$B$205,MATCH($A92,DONATEURS!$A$56:$A$205,0)),""))</f>
        <v>AUSP</v>
      </c>
      <c r="C92" s="157" t="n">
        <f aca="false">IF($A92="","",COUNTIFS($D$39:$D$88,$A92))</f>
        <v>0</v>
      </c>
      <c r="D92" s="146" t="n">
        <f aca="false">IF($A92="","",SUMIFS($AB$39:$AB$88,$D$39:$D$88,$A92))</f>
        <v>0</v>
      </c>
      <c r="E92" s="146" t="n">
        <f aca="false">IF($A92="","",SUMIFS($AD$39:$AD$88,$D$39:$D$88,$A92))</f>
        <v>0</v>
      </c>
    </row>
    <row r="93" customFormat="false" ht="15" hidden="false" customHeight="true" outlineLevel="0" collapsed="false">
      <c r="A93" s="144" t="str">
        <f aca="false">IF(DONATEURS!$A$57="","",DONATEURS!$A$57)</f>
        <v/>
      </c>
      <c r="B93" s="156" t="str">
        <f aca="false">IF($A93="","",IFERROR(INDEX(DONATEURS!$B$56:$B$205,MATCH($A93,DONATEURS!$A$56:$A$205,0)),""))</f>
        <v/>
      </c>
      <c r="C93" s="157" t="str">
        <f aca="false">IF($A93="","",COUNTIFS($D$39:$D$88,$A93))</f>
        <v/>
      </c>
      <c r="D93" s="146" t="str">
        <f aca="false">IF($A93="","",SUMIFS($AB$39:$AB$88,$D$39:$D$88,$A93))</f>
        <v/>
      </c>
      <c r="E93" s="146" t="str">
        <f aca="false">IF($A93="","",SUMIFS($AD$39:$AD$88,$D$39:$D$88,$A93))</f>
        <v/>
      </c>
    </row>
    <row r="94" customFormat="false" ht="15" hidden="false" customHeight="true" outlineLevel="0" collapsed="false">
      <c r="A94" s="144" t="str">
        <f aca="false">IF(DONATEURS!$A$58="","",DONATEURS!$A$58)</f>
        <v/>
      </c>
      <c r="B94" s="156" t="str">
        <f aca="false">IF($A94="","",IFERROR(INDEX(DONATEURS!$B$56:$B$205,MATCH($A94,DONATEURS!$A$56:$A$205,0)),""))</f>
        <v/>
      </c>
      <c r="C94" s="157" t="str">
        <f aca="false">IF($A94="","",COUNTIFS($D$39:$D$88,$A94))</f>
        <v/>
      </c>
      <c r="D94" s="146" t="str">
        <f aca="false">IF($A94="","",SUMIFS($AB$39:$AB$88,$D$39:$D$88,$A94))</f>
        <v/>
      </c>
      <c r="E94" s="146" t="str">
        <f aca="false">IF($A94="","",SUMIFS($AD$39:$AD$88,$D$39:$D$88,$A94))</f>
        <v/>
      </c>
    </row>
    <row r="95" customFormat="false" ht="15" hidden="false" customHeight="true" outlineLevel="0" collapsed="false">
      <c r="A95" s="144" t="str">
        <f aca="false">IF(DONATEURS!$A$59="","",DONATEURS!$A$59)</f>
        <v/>
      </c>
      <c r="B95" s="156" t="str">
        <f aca="false">IF($A95="","",IFERROR(INDEX(DONATEURS!$B$56:$B$205,MATCH($A95,DONATEURS!$A$56:$A$205,0)),""))</f>
        <v/>
      </c>
      <c r="C95" s="157" t="str">
        <f aca="false">IF($A95="","",COUNTIFS($D$39:$D$88,$A95))</f>
        <v/>
      </c>
      <c r="D95" s="146" t="str">
        <f aca="false">IF($A95="","",SUMIFS($AB$39:$AB$88,$D$39:$D$88,$A95))</f>
        <v/>
      </c>
      <c r="E95" s="146" t="str">
        <f aca="false">IF($A95="","",SUMIFS($AD$39:$AD$88,$D$39:$D$88,$A95))</f>
        <v/>
      </c>
    </row>
    <row r="96" customFormat="false" ht="15" hidden="false" customHeight="true" outlineLevel="0" collapsed="false">
      <c r="A96" s="144" t="str">
        <f aca="false">IF(DONATEURS!$A$60="","",DONATEURS!$A$60)</f>
        <v/>
      </c>
      <c r="B96" s="156" t="str">
        <f aca="false">IF($A96="","",IFERROR(INDEX(DONATEURS!$B$56:$B$205,MATCH($A96,DONATEURS!$A$56:$A$205,0)),""))</f>
        <v/>
      </c>
      <c r="C96" s="157" t="str">
        <f aca="false">IF($A96="","",COUNTIFS($D$39:$D$88,$A96))</f>
        <v/>
      </c>
      <c r="D96" s="146" t="str">
        <f aca="false">IF($A96="","",SUMIFS($AB$39:$AB$88,$D$39:$D$88,$A96))</f>
        <v/>
      </c>
      <c r="E96" s="146" t="str">
        <f aca="false">IF($A96="","",SUMIFS($AD$39:$AD$88,$D$39:$D$88,$A96))</f>
        <v/>
      </c>
    </row>
    <row r="97" customFormat="false" ht="15" hidden="false" customHeight="true" outlineLevel="0" collapsed="false">
      <c r="A97" s="144" t="str">
        <f aca="false">IF(DONATEURS!$A$61="","",DONATEURS!$A$61)</f>
        <v/>
      </c>
      <c r="B97" s="156" t="str">
        <f aca="false">IF($A97="","",IFERROR(INDEX(DONATEURS!$B$56:$B$205,MATCH($A97,DONATEURS!$A$56:$A$205,0)),""))</f>
        <v/>
      </c>
      <c r="C97" s="157" t="str">
        <f aca="false">IF($A97="","",COUNTIFS($D$39:$D$88,$A97))</f>
        <v/>
      </c>
      <c r="D97" s="146" t="str">
        <f aca="false">IF($A97="","",SUMIFS($AB$39:$AB$88,$D$39:$D$88,$A97))</f>
        <v/>
      </c>
      <c r="E97" s="146" t="str">
        <f aca="false">IF($A97="","",SUMIFS($AD$39:$AD$88,$D$39:$D$88,$A97))</f>
        <v/>
      </c>
    </row>
    <row r="98" customFormat="false" ht="15" hidden="false" customHeight="true" outlineLevel="0" collapsed="false">
      <c r="A98" s="144" t="str">
        <f aca="false">IF(DONATEURS!$A$62="","",DONATEURS!$A$62)</f>
        <v/>
      </c>
      <c r="B98" s="156" t="str">
        <f aca="false">IF($A98="","",IFERROR(INDEX(DONATEURS!$B$56:$B$205,MATCH($A98,DONATEURS!$A$56:$A$205,0)),""))</f>
        <v/>
      </c>
      <c r="C98" s="157" t="str">
        <f aca="false">IF($A98="","",COUNTIFS($D$39:$D$88,$A98))</f>
        <v/>
      </c>
      <c r="D98" s="146" t="str">
        <f aca="false">IF($A98="","",SUMIFS($AB$39:$AB$88,$D$39:$D$88,$A98))</f>
        <v/>
      </c>
      <c r="E98" s="146" t="str">
        <f aca="false">IF($A98="","",SUMIFS($AD$39:$AD$88,$D$39:$D$88,$A98))</f>
        <v/>
      </c>
    </row>
    <row r="99" customFormat="false" ht="15" hidden="false" customHeight="true" outlineLevel="0" collapsed="false">
      <c r="A99" s="144" t="str">
        <f aca="false">IF(DONATEURS!$A$63="","",DONATEURS!$A$63)</f>
        <v/>
      </c>
      <c r="B99" s="156" t="str">
        <f aca="false">IF($A99="","",IFERROR(INDEX(DONATEURS!$B$56:$B$205,MATCH($A99,DONATEURS!$A$56:$A$205,0)),""))</f>
        <v/>
      </c>
      <c r="C99" s="157" t="str">
        <f aca="false">IF($A99="","",COUNTIFS($D$39:$D$88,$A99))</f>
        <v/>
      </c>
      <c r="D99" s="146" t="str">
        <f aca="false">IF($A99="","",SUMIFS($AB$39:$AB$88,$D$39:$D$88,$A99))</f>
        <v/>
      </c>
      <c r="E99" s="146" t="str">
        <f aca="false">IF($A99="","",SUMIFS($AD$39:$AD$88,$D$39:$D$88,$A99))</f>
        <v/>
      </c>
    </row>
    <row r="100" customFormat="false" ht="15" hidden="false" customHeight="true" outlineLevel="0" collapsed="false">
      <c r="A100" s="144" t="str">
        <f aca="false">IF(DONATEURS!$A$64="","",DONATEURS!$A$64)</f>
        <v/>
      </c>
      <c r="B100" s="156" t="str">
        <f aca="false">IF($A100="","",IFERROR(INDEX(DONATEURS!$B$56:$B$205,MATCH($A100,DONATEURS!$A$56:$A$205,0)),""))</f>
        <v/>
      </c>
      <c r="C100" s="157" t="str">
        <f aca="false">IF($A100="","",COUNTIFS($D$39:$D$88,$A100))</f>
        <v/>
      </c>
      <c r="D100" s="146" t="str">
        <f aca="false">IF($A100="","",SUMIFS($AB$39:$AB$88,$D$39:$D$88,$A100))</f>
        <v/>
      </c>
      <c r="E100" s="146" t="str">
        <f aca="false">IF($A100="","",SUMIFS($AD$39:$AD$88,$D$39:$D$88,$A100))</f>
        <v/>
      </c>
    </row>
    <row r="101" customFormat="false" ht="15" hidden="false" customHeight="true" outlineLevel="0" collapsed="false">
      <c r="A101" s="144" t="str">
        <f aca="false">IF(DONATEURS!$A$65="","",DONATEURS!$A$65)</f>
        <v/>
      </c>
      <c r="B101" s="156" t="str">
        <f aca="false">IF($A101="","",IFERROR(INDEX(DONATEURS!$B$56:$B$205,MATCH($A101,DONATEURS!$A$56:$A$205,0)),""))</f>
        <v/>
      </c>
      <c r="C101" s="157" t="str">
        <f aca="false">IF($A101="","",COUNTIFS($D$39:$D$88,$A101))</f>
        <v/>
      </c>
      <c r="D101" s="146" t="str">
        <f aca="false">IF($A101="","",SUMIFS($AB$39:$AB$88,$D$39:$D$88,$A101))</f>
        <v/>
      </c>
      <c r="E101" s="146" t="str">
        <f aca="false">IF($A101="","",SUMIFS($AD$39:$AD$88,$D$39:$D$88,$A101))</f>
        <v/>
      </c>
    </row>
    <row r="102" customFormat="false" ht="15" hidden="false" customHeight="true" outlineLevel="0" collapsed="false">
      <c r="A102" s="144" t="str">
        <f aca="false">IF(DONATEURS!$A$66="","",DONATEURS!$A$66)</f>
        <v/>
      </c>
      <c r="B102" s="156" t="str">
        <f aca="false">IF($A102="","",IFERROR(INDEX(DONATEURS!$B$56:$B$205,MATCH($A102,DONATEURS!$A$56:$A$205,0)),""))</f>
        <v/>
      </c>
      <c r="C102" s="157" t="str">
        <f aca="false">IF($A102="","",COUNTIFS($D$39:$D$88,$A102))</f>
        <v/>
      </c>
      <c r="D102" s="146" t="str">
        <f aca="false">IF($A102="","",SUMIFS($AB$39:$AB$88,$D$39:$D$88,$A102))</f>
        <v/>
      </c>
      <c r="E102" s="146" t="str">
        <f aca="false">IF($A102="","",SUMIFS($AD$39:$AD$88,$D$39:$D$88,$A102))</f>
        <v/>
      </c>
    </row>
    <row r="103" customFormat="false" ht="15" hidden="false" customHeight="true" outlineLevel="0" collapsed="false">
      <c r="A103" s="144" t="str">
        <f aca="false">IF(DONATEURS!$A$67="","",DONATEURS!$A$67)</f>
        <v/>
      </c>
      <c r="B103" s="156" t="str">
        <f aca="false">IF($A103="","",IFERROR(INDEX(DONATEURS!$B$56:$B$205,MATCH($A103,DONATEURS!$A$56:$A$205,0)),""))</f>
        <v/>
      </c>
      <c r="C103" s="157" t="str">
        <f aca="false">IF($A103="","",COUNTIFS($D$39:$D$88,$A103))</f>
        <v/>
      </c>
      <c r="D103" s="146" t="str">
        <f aca="false">IF($A103="","",SUMIFS($AB$39:$AB$88,$D$39:$D$88,$A103))</f>
        <v/>
      </c>
      <c r="E103" s="146" t="str">
        <f aca="false">IF($A103="","",SUMIFS($AD$39:$AD$88,$D$39:$D$88,$A103))</f>
        <v/>
      </c>
    </row>
    <row r="104" customFormat="false" ht="15" hidden="false" customHeight="true" outlineLevel="0" collapsed="false">
      <c r="A104" s="144" t="str">
        <f aca="false">IF(DONATEURS!$A$68="","",DONATEURS!$A$68)</f>
        <v/>
      </c>
      <c r="B104" s="156" t="str">
        <f aca="false">IF($A104="","",IFERROR(INDEX(DONATEURS!$B$56:$B$205,MATCH($A104,DONATEURS!$A$56:$A$205,0)),""))</f>
        <v/>
      </c>
      <c r="C104" s="157" t="str">
        <f aca="false">IF($A104="","",COUNTIFS($D$39:$D$88,$A104))</f>
        <v/>
      </c>
      <c r="D104" s="146" t="str">
        <f aca="false">IF($A104="","",SUMIFS($AB$39:$AB$88,$D$39:$D$88,$A104))</f>
        <v/>
      </c>
      <c r="E104" s="146" t="str">
        <f aca="false">IF($A104="","",SUMIFS($AD$39:$AD$88,$D$39:$D$88,$A104))</f>
        <v/>
      </c>
    </row>
    <row r="105" customFormat="false" ht="15" hidden="false" customHeight="true" outlineLevel="0" collapsed="false">
      <c r="A105" s="144" t="str">
        <f aca="false">IF(DONATEURS!$A$69="","",DONATEURS!$A$69)</f>
        <v/>
      </c>
      <c r="B105" s="156" t="str">
        <f aca="false">IF($A105="","",IFERROR(INDEX(DONATEURS!$B$56:$B$205,MATCH($A105,DONATEURS!$A$56:$A$205,0)),""))</f>
        <v/>
      </c>
      <c r="C105" s="157" t="str">
        <f aca="false">IF($A105="","",COUNTIFS($D$39:$D$88,$A105))</f>
        <v/>
      </c>
      <c r="D105" s="146" t="str">
        <f aca="false">IF($A105="","",SUMIFS($AB$39:$AB$88,$D$39:$D$88,$A105))</f>
        <v/>
      </c>
      <c r="E105" s="146" t="str">
        <f aca="false">IF($A105="","",SUMIFS($AD$39:$AD$88,$D$39:$D$88,$A105))</f>
        <v/>
      </c>
    </row>
    <row r="106" customFormat="false" ht="15" hidden="false" customHeight="true" outlineLevel="0" collapsed="false">
      <c r="A106" s="144" t="str">
        <f aca="false">IF(DONATEURS!$A$70="","",DONATEURS!$A$70)</f>
        <v/>
      </c>
      <c r="B106" s="156" t="str">
        <f aca="false">IF($A106="","",IFERROR(INDEX(DONATEURS!$B$56:$B$205,MATCH($A106,DONATEURS!$A$56:$A$205,0)),""))</f>
        <v/>
      </c>
      <c r="C106" s="157" t="str">
        <f aca="false">IF($A106="","",COUNTIFS($D$39:$D$88,$A106))</f>
        <v/>
      </c>
      <c r="D106" s="146" t="str">
        <f aca="false">IF($A106="","",SUMIFS($AB$39:$AB$88,$D$39:$D$88,$A106))</f>
        <v/>
      </c>
      <c r="E106" s="146" t="str">
        <f aca="false">IF($A106="","",SUMIFS($AD$39:$AD$88,$D$39:$D$88,$A106))</f>
        <v/>
      </c>
    </row>
    <row r="107" customFormat="false" ht="15" hidden="false" customHeight="true" outlineLevel="0" collapsed="false">
      <c r="A107" s="144" t="str">
        <f aca="false">IF(DONATEURS!$A$71="","",DONATEURS!$A$71)</f>
        <v/>
      </c>
      <c r="B107" s="156" t="str">
        <f aca="false">IF($A107="","",IFERROR(INDEX(DONATEURS!$B$56:$B$205,MATCH($A107,DONATEURS!$A$56:$A$205,0)),""))</f>
        <v/>
      </c>
      <c r="C107" s="157" t="str">
        <f aca="false">IF($A107="","",COUNTIFS($D$39:$D$88,$A107))</f>
        <v/>
      </c>
      <c r="D107" s="146" t="str">
        <f aca="false">IF($A107="","",SUMIFS($AB$39:$AB$88,$D$39:$D$88,$A107))</f>
        <v/>
      </c>
      <c r="E107" s="146" t="str">
        <f aca="false">IF($A107="","",SUMIFS($AD$39:$AD$88,$D$39:$D$88,$A107))</f>
        <v/>
      </c>
    </row>
    <row r="108" customFormat="false" ht="15" hidden="false" customHeight="true" outlineLevel="0" collapsed="false">
      <c r="A108" s="144" t="str">
        <f aca="false">IF(DONATEURS!$A$72="","",DONATEURS!$A$72)</f>
        <v/>
      </c>
      <c r="B108" s="156" t="str">
        <f aca="false">IF($A108="","",IFERROR(INDEX(DONATEURS!$B$56:$B$205,MATCH($A108,DONATEURS!$A$56:$A$205,0)),""))</f>
        <v/>
      </c>
      <c r="C108" s="157" t="str">
        <f aca="false">IF($A108="","",COUNTIFS($D$39:$D$88,$A108))</f>
        <v/>
      </c>
      <c r="D108" s="146" t="str">
        <f aca="false">IF($A108="","",SUMIFS($AB$39:$AB$88,$D$39:$D$88,$A108))</f>
        <v/>
      </c>
      <c r="E108" s="146" t="str">
        <f aca="false">IF($A108="","",SUMIFS($AD$39:$AD$88,$D$39:$D$88,$A108))</f>
        <v/>
      </c>
    </row>
    <row r="109" customFormat="false" ht="15" hidden="false" customHeight="true" outlineLevel="0" collapsed="false">
      <c r="A109" s="144" t="str">
        <f aca="false">IF(DONATEURS!$A$73="","",DONATEURS!$A$73)</f>
        <v/>
      </c>
      <c r="B109" s="156" t="str">
        <f aca="false">IF($A109="","",IFERROR(INDEX(DONATEURS!$B$56:$B$205,MATCH($A109,DONATEURS!$A$56:$A$205,0)),""))</f>
        <v/>
      </c>
      <c r="C109" s="157" t="str">
        <f aca="false">IF($A109="","",COUNTIFS($D$39:$D$88,$A109))</f>
        <v/>
      </c>
      <c r="D109" s="146" t="str">
        <f aca="false">IF($A109="","",SUMIFS($AB$39:$AB$88,$D$39:$D$88,$A109))</f>
        <v/>
      </c>
      <c r="E109" s="146" t="str">
        <f aca="false">IF($A109="","",SUMIFS($AD$39:$AD$88,$D$39:$D$88,$A109))</f>
        <v/>
      </c>
    </row>
    <row r="110" customFormat="false" ht="15" hidden="false" customHeight="true" outlineLevel="0" collapsed="false">
      <c r="A110" s="144" t="str">
        <f aca="false">IF(DONATEURS!$A$74="","",DONATEURS!$A$74)</f>
        <v/>
      </c>
      <c r="B110" s="156" t="str">
        <f aca="false">IF($A110="","",IFERROR(INDEX(DONATEURS!$B$56:$B$205,MATCH($A110,DONATEURS!$A$56:$A$205,0)),""))</f>
        <v/>
      </c>
      <c r="C110" s="157" t="str">
        <f aca="false">IF($A110="","",COUNTIFS($D$39:$D$88,$A110))</f>
        <v/>
      </c>
      <c r="D110" s="146" t="str">
        <f aca="false">IF($A110="","",SUMIFS($AB$39:$AB$88,$D$39:$D$88,$A110))</f>
        <v/>
      </c>
      <c r="E110" s="146" t="str">
        <f aca="false">IF($A110="","",SUMIFS($AD$39:$AD$88,$D$39:$D$88,$A110))</f>
        <v/>
      </c>
    </row>
    <row r="111" customFormat="false" ht="15" hidden="false" customHeight="true" outlineLevel="0" collapsed="false">
      <c r="A111" s="144" t="str">
        <f aca="false">IF(DONATEURS!$A$75="","",DONATEURS!$A$75)</f>
        <v/>
      </c>
      <c r="B111" s="156" t="str">
        <f aca="false">IF($A111="","",IFERROR(INDEX(DONATEURS!$B$56:$B$205,MATCH($A111,DONATEURS!$A$56:$A$205,0)),""))</f>
        <v/>
      </c>
      <c r="C111" s="157" t="str">
        <f aca="false">IF($A111="","",COUNTIFS($D$39:$D$88,$A111))</f>
        <v/>
      </c>
      <c r="D111" s="146" t="str">
        <f aca="false">IF($A111="","",SUMIFS($AB$39:$AB$88,$D$39:$D$88,$A111))</f>
        <v/>
      </c>
      <c r="E111" s="146" t="str">
        <f aca="false">IF($A111="","",SUMIFS($AD$39:$AD$88,$D$39:$D$88,$A111))</f>
        <v/>
      </c>
    </row>
    <row r="112" customFormat="false" ht="15" hidden="false" customHeight="true" outlineLevel="0" collapsed="false">
      <c r="A112" s="144" t="str">
        <f aca="false">IF(DONATEURS!$A$76="","",DONATEURS!$A$76)</f>
        <v/>
      </c>
      <c r="B112" s="156" t="str">
        <f aca="false">IF($A112="","",IFERROR(INDEX(DONATEURS!$B$56:$B$205,MATCH($A112,DONATEURS!$A$56:$A$205,0)),""))</f>
        <v/>
      </c>
      <c r="C112" s="157" t="str">
        <f aca="false">IF($A112="","",COUNTIFS($D$39:$D$88,$A112))</f>
        <v/>
      </c>
      <c r="D112" s="146" t="str">
        <f aca="false">IF($A112="","",SUMIFS($AB$39:$AB$88,$D$39:$D$88,$A112))</f>
        <v/>
      </c>
      <c r="E112" s="146" t="str">
        <f aca="false">IF($A112="","",SUMIFS($AD$39:$AD$88,$D$39:$D$88,$A112))</f>
        <v/>
      </c>
    </row>
    <row r="113" customFormat="false" ht="15" hidden="false" customHeight="true" outlineLevel="0" collapsed="false">
      <c r="A113" s="144" t="str">
        <f aca="false">IF(DONATEURS!$A$77="","",DONATEURS!$A$77)</f>
        <v/>
      </c>
      <c r="B113" s="156" t="str">
        <f aca="false">IF($A113="","",IFERROR(INDEX(DONATEURS!$B$56:$B$205,MATCH($A113,DONATEURS!$A$56:$A$205,0)),""))</f>
        <v/>
      </c>
      <c r="C113" s="157" t="str">
        <f aca="false">IF($A113="","",COUNTIFS($D$39:$D$88,$A113))</f>
        <v/>
      </c>
      <c r="D113" s="146" t="str">
        <f aca="false">IF($A113="","",SUMIFS($AB$39:$AB$88,$D$39:$D$88,$A113))</f>
        <v/>
      </c>
      <c r="E113" s="146" t="str">
        <f aca="false">IF($A113="","",SUMIFS($AD$39:$AD$88,$D$39:$D$88,$A113))</f>
        <v/>
      </c>
    </row>
    <row r="114" customFormat="false" ht="15" hidden="false" customHeight="true" outlineLevel="0" collapsed="false">
      <c r="A114" s="144" t="str">
        <f aca="false">IF(DONATEURS!$A$78="","",DONATEURS!$A$78)</f>
        <v/>
      </c>
      <c r="B114" s="156" t="str">
        <f aca="false">IF($A114="","",IFERROR(INDEX(DONATEURS!$B$56:$B$205,MATCH($A114,DONATEURS!$A$56:$A$205,0)),""))</f>
        <v/>
      </c>
      <c r="C114" s="157" t="str">
        <f aca="false">IF($A114="","",COUNTIFS($D$39:$D$88,$A114))</f>
        <v/>
      </c>
      <c r="D114" s="146" t="str">
        <f aca="false">IF($A114="","",SUMIFS($AB$39:$AB$88,$D$39:$D$88,$A114))</f>
        <v/>
      </c>
      <c r="E114" s="146" t="str">
        <f aca="false">IF($A114="","",SUMIFS($AD$39:$AD$88,$D$39:$D$88,$A114))</f>
        <v/>
      </c>
    </row>
    <row r="115" customFormat="false" ht="15" hidden="false" customHeight="true" outlineLevel="0" collapsed="false">
      <c r="A115" s="144" t="str">
        <f aca="false">IF(DONATEURS!$A$79="","",DONATEURS!$A$79)</f>
        <v/>
      </c>
      <c r="B115" s="156" t="str">
        <f aca="false">IF($A115="","",IFERROR(INDEX(DONATEURS!$B$56:$B$205,MATCH($A115,DONATEURS!$A$56:$A$205,0)),""))</f>
        <v/>
      </c>
      <c r="C115" s="157" t="str">
        <f aca="false">IF($A115="","",COUNTIFS($D$39:$D$88,$A115))</f>
        <v/>
      </c>
      <c r="D115" s="146" t="str">
        <f aca="false">IF($A115="","",SUMIFS($AB$39:$AB$88,$D$39:$D$88,$A115))</f>
        <v/>
      </c>
      <c r="E115" s="146" t="str">
        <f aca="false">IF($A115="","",SUMIFS($AD$39:$AD$88,$D$39:$D$88,$A115))</f>
        <v/>
      </c>
    </row>
    <row r="116" customFormat="false" ht="15" hidden="false" customHeight="true" outlineLevel="0" collapsed="false">
      <c r="A116" s="144" t="str">
        <f aca="false">IF(DONATEURS!$A$80="","",DONATEURS!$A$80)</f>
        <v/>
      </c>
      <c r="B116" s="156" t="str">
        <f aca="false">IF($A116="","",IFERROR(INDEX(DONATEURS!$B$56:$B$205,MATCH($A116,DONATEURS!$A$56:$A$205,0)),""))</f>
        <v/>
      </c>
      <c r="C116" s="157" t="str">
        <f aca="false">IF($A116="","",COUNTIFS($D$39:$D$88,$A116))</f>
        <v/>
      </c>
      <c r="D116" s="146" t="str">
        <f aca="false">IF($A116="","",SUMIFS($AB$39:$AB$88,$D$39:$D$88,$A116))</f>
        <v/>
      </c>
      <c r="E116" s="146" t="str">
        <f aca="false">IF($A116="","",SUMIFS($AD$39:$AD$88,$D$39:$D$88,$A116))</f>
        <v/>
      </c>
    </row>
    <row r="117" customFormat="false" ht="15" hidden="false" customHeight="true" outlineLevel="0" collapsed="false">
      <c r="A117" s="144" t="str">
        <f aca="false">IF(DONATEURS!$A$81="","",DONATEURS!$A$81)</f>
        <v/>
      </c>
      <c r="B117" s="156" t="str">
        <f aca="false">IF($A117="","",IFERROR(INDEX(DONATEURS!$B$56:$B$205,MATCH($A117,DONATEURS!$A$56:$A$205,0)),""))</f>
        <v/>
      </c>
      <c r="C117" s="157" t="str">
        <f aca="false">IF($A117="","",COUNTIFS($D$39:$D$88,$A117))</f>
        <v/>
      </c>
      <c r="D117" s="146" t="str">
        <f aca="false">IF($A117="","",SUMIFS($AB$39:$AB$88,$D$39:$D$88,$A117))</f>
        <v/>
      </c>
      <c r="E117" s="146" t="str">
        <f aca="false">IF($A117="","",SUMIFS($AD$39:$AD$88,$D$39:$D$88,$A117))</f>
        <v/>
      </c>
    </row>
    <row r="118" customFormat="false" ht="15" hidden="false" customHeight="true" outlineLevel="0" collapsed="false">
      <c r="A118" s="144" t="str">
        <f aca="false">IF(DONATEURS!$A$82="","",DONATEURS!$A$82)</f>
        <v/>
      </c>
      <c r="B118" s="156" t="str">
        <f aca="false">IF($A118="","",IFERROR(INDEX(DONATEURS!$B$56:$B$205,MATCH($A118,DONATEURS!$A$56:$A$205,0)),""))</f>
        <v/>
      </c>
      <c r="C118" s="157" t="str">
        <f aca="false">IF($A118="","",COUNTIFS($D$39:$D$88,$A118))</f>
        <v/>
      </c>
      <c r="D118" s="146" t="str">
        <f aca="false">IF($A118="","",SUMIFS($AB$39:$AB$88,$D$39:$D$88,$A118))</f>
        <v/>
      </c>
      <c r="E118" s="146" t="str">
        <f aca="false">IF($A118="","",SUMIFS($AD$39:$AD$88,$D$39:$D$88,$A118))</f>
        <v/>
      </c>
    </row>
    <row r="119" customFormat="false" ht="15" hidden="false" customHeight="true" outlineLevel="0" collapsed="false">
      <c r="A119" s="144" t="str">
        <f aca="false">IF(DONATEURS!$A$83="","",DONATEURS!$A$83)</f>
        <v/>
      </c>
      <c r="B119" s="156" t="str">
        <f aca="false">IF($A119="","",IFERROR(INDEX(DONATEURS!$B$56:$B$205,MATCH($A119,DONATEURS!$A$56:$A$205,0)),""))</f>
        <v/>
      </c>
      <c r="C119" s="157" t="str">
        <f aca="false">IF($A119="","",COUNTIFS($D$39:$D$88,$A119))</f>
        <v/>
      </c>
      <c r="D119" s="146" t="str">
        <f aca="false">IF($A119="","",SUMIFS($AB$39:$AB$88,$D$39:$D$88,$A119))</f>
        <v/>
      </c>
      <c r="E119" s="146" t="str">
        <f aca="false">IF($A119="","",SUMIFS($AD$39:$AD$88,$D$39:$D$88,$A119))</f>
        <v/>
      </c>
    </row>
    <row r="120" customFormat="false" ht="15" hidden="false" customHeight="true" outlineLevel="0" collapsed="false">
      <c r="A120" s="144" t="str">
        <f aca="false">IF(DONATEURS!$A$84="","",DONATEURS!$A$84)</f>
        <v/>
      </c>
      <c r="B120" s="156" t="str">
        <f aca="false">IF($A120="","",IFERROR(INDEX(DONATEURS!$B$56:$B$205,MATCH($A120,DONATEURS!$A$56:$A$205,0)),""))</f>
        <v/>
      </c>
      <c r="C120" s="157" t="str">
        <f aca="false">IF($A120="","",COUNTIFS($D$39:$D$88,$A120))</f>
        <v/>
      </c>
      <c r="D120" s="146" t="str">
        <f aca="false">IF($A120="","",SUMIFS($AB$39:$AB$88,$D$39:$D$88,$A120))</f>
        <v/>
      </c>
      <c r="E120" s="146" t="str">
        <f aca="false">IF($A120="","",SUMIFS($AD$39:$AD$88,$D$39:$D$88,$A120))</f>
        <v/>
      </c>
    </row>
    <row r="121" customFormat="false" ht="15" hidden="false" customHeight="true" outlineLevel="0" collapsed="false">
      <c r="A121" s="144" t="str">
        <f aca="false">IF(DONATEURS!$A$85="","",DONATEURS!$A$85)</f>
        <v/>
      </c>
      <c r="B121" s="156" t="str">
        <f aca="false">IF($A121="","",IFERROR(INDEX(DONATEURS!$B$56:$B$205,MATCH($A121,DONATEURS!$A$56:$A$205,0)),""))</f>
        <v/>
      </c>
      <c r="C121" s="157" t="str">
        <f aca="false">IF($A121="","",COUNTIFS($D$39:$D$88,$A121))</f>
        <v/>
      </c>
      <c r="D121" s="146" t="str">
        <f aca="false">IF($A121="","",SUMIFS($AB$39:$AB$88,$D$39:$D$88,$A121))</f>
        <v/>
      </c>
      <c r="E121" s="146" t="str">
        <f aca="false">IF($A121="","",SUMIFS($AD$39:$AD$88,$D$39:$D$88,$A121))</f>
        <v/>
      </c>
    </row>
    <row r="122" customFormat="false" ht="15" hidden="false" customHeight="true" outlineLevel="0" collapsed="false">
      <c r="A122" s="144" t="str">
        <f aca="false">IF(DONATEURS!$A$86="","",DONATEURS!$A$86)</f>
        <v/>
      </c>
      <c r="B122" s="156" t="str">
        <f aca="false">IF($A122="","",IFERROR(INDEX(DONATEURS!$B$56:$B$205,MATCH($A122,DONATEURS!$A$56:$A$205,0)),""))</f>
        <v/>
      </c>
      <c r="C122" s="157" t="str">
        <f aca="false">IF($A122="","",COUNTIFS($D$39:$D$88,$A122))</f>
        <v/>
      </c>
      <c r="D122" s="146" t="str">
        <f aca="false">IF($A122="","",SUMIFS($AB$39:$AB$88,$D$39:$D$88,$A122))</f>
        <v/>
      </c>
      <c r="E122" s="146" t="str">
        <f aca="false">IF($A122="","",SUMIFS($AD$39:$AD$88,$D$39:$D$88,$A122))</f>
        <v/>
      </c>
    </row>
    <row r="123" customFormat="false" ht="15" hidden="false" customHeight="true" outlineLevel="0" collapsed="false">
      <c r="A123" s="144" t="str">
        <f aca="false">IF(DONATEURS!$A$87="","",DONATEURS!$A$87)</f>
        <v/>
      </c>
      <c r="B123" s="156" t="str">
        <f aca="false">IF($A123="","",IFERROR(INDEX(DONATEURS!$B$56:$B$205,MATCH($A123,DONATEURS!$A$56:$A$205,0)),""))</f>
        <v/>
      </c>
      <c r="C123" s="157" t="str">
        <f aca="false">IF($A123="","",COUNTIFS($D$39:$D$88,$A123))</f>
        <v/>
      </c>
      <c r="D123" s="146" t="str">
        <f aca="false">IF($A123="","",SUMIFS($AB$39:$AB$88,$D$39:$D$88,$A123))</f>
        <v/>
      </c>
      <c r="E123" s="146" t="str">
        <f aca="false">IF($A123="","",SUMIFS($AD$39:$AD$88,$D$39:$D$88,$A123))</f>
        <v/>
      </c>
    </row>
    <row r="124" customFormat="false" ht="15" hidden="false" customHeight="true" outlineLevel="0" collapsed="false">
      <c r="A124" s="144" t="str">
        <f aca="false">IF(DONATEURS!$A$88="","",DONATEURS!$A$88)</f>
        <v/>
      </c>
      <c r="B124" s="156" t="str">
        <f aca="false">IF($A124="","",IFERROR(INDEX(DONATEURS!$B$56:$B$205,MATCH($A124,DONATEURS!$A$56:$A$205,0)),""))</f>
        <v/>
      </c>
      <c r="C124" s="157" t="str">
        <f aca="false">IF($A124="","",COUNTIFS($D$39:$D$88,$A124))</f>
        <v/>
      </c>
      <c r="D124" s="146" t="str">
        <f aca="false">IF($A124="","",SUMIFS($AB$39:$AB$88,$D$39:$D$88,$A124))</f>
        <v/>
      </c>
      <c r="E124" s="146" t="str">
        <f aca="false">IF($A124="","",SUMIFS($AD$39:$AD$88,$D$39:$D$88,$A124))</f>
        <v/>
      </c>
    </row>
    <row r="125" customFormat="false" ht="15" hidden="false" customHeight="true" outlineLevel="0" collapsed="false">
      <c r="A125" s="144" t="str">
        <f aca="false">IF(DONATEURS!$A$89="","",DONATEURS!$A$89)</f>
        <v/>
      </c>
      <c r="B125" s="156" t="str">
        <f aca="false">IF($A125="","",IFERROR(INDEX(DONATEURS!$B$56:$B$205,MATCH($A125,DONATEURS!$A$56:$A$205,0)),""))</f>
        <v/>
      </c>
      <c r="C125" s="157" t="str">
        <f aca="false">IF($A125="","",COUNTIFS($D$39:$D$88,$A125))</f>
        <v/>
      </c>
      <c r="D125" s="146" t="str">
        <f aca="false">IF($A125="","",SUMIFS($AB$39:$AB$88,$D$39:$D$88,$A125))</f>
        <v/>
      </c>
      <c r="E125" s="146" t="str">
        <f aca="false">IF($A125="","",SUMIFS($AD$39:$AD$88,$D$39:$D$88,$A125))</f>
        <v/>
      </c>
    </row>
    <row r="126" customFormat="false" ht="15" hidden="false" customHeight="true" outlineLevel="0" collapsed="false">
      <c r="A126" s="144" t="str">
        <f aca="false">IF(DONATEURS!$A$90="","",DONATEURS!$A$90)</f>
        <v/>
      </c>
      <c r="B126" s="156" t="str">
        <f aca="false">IF($A126="","",IFERROR(INDEX(DONATEURS!$B$56:$B$205,MATCH($A126,DONATEURS!$A$56:$A$205,0)),""))</f>
        <v/>
      </c>
      <c r="C126" s="157" t="str">
        <f aca="false">IF($A126="","",COUNTIFS($D$39:$D$88,$A126))</f>
        <v/>
      </c>
      <c r="D126" s="146" t="str">
        <f aca="false">IF($A126="","",SUMIFS($AB$39:$AB$88,$D$39:$D$88,$A126))</f>
        <v/>
      </c>
      <c r="E126" s="146" t="str">
        <f aca="false">IF($A126="","",SUMIFS($AD$39:$AD$88,$D$39:$D$88,$A126))</f>
        <v/>
      </c>
    </row>
    <row r="127" customFormat="false" ht="15" hidden="false" customHeight="true" outlineLevel="0" collapsed="false">
      <c r="A127" s="144" t="str">
        <f aca="false">IF(DONATEURS!$A$91="","",DONATEURS!$A$91)</f>
        <v/>
      </c>
      <c r="B127" s="156" t="str">
        <f aca="false">IF($A127="","",IFERROR(INDEX(DONATEURS!$B$56:$B$205,MATCH($A127,DONATEURS!$A$56:$A$205,0)),""))</f>
        <v/>
      </c>
      <c r="C127" s="157" t="str">
        <f aca="false">IF($A127="","",COUNTIFS($D$39:$D$88,$A127))</f>
        <v/>
      </c>
      <c r="D127" s="146" t="str">
        <f aca="false">IF($A127="","",SUMIFS($AB$39:$AB$88,$D$39:$D$88,$A127))</f>
        <v/>
      </c>
      <c r="E127" s="146" t="str">
        <f aca="false">IF($A127="","",SUMIFS($AD$39:$AD$88,$D$39:$D$88,$A127))</f>
        <v/>
      </c>
    </row>
    <row r="128" customFormat="false" ht="15" hidden="false" customHeight="true" outlineLevel="0" collapsed="false">
      <c r="A128" s="144" t="str">
        <f aca="false">IF(DONATEURS!$A$92="","",DONATEURS!$A$92)</f>
        <v/>
      </c>
      <c r="B128" s="156" t="str">
        <f aca="false">IF($A128="","",IFERROR(INDEX(DONATEURS!$B$56:$B$205,MATCH($A128,DONATEURS!$A$56:$A$205,0)),""))</f>
        <v/>
      </c>
      <c r="C128" s="157" t="str">
        <f aca="false">IF($A128="","",COUNTIFS($D$39:$D$88,$A128))</f>
        <v/>
      </c>
      <c r="D128" s="146" t="str">
        <f aca="false">IF($A128="","",SUMIFS($AB$39:$AB$88,$D$39:$D$88,$A128))</f>
        <v/>
      </c>
      <c r="E128" s="146" t="str">
        <f aca="false">IF($A128="","",SUMIFS($AD$39:$AD$88,$D$39:$D$88,$A128))</f>
        <v/>
      </c>
    </row>
    <row r="129" customFormat="false" ht="15" hidden="false" customHeight="true" outlineLevel="0" collapsed="false">
      <c r="A129" s="144" t="str">
        <f aca="false">IF(DONATEURS!$A$93="","",DONATEURS!$A$93)</f>
        <v/>
      </c>
      <c r="B129" s="156" t="str">
        <f aca="false">IF($A129="","",IFERROR(INDEX(DONATEURS!$B$56:$B$205,MATCH($A129,DONATEURS!$A$56:$A$205,0)),""))</f>
        <v/>
      </c>
      <c r="C129" s="157" t="str">
        <f aca="false">IF($A129="","",COUNTIFS($D$39:$D$88,$A129))</f>
        <v/>
      </c>
      <c r="D129" s="146" t="str">
        <f aca="false">IF($A129="","",SUMIFS($AB$39:$AB$88,$D$39:$D$88,$A129))</f>
        <v/>
      </c>
      <c r="E129" s="146" t="str">
        <f aca="false">IF($A129="","",SUMIFS($AD$39:$AD$88,$D$39:$D$88,$A129))</f>
        <v/>
      </c>
    </row>
    <row r="130" customFormat="false" ht="15" hidden="false" customHeight="true" outlineLevel="0" collapsed="false">
      <c r="A130" s="144" t="str">
        <f aca="false">IF(DONATEURS!$A$94="","",DONATEURS!$A$94)</f>
        <v/>
      </c>
      <c r="B130" s="156" t="str">
        <f aca="false">IF($A130="","",IFERROR(INDEX(DONATEURS!$B$56:$B$205,MATCH($A130,DONATEURS!$A$56:$A$205,0)),""))</f>
        <v/>
      </c>
      <c r="C130" s="157" t="str">
        <f aca="false">IF($A130="","",COUNTIFS($D$39:$D$88,$A130))</f>
        <v/>
      </c>
      <c r="D130" s="146" t="str">
        <f aca="false">IF($A130="","",SUMIFS($AB$39:$AB$88,$D$39:$D$88,$A130))</f>
        <v/>
      </c>
      <c r="E130" s="146" t="str">
        <f aca="false">IF($A130="","",SUMIFS($AD$39:$AD$88,$D$39:$D$88,$A130))</f>
        <v/>
      </c>
    </row>
    <row r="131" customFormat="false" ht="15" hidden="false" customHeight="true" outlineLevel="0" collapsed="false">
      <c r="A131" s="144" t="str">
        <f aca="false">IF(DONATEURS!$A$95="","",DONATEURS!$A$95)</f>
        <v/>
      </c>
      <c r="B131" s="156" t="str">
        <f aca="false">IF($A131="","",IFERROR(INDEX(DONATEURS!$B$56:$B$205,MATCH($A131,DONATEURS!$A$56:$A$205,0)),""))</f>
        <v/>
      </c>
      <c r="C131" s="157" t="str">
        <f aca="false">IF($A131="","",COUNTIFS($D$39:$D$88,$A131))</f>
        <v/>
      </c>
      <c r="D131" s="146" t="str">
        <f aca="false">IF($A131="","",SUMIFS($AB$39:$AB$88,$D$39:$D$88,$A131))</f>
        <v/>
      </c>
      <c r="E131" s="146" t="str">
        <f aca="false">IF($A131="","",SUMIFS($AD$39:$AD$88,$D$39:$D$88,$A131))</f>
        <v/>
      </c>
    </row>
    <row r="133" customFormat="false" ht="15" hidden="false" customHeight="true" outlineLevel="0" collapsed="false">
      <c r="A133" s="18" t="s">
        <v>2065</v>
      </c>
      <c r="B133" s="18"/>
      <c r="C133" s="18"/>
      <c r="D133" s="18"/>
    </row>
    <row r="134" customFormat="false" ht="32.25" hidden="false" customHeight="true" outlineLevel="0" collapsed="false">
      <c r="A134" s="142" t="s">
        <v>1570</v>
      </c>
      <c r="B134" s="142" t="s">
        <v>1508</v>
      </c>
      <c r="C134" s="142" t="s">
        <v>1596</v>
      </c>
      <c r="D134" s="142" t="s">
        <v>2105</v>
      </c>
    </row>
    <row r="135" customFormat="false" ht="42.75" hidden="false" customHeight="true" outlineLevel="0" collapsed="false">
      <c r="A135" s="144" t="str">
        <f aca="false">IF(PROJETS!$A$56="","",PROJETS!$A$56)</f>
        <v>PROJ0001</v>
      </c>
      <c r="B135" s="156" t="str">
        <f aca="false">IF($A135="","",IFERROR(INDEX(PROJETS!$C$56:$C$95,MATCH($A135,PROJETS!$A$56:$A$95,0)),""))</f>
        <v>Projet d'appui a l'insertion professionnelle des jeunes</v>
      </c>
      <c r="C135" s="146" t="n">
        <f aca="false">IF($A135="","",SUMIFS($AB$39:$AB$88,$H$39:$H$88,$A135))</f>
        <v>0</v>
      </c>
      <c r="D135" s="146" t="n">
        <f aca="false">IF($A135="","",SUMIFS($AD$39:$AD$88,$H$39:$H$88,$A135))</f>
        <v>0</v>
      </c>
    </row>
    <row r="136" customFormat="false" ht="15" hidden="false" customHeight="true" outlineLevel="0" collapsed="false">
      <c r="A136" s="144" t="str">
        <f aca="false">IF(PROJETS!$A$57="","",PROJETS!$A$57)</f>
        <v/>
      </c>
      <c r="B136" s="156" t="str">
        <f aca="false">IF($A136="","",IFERROR(INDEX(PROJETS!$C$56:$C$95,MATCH($A136,PROJETS!$A$56:$A$95,0)),""))</f>
        <v/>
      </c>
      <c r="C136" s="146" t="str">
        <f aca="false">IF($A136="","",SUMIFS($AB$39:$AB$88,$H$39:$H$88,$A136))</f>
        <v/>
      </c>
      <c r="D136" s="146" t="str">
        <f aca="false">IF($A136="","",SUMIFS($AD$39:$AD$88,$H$39:$H$88,$A136))</f>
        <v/>
      </c>
    </row>
    <row r="137" customFormat="false" ht="15" hidden="false" customHeight="true" outlineLevel="0" collapsed="false">
      <c r="A137" s="144" t="str">
        <f aca="false">IF(PROJETS!$A$58="","",PROJETS!$A$58)</f>
        <v/>
      </c>
      <c r="B137" s="156" t="str">
        <f aca="false">IF($A137="","",IFERROR(INDEX(PROJETS!$C$56:$C$95,MATCH($A137,PROJETS!$A$56:$A$95,0)),""))</f>
        <v/>
      </c>
      <c r="C137" s="146" t="str">
        <f aca="false">IF($A137="","",SUMIFS($AB$39:$AB$88,$H$39:$H$88,$A137))</f>
        <v/>
      </c>
      <c r="D137" s="146" t="str">
        <f aca="false">IF($A137="","",SUMIFS($AD$39:$AD$88,$H$39:$H$88,$A137))</f>
        <v/>
      </c>
    </row>
    <row r="138" customFormat="false" ht="15" hidden="false" customHeight="true" outlineLevel="0" collapsed="false">
      <c r="A138" s="144" t="str">
        <f aca="false">IF(PROJETS!$A$59="","",PROJETS!$A$59)</f>
        <v/>
      </c>
      <c r="B138" s="156" t="str">
        <f aca="false">IF($A138="","",IFERROR(INDEX(PROJETS!$C$56:$C$95,MATCH($A138,PROJETS!$A$56:$A$95,0)),""))</f>
        <v/>
      </c>
      <c r="C138" s="146" t="str">
        <f aca="false">IF($A138="","",SUMIFS($AB$39:$AB$88,$H$39:$H$88,$A138))</f>
        <v/>
      </c>
      <c r="D138" s="146" t="str">
        <f aca="false">IF($A138="","",SUMIFS($AD$39:$AD$88,$H$39:$H$88,$A138))</f>
        <v/>
      </c>
    </row>
    <row r="139" customFormat="false" ht="15" hidden="false" customHeight="true" outlineLevel="0" collapsed="false">
      <c r="A139" s="144" t="str">
        <f aca="false">IF(PROJETS!$A$60="","",PROJETS!$A$60)</f>
        <v/>
      </c>
      <c r="B139" s="156" t="str">
        <f aca="false">IF($A139="","",IFERROR(INDEX(PROJETS!$C$56:$C$95,MATCH($A139,PROJETS!$A$56:$A$95,0)),""))</f>
        <v/>
      </c>
      <c r="C139" s="146" t="str">
        <f aca="false">IF($A139="","",SUMIFS($AB$39:$AB$88,$H$39:$H$88,$A139))</f>
        <v/>
      </c>
      <c r="D139" s="146" t="str">
        <f aca="false">IF($A139="","",SUMIFS($AD$39:$AD$88,$H$39:$H$88,$A139))</f>
        <v/>
      </c>
    </row>
    <row r="140" customFormat="false" ht="15" hidden="false" customHeight="true" outlineLevel="0" collapsed="false">
      <c r="A140" s="144" t="str">
        <f aca="false">IF(PROJETS!$A$61="","",PROJETS!$A$61)</f>
        <v/>
      </c>
      <c r="B140" s="156" t="str">
        <f aca="false">IF($A140="","",IFERROR(INDEX(PROJETS!$C$56:$C$95,MATCH($A140,PROJETS!$A$56:$A$95,0)),""))</f>
        <v/>
      </c>
      <c r="C140" s="146" t="str">
        <f aca="false">IF($A140="","",SUMIFS($AB$39:$AB$88,$H$39:$H$88,$A140))</f>
        <v/>
      </c>
      <c r="D140" s="146" t="str">
        <f aca="false">IF($A140="","",SUMIFS($AD$39:$AD$88,$H$39:$H$88,$A140))</f>
        <v/>
      </c>
    </row>
    <row r="141" customFormat="false" ht="15" hidden="false" customHeight="true" outlineLevel="0" collapsed="false">
      <c r="A141" s="144" t="str">
        <f aca="false">IF(PROJETS!$A$62="","",PROJETS!$A$62)</f>
        <v/>
      </c>
      <c r="B141" s="156" t="str">
        <f aca="false">IF($A141="","",IFERROR(INDEX(PROJETS!$C$56:$C$95,MATCH($A141,PROJETS!$A$56:$A$95,0)),""))</f>
        <v/>
      </c>
      <c r="C141" s="146" t="str">
        <f aca="false">IF($A141="","",SUMIFS($AB$39:$AB$88,$H$39:$H$88,$A141))</f>
        <v/>
      </c>
      <c r="D141" s="146" t="str">
        <f aca="false">IF($A141="","",SUMIFS($AD$39:$AD$88,$H$39:$H$88,$A141))</f>
        <v/>
      </c>
    </row>
    <row r="142" customFormat="false" ht="15" hidden="false" customHeight="true" outlineLevel="0" collapsed="false">
      <c r="A142" s="144" t="str">
        <f aca="false">IF(PROJETS!$A$63="","",PROJETS!$A$63)</f>
        <v/>
      </c>
      <c r="B142" s="156" t="str">
        <f aca="false">IF($A142="","",IFERROR(INDEX(PROJETS!$C$56:$C$95,MATCH($A142,PROJETS!$A$56:$A$95,0)),""))</f>
        <v/>
      </c>
      <c r="C142" s="146" t="str">
        <f aca="false">IF($A142="","",SUMIFS($AB$39:$AB$88,$H$39:$H$88,$A142))</f>
        <v/>
      </c>
      <c r="D142" s="146" t="str">
        <f aca="false">IF($A142="","",SUMIFS($AD$39:$AD$88,$H$39:$H$88,$A142))</f>
        <v/>
      </c>
    </row>
    <row r="143" customFormat="false" ht="15" hidden="false" customHeight="true" outlineLevel="0" collapsed="false">
      <c r="A143" s="144" t="str">
        <f aca="false">IF(PROJETS!$A$64="","",PROJETS!$A$64)</f>
        <v/>
      </c>
      <c r="B143" s="156" t="str">
        <f aca="false">IF($A143="","",IFERROR(INDEX(PROJETS!$C$56:$C$95,MATCH($A143,PROJETS!$A$56:$A$95,0)),""))</f>
        <v/>
      </c>
      <c r="C143" s="146" t="str">
        <f aca="false">IF($A143="","",SUMIFS($AB$39:$AB$88,$H$39:$H$88,$A143))</f>
        <v/>
      </c>
      <c r="D143" s="146" t="str">
        <f aca="false">IF($A143="","",SUMIFS($AD$39:$AD$88,$H$39:$H$88,$A143))</f>
        <v/>
      </c>
    </row>
    <row r="144" customFormat="false" ht="15" hidden="false" customHeight="true" outlineLevel="0" collapsed="false">
      <c r="A144" s="144" t="str">
        <f aca="false">IF(PROJETS!$A$65="","",PROJETS!$A$65)</f>
        <v/>
      </c>
      <c r="B144" s="156" t="str">
        <f aca="false">IF($A144="","",IFERROR(INDEX(PROJETS!$C$56:$C$95,MATCH($A144,PROJETS!$A$56:$A$95,0)),""))</f>
        <v/>
      </c>
      <c r="C144" s="146" t="str">
        <f aca="false">IF($A144="","",SUMIFS($AB$39:$AB$88,$H$39:$H$88,$A144))</f>
        <v/>
      </c>
      <c r="D144" s="146" t="str">
        <f aca="false">IF($A144="","",SUMIFS($AD$39:$AD$88,$H$39:$H$88,$A144))</f>
        <v/>
      </c>
    </row>
    <row r="145" customFormat="false" ht="15" hidden="false" customHeight="true" outlineLevel="0" collapsed="false">
      <c r="A145" s="144" t="str">
        <f aca="false">IF(PROJETS!$A$66="","",PROJETS!$A$66)</f>
        <v/>
      </c>
      <c r="B145" s="156" t="str">
        <f aca="false">IF($A145="","",IFERROR(INDEX(PROJETS!$C$56:$C$95,MATCH($A145,PROJETS!$A$56:$A$95,0)),""))</f>
        <v/>
      </c>
      <c r="C145" s="146" t="str">
        <f aca="false">IF($A145="","",SUMIFS($AB$39:$AB$88,$H$39:$H$88,$A145))</f>
        <v/>
      </c>
      <c r="D145" s="146" t="str">
        <f aca="false">IF($A145="","",SUMIFS($AD$39:$AD$88,$H$39:$H$88,$A145))</f>
        <v/>
      </c>
    </row>
    <row r="146" customFormat="false" ht="15" hidden="false" customHeight="true" outlineLevel="0" collapsed="false">
      <c r="A146" s="144" t="str">
        <f aca="false">IF(PROJETS!$A$67="","",PROJETS!$A$67)</f>
        <v/>
      </c>
      <c r="B146" s="156" t="str">
        <f aca="false">IF($A146="","",IFERROR(INDEX(PROJETS!$C$56:$C$95,MATCH($A146,PROJETS!$A$56:$A$95,0)),""))</f>
        <v/>
      </c>
      <c r="C146" s="146" t="str">
        <f aca="false">IF($A146="","",SUMIFS($AB$39:$AB$88,$H$39:$H$88,$A146))</f>
        <v/>
      </c>
      <c r="D146" s="146" t="str">
        <f aca="false">IF($A146="","",SUMIFS($AD$39:$AD$88,$H$39:$H$88,$A146))</f>
        <v/>
      </c>
    </row>
    <row r="147" customFormat="false" ht="15" hidden="false" customHeight="true" outlineLevel="0" collapsed="false">
      <c r="A147" s="144" t="str">
        <f aca="false">IF(PROJETS!$A$68="","",PROJETS!$A$68)</f>
        <v/>
      </c>
      <c r="B147" s="156" t="str">
        <f aca="false">IF($A147="","",IFERROR(INDEX(PROJETS!$C$56:$C$95,MATCH($A147,PROJETS!$A$56:$A$95,0)),""))</f>
        <v/>
      </c>
      <c r="C147" s="146" t="str">
        <f aca="false">IF($A147="","",SUMIFS($AB$39:$AB$88,$H$39:$H$88,$A147))</f>
        <v/>
      </c>
      <c r="D147" s="146" t="str">
        <f aca="false">IF($A147="","",SUMIFS($AD$39:$AD$88,$H$39:$H$88,$A147))</f>
        <v/>
      </c>
    </row>
    <row r="148" customFormat="false" ht="15" hidden="false" customHeight="true" outlineLevel="0" collapsed="false">
      <c r="A148" s="144" t="str">
        <f aca="false">IF(PROJETS!$A$69="","",PROJETS!$A$69)</f>
        <v/>
      </c>
      <c r="B148" s="156" t="str">
        <f aca="false">IF($A148="","",IFERROR(INDEX(PROJETS!$C$56:$C$95,MATCH($A148,PROJETS!$A$56:$A$95,0)),""))</f>
        <v/>
      </c>
      <c r="C148" s="146" t="str">
        <f aca="false">IF($A148="","",SUMIFS($AB$39:$AB$88,$H$39:$H$88,$A148))</f>
        <v/>
      </c>
      <c r="D148" s="146" t="str">
        <f aca="false">IF($A148="","",SUMIFS($AD$39:$AD$88,$H$39:$H$88,$A148))</f>
        <v/>
      </c>
    </row>
    <row r="149" customFormat="false" ht="15" hidden="false" customHeight="true" outlineLevel="0" collapsed="false">
      <c r="A149" s="144" t="str">
        <f aca="false">IF(PROJETS!$A$70="","",PROJETS!$A$70)</f>
        <v/>
      </c>
      <c r="B149" s="156" t="str">
        <f aca="false">IF($A149="","",IFERROR(INDEX(PROJETS!$C$56:$C$95,MATCH($A149,PROJETS!$A$56:$A$95,0)),""))</f>
        <v/>
      </c>
      <c r="C149" s="146" t="str">
        <f aca="false">IF($A149="","",SUMIFS($AB$39:$AB$88,$H$39:$H$88,$A149))</f>
        <v/>
      </c>
      <c r="D149" s="146" t="str">
        <f aca="false">IF($A149="","",SUMIFS($AD$39:$AD$88,$H$39:$H$88,$A149))</f>
        <v/>
      </c>
    </row>
    <row r="150" customFormat="false" ht="15" hidden="false" customHeight="true" outlineLevel="0" collapsed="false">
      <c r="A150" s="144" t="str">
        <f aca="false">IF(PROJETS!$A$71="","",PROJETS!$A$71)</f>
        <v/>
      </c>
      <c r="B150" s="156" t="str">
        <f aca="false">IF($A150="","",IFERROR(INDEX(PROJETS!$C$56:$C$95,MATCH($A150,PROJETS!$A$56:$A$95,0)),""))</f>
        <v/>
      </c>
      <c r="C150" s="146" t="str">
        <f aca="false">IF($A150="","",SUMIFS($AB$39:$AB$88,$H$39:$H$88,$A150))</f>
        <v/>
      </c>
      <c r="D150" s="146" t="str">
        <f aca="false">IF($A150="","",SUMIFS($AD$39:$AD$88,$H$39:$H$88,$A150))</f>
        <v/>
      </c>
    </row>
    <row r="151" customFormat="false" ht="15" hidden="false" customHeight="true" outlineLevel="0" collapsed="false">
      <c r="A151" s="144" t="str">
        <f aca="false">IF(PROJETS!$A$72="","",PROJETS!$A$72)</f>
        <v/>
      </c>
      <c r="B151" s="156" t="str">
        <f aca="false">IF($A151="","",IFERROR(INDEX(PROJETS!$C$56:$C$95,MATCH($A151,PROJETS!$A$56:$A$95,0)),""))</f>
        <v/>
      </c>
      <c r="C151" s="146" t="str">
        <f aca="false">IF($A151="","",SUMIFS($AB$39:$AB$88,$H$39:$H$88,$A151))</f>
        <v/>
      </c>
      <c r="D151" s="146" t="str">
        <f aca="false">IF($A151="","",SUMIFS($AD$39:$AD$88,$H$39:$H$88,$A151))</f>
        <v/>
      </c>
    </row>
    <row r="152" customFormat="false" ht="15" hidden="false" customHeight="true" outlineLevel="0" collapsed="false">
      <c r="A152" s="144" t="str">
        <f aca="false">IF(PROJETS!$A$73="","",PROJETS!$A$73)</f>
        <v/>
      </c>
      <c r="B152" s="156" t="str">
        <f aca="false">IF($A152="","",IFERROR(INDEX(PROJETS!$C$56:$C$95,MATCH($A152,PROJETS!$A$56:$A$95,0)),""))</f>
        <v/>
      </c>
      <c r="C152" s="146" t="str">
        <f aca="false">IF($A152="","",SUMIFS($AB$39:$AB$88,$H$39:$H$88,$A152))</f>
        <v/>
      </c>
      <c r="D152" s="146" t="str">
        <f aca="false">IF($A152="","",SUMIFS($AD$39:$AD$88,$H$39:$H$88,$A152))</f>
        <v/>
      </c>
    </row>
    <row r="153" customFormat="false" ht="15" hidden="false" customHeight="true" outlineLevel="0" collapsed="false">
      <c r="A153" s="144" t="str">
        <f aca="false">IF(PROJETS!$A$74="","",PROJETS!$A$74)</f>
        <v/>
      </c>
      <c r="B153" s="156" t="str">
        <f aca="false">IF($A153="","",IFERROR(INDEX(PROJETS!$C$56:$C$95,MATCH($A153,PROJETS!$A$56:$A$95,0)),""))</f>
        <v/>
      </c>
      <c r="C153" s="146" t="str">
        <f aca="false">IF($A153="","",SUMIFS($AB$39:$AB$88,$H$39:$H$88,$A153))</f>
        <v/>
      </c>
      <c r="D153" s="146" t="str">
        <f aca="false">IF($A153="","",SUMIFS($AD$39:$AD$88,$H$39:$H$88,$A153))</f>
        <v/>
      </c>
    </row>
    <row r="154" customFormat="false" ht="15" hidden="false" customHeight="true" outlineLevel="0" collapsed="false">
      <c r="A154" s="144" t="str">
        <f aca="false">IF(PROJETS!$A$75="","",PROJETS!$A$75)</f>
        <v/>
      </c>
      <c r="B154" s="156" t="str">
        <f aca="false">IF($A154="","",IFERROR(INDEX(PROJETS!$C$56:$C$95,MATCH($A154,PROJETS!$A$56:$A$95,0)),""))</f>
        <v/>
      </c>
      <c r="C154" s="146" t="str">
        <f aca="false">IF($A154="","",SUMIFS($AB$39:$AB$88,$H$39:$H$88,$A154))</f>
        <v/>
      </c>
      <c r="D154" s="146" t="str">
        <f aca="false">IF($A154="","",SUMIFS($AD$39:$AD$88,$H$39:$H$88,$A154))</f>
        <v/>
      </c>
    </row>
    <row r="155" customFormat="false" ht="15" hidden="false" customHeight="true" outlineLevel="0" collapsed="false">
      <c r="A155" s="144" t="str">
        <f aca="false">IF(PROJETS!$A$76="","",PROJETS!$A$76)</f>
        <v/>
      </c>
      <c r="B155" s="156" t="str">
        <f aca="false">IF($A155="","",IFERROR(INDEX(PROJETS!$C$56:$C$95,MATCH($A155,PROJETS!$A$56:$A$95,0)),""))</f>
        <v/>
      </c>
      <c r="C155" s="146" t="str">
        <f aca="false">IF($A155="","",SUMIFS($AB$39:$AB$88,$H$39:$H$88,$A155))</f>
        <v/>
      </c>
      <c r="D155" s="146" t="str">
        <f aca="false">IF($A155="","",SUMIFS($AD$39:$AD$88,$H$39:$H$88,$A155))</f>
        <v/>
      </c>
    </row>
    <row r="156" customFormat="false" ht="15" hidden="false" customHeight="true" outlineLevel="0" collapsed="false">
      <c r="A156" s="144" t="str">
        <f aca="false">IF(PROJETS!$A$77="","",PROJETS!$A$77)</f>
        <v/>
      </c>
      <c r="B156" s="156" t="str">
        <f aca="false">IF($A156="","",IFERROR(INDEX(PROJETS!$C$56:$C$95,MATCH($A156,PROJETS!$A$56:$A$95,0)),""))</f>
        <v/>
      </c>
      <c r="C156" s="146" t="str">
        <f aca="false">IF($A156="","",SUMIFS($AB$39:$AB$88,$H$39:$H$88,$A156))</f>
        <v/>
      </c>
      <c r="D156" s="146" t="str">
        <f aca="false">IF($A156="","",SUMIFS($AD$39:$AD$88,$H$39:$H$88,$A156))</f>
        <v/>
      </c>
    </row>
    <row r="157" customFormat="false" ht="15" hidden="false" customHeight="true" outlineLevel="0" collapsed="false">
      <c r="A157" s="144" t="str">
        <f aca="false">IF(PROJETS!$A$78="","",PROJETS!$A$78)</f>
        <v/>
      </c>
      <c r="B157" s="156" t="str">
        <f aca="false">IF($A157="","",IFERROR(INDEX(PROJETS!$C$56:$C$95,MATCH($A157,PROJETS!$A$56:$A$95,0)),""))</f>
        <v/>
      </c>
      <c r="C157" s="146" t="str">
        <f aca="false">IF($A157="","",SUMIFS($AB$39:$AB$88,$H$39:$H$88,$A157))</f>
        <v/>
      </c>
      <c r="D157" s="146" t="str">
        <f aca="false">IF($A157="","",SUMIFS($AD$39:$AD$88,$H$39:$H$88,$A157))</f>
        <v/>
      </c>
    </row>
    <row r="158" customFormat="false" ht="15" hidden="false" customHeight="true" outlineLevel="0" collapsed="false">
      <c r="A158" s="144" t="str">
        <f aca="false">IF(PROJETS!$A$79="","",PROJETS!$A$79)</f>
        <v/>
      </c>
      <c r="B158" s="156" t="str">
        <f aca="false">IF($A158="","",IFERROR(INDEX(PROJETS!$C$56:$C$95,MATCH($A158,PROJETS!$A$56:$A$95,0)),""))</f>
        <v/>
      </c>
      <c r="C158" s="146" t="str">
        <f aca="false">IF($A158="","",SUMIFS($AB$39:$AB$88,$H$39:$H$88,$A158))</f>
        <v/>
      </c>
      <c r="D158" s="146" t="str">
        <f aca="false">IF($A158="","",SUMIFS($AD$39:$AD$88,$H$39:$H$88,$A158))</f>
        <v/>
      </c>
    </row>
    <row r="159" customFormat="false" ht="15" hidden="false" customHeight="true" outlineLevel="0" collapsed="false">
      <c r="A159" s="144" t="str">
        <f aca="false">IF(PROJETS!$A$80="","",PROJETS!$A$80)</f>
        <v/>
      </c>
      <c r="B159" s="156" t="str">
        <f aca="false">IF($A159="","",IFERROR(INDEX(PROJETS!$C$56:$C$95,MATCH($A159,PROJETS!$A$56:$A$95,0)),""))</f>
        <v/>
      </c>
      <c r="C159" s="146" t="str">
        <f aca="false">IF($A159="","",SUMIFS($AB$39:$AB$88,$H$39:$H$88,$A159))</f>
        <v/>
      </c>
      <c r="D159" s="146" t="str">
        <f aca="false">IF($A159="","",SUMIFS($AD$39:$AD$88,$H$39:$H$88,$A159))</f>
        <v/>
      </c>
    </row>
    <row r="160" customFormat="false" ht="15" hidden="false" customHeight="true" outlineLevel="0" collapsed="false">
      <c r="A160" s="144" t="str">
        <f aca="false">IF(PROJETS!$A$81="","",PROJETS!$A$81)</f>
        <v/>
      </c>
      <c r="B160" s="156" t="str">
        <f aca="false">IF($A160="","",IFERROR(INDEX(PROJETS!$C$56:$C$95,MATCH($A160,PROJETS!$A$56:$A$95,0)),""))</f>
        <v/>
      </c>
      <c r="C160" s="146" t="str">
        <f aca="false">IF($A160="","",SUMIFS($AB$39:$AB$88,$H$39:$H$88,$A160))</f>
        <v/>
      </c>
      <c r="D160" s="146" t="str">
        <f aca="false">IF($A160="","",SUMIFS($AD$39:$AD$88,$H$39:$H$88,$A160))</f>
        <v/>
      </c>
    </row>
    <row r="161" customFormat="false" ht="15" hidden="false" customHeight="true" outlineLevel="0" collapsed="false">
      <c r="A161" s="144" t="str">
        <f aca="false">IF(PROJETS!$A$82="","",PROJETS!$A$82)</f>
        <v/>
      </c>
      <c r="B161" s="156" t="str">
        <f aca="false">IF($A161="","",IFERROR(INDEX(PROJETS!$C$56:$C$95,MATCH($A161,PROJETS!$A$56:$A$95,0)),""))</f>
        <v/>
      </c>
      <c r="C161" s="146" t="str">
        <f aca="false">IF($A161="","",SUMIFS($AB$39:$AB$88,$H$39:$H$88,$A161))</f>
        <v/>
      </c>
      <c r="D161" s="146" t="str">
        <f aca="false">IF($A161="","",SUMIFS($AD$39:$AD$88,$H$39:$H$88,$A161))</f>
        <v/>
      </c>
    </row>
    <row r="162" customFormat="false" ht="15" hidden="false" customHeight="true" outlineLevel="0" collapsed="false">
      <c r="A162" s="144" t="str">
        <f aca="false">IF(PROJETS!$A$83="","",PROJETS!$A$83)</f>
        <v/>
      </c>
      <c r="B162" s="156" t="str">
        <f aca="false">IF($A162="","",IFERROR(INDEX(PROJETS!$C$56:$C$95,MATCH($A162,PROJETS!$A$56:$A$95,0)),""))</f>
        <v/>
      </c>
      <c r="C162" s="146" t="str">
        <f aca="false">IF($A162="","",SUMIFS($AB$39:$AB$88,$H$39:$H$88,$A162))</f>
        <v/>
      </c>
      <c r="D162" s="146" t="str">
        <f aca="false">IF($A162="","",SUMIFS($AD$39:$AD$88,$H$39:$H$88,$A162))</f>
        <v/>
      </c>
    </row>
    <row r="163" customFormat="false" ht="15" hidden="false" customHeight="true" outlineLevel="0" collapsed="false">
      <c r="A163" s="144" t="str">
        <f aca="false">IF(PROJETS!$A$84="","",PROJETS!$A$84)</f>
        <v/>
      </c>
      <c r="B163" s="156" t="str">
        <f aca="false">IF($A163="","",IFERROR(INDEX(PROJETS!$C$56:$C$95,MATCH($A163,PROJETS!$A$56:$A$95,0)),""))</f>
        <v/>
      </c>
      <c r="C163" s="146" t="str">
        <f aca="false">IF($A163="","",SUMIFS($AB$39:$AB$88,$H$39:$H$88,$A163))</f>
        <v/>
      </c>
      <c r="D163" s="146" t="str">
        <f aca="false">IF($A163="","",SUMIFS($AD$39:$AD$88,$H$39:$H$88,$A163))</f>
        <v/>
      </c>
    </row>
    <row r="164" customFormat="false" ht="15" hidden="false" customHeight="true" outlineLevel="0" collapsed="false">
      <c r="A164" s="144" t="str">
        <f aca="false">IF(PROJETS!$A$85="","",PROJETS!$A$85)</f>
        <v/>
      </c>
      <c r="B164" s="156" t="str">
        <f aca="false">IF($A164="","",IFERROR(INDEX(PROJETS!$C$56:$C$95,MATCH($A164,PROJETS!$A$56:$A$95,0)),""))</f>
        <v/>
      </c>
      <c r="C164" s="146" t="str">
        <f aca="false">IF($A164="","",SUMIFS($AB$39:$AB$88,$H$39:$H$88,$A164))</f>
        <v/>
      </c>
      <c r="D164" s="146" t="str">
        <f aca="false">IF($A164="","",SUMIFS($AD$39:$AD$88,$H$39:$H$88,$A164))</f>
        <v/>
      </c>
    </row>
    <row r="165" customFormat="false" ht="15" hidden="false" customHeight="true" outlineLevel="0" collapsed="false">
      <c r="A165" s="144" t="str">
        <f aca="false">IF(PROJETS!$A$86="","",PROJETS!$A$86)</f>
        <v/>
      </c>
      <c r="B165" s="156" t="str">
        <f aca="false">IF($A165="","",IFERROR(INDEX(PROJETS!$C$56:$C$95,MATCH($A165,PROJETS!$A$56:$A$95,0)),""))</f>
        <v/>
      </c>
      <c r="C165" s="146" t="str">
        <f aca="false">IF($A165="","",SUMIFS($AB$39:$AB$88,$H$39:$H$88,$A165))</f>
        <v/>
      </c>
      <c r="D165" s="146" t="str">
        <f aca="false">IF($A165="","",SUMIFS($AD$39:$AD$88,$H$39:$H$88,$A165))</f>
        <v/>
      </c>
    </row>
    <row r="166" customFormat="false" ht="15" hidden="false" customHeight="true" outlineLevel="0" collapsed="false">
      <c r="A166" s="144" t="str">
        <f aca="false">IF(PROJETS!$A$87="","",PROJETS!$A$87)</f>
        <v/>
      </c>
      <c r="B166" s="156" t="str">
        <f aca="false">IF($A166="","",IFERROR(INDEX(PROJETS!$C$56:$C$95,MATCH($A166,PROJETS!$A$56:$A$95,0)),""))</f>
        <v/>
      </c>
      <c r="C166" s="146" t="str">
        <f aca="false">IF($A166="","",SUMIFS($AB$39:$AB$88,$H$39:$H$88,$A166))</f>
        <v/>
      </c>
      <c r="D166" s="146" t="str">
        <f aca="false">IF($A166="","",SUMIFS($AD$39:$AD$88,$H$39:$H$88,$A166))</f>
        <v/>
      </c>
    </row>
    <row r="167" customFormat="false" ht="15" hidden="false" customHeight="true" outlineLevel="0" collapsed="false">
      <c r="A167" s="144" t="str">
        <f aca="false">IF(PROJETS!$A$88="","",PROJETS!$A$88)</f>
        <v/>
      </c>
      <c r="B167" s="156" t="str">
        <f aca="false">IF($A167="","",IFERROR(INDEX(PROJETS!$C$56:$C$95,MATCH($A167,PROJETS!$A$56:$A$95,0)),""))</f>
        <v/>
      </c>
      <c r="C167" s="146" t="str">
        <f aca="false">IF($A167="","",SUMIFS($AB$39:$AB$88,$H$39:$H$88,$A167))</f>
        <v/>
      </c>
      <c r="D167" s="146" t="str">
        <f aca="false">IF($A167="","",SUMIFS($AD$39:$AD$88,$H$39:$H$88,$A167))</f>
        <v/>
      </c>
    </row>
    <row r="168" customFormat="false" ht="15" hidden="false" customHeight="true" outlineLevel="0" collapsed="false">
      <c r="A168" s="144" t="str">
        <f aca="false">IF(PROJETS!$A$89="","",PROJETS!$A$89)</f>
        <v/>
      </c>
      <c r="B168" s="156" t="str">
        <f aca="false">IF($A168="","",IFERROR(INDEX(PROJETS!$C$56:$C$95,MATCH($A168,PROJETS!$A$56:$A$95,0)),""))</f>
        <v/>
      </c>
      <c r="C168" s="146" t="str">
        <f aca="false">IF($A168="","",SUMIFS($AB$39:$AB$88,$H$39:$H$88,$A168))</f>
        <v/>
      </c>
      <c r="D168" s="146" t="str">
        <f aca="false">IF($A168="","",SUMIFS($AD$39:$AD$88,$H$39:$H$88,$A168))</f>
        <v/>
      </c>
    </row>
    <row r="169" customFormat="false" ht="15" hidden="false" customHeight="true" outlineLevel="0" collapsed="false">
      <c r="A169" s="144" t="str">
        <f aca="false">IF(PROJETS!$A$90="","",PROJETS!$A$90)</f>
        <v/>
      </c>
      <c r="B169" s="156" t="str">
        <f aca="false">IF($A169="","",IFERROR(INDEX(PROJETS!$C$56:$C$95,MATCH($A169,PROJETS!$A$56:$A$95,0)),""))</f>
        <v/>
      </c>
      <c r="C169" s="146" t="str">
        <f aca="false">IF($A169="","",SUMIFS($AB$39:$AB$88,$H$39:$H$88,$A169))</f>
        <v/>
      </c>
      <c r="D169" s="146" t="str">
        <f aca="false">IF($A169="","",SUMIFS($AD$39:$AD$88,$H$39:$H$88,$A169))</f>
        <v/>
      </c>
    </row>
    <row r="170" customFormat="false" ht="15" hidden="false" customHeight="true" outlineLevel="0" collapsed="false">
      <c r="A170" s="144" t="str">
        <f aca="false">IF(PROJETS!$A$91="","",PROJETS!$A$91)</f>
        <v/>
      </c>
      <c r="B170" s="156" t="str">
        <f aca="false">IF($A170="","",IFERROR(INDEX(PROJETS!$C$56:$C$95,MATCH($A170,PROJETS!$A$56:$A$95,0)),""))</f>
        <v/>
      </c>
      <c r="C170" s="146" t="str">
        <f aca="false">IF($A170="","",SUMIFS($AB$39:$AB$88,$H$39:$H$88,$A170))</f>
        <v/>
      </c>
      <c r="D170" s="146" t="str">
        <f aca="false">IF($A170="","",SUMIFS($AD$39:$AD$88,$H$39:$H$88,$A170))</f>
        <v/>
      </c>
    </row>
    <row r="171" customFormat="false" ht="15" hidden="false" customHeight="true" outlineLevel="0" collapsed="false">
      <c r="A171" s="144" t="str">
        <f aca="false">IF(PROJETS!$A$92="","",PROJETS!$A$92)</f>
        <v/>
      </c>
      <c r="B171" s="156" t="str">
        <f aca="false">IF($A171="","",IFERROR(INDEX(PROJETS!$C$56:$C$95,MATCH($A171,PROJETS!$A$56:$A$95,0)),""))</f>
        <v/>
      </c>
      <c r="C171" s="146" t="str">
        <f aca="false">IF($A171="","",SUMIFS($AB$39:$AB$88,$H$39:$H$88,$A171))</f>
        <v/>
      </c>
      <c r="D171" s="146" t="str">
        <f aca="false">IF($A171="","",SUMIFS($AD$39:$AD$88,$H$39:$H$88,$A171))</f>
        <v/>
      </c>
    </row>
    <row r="172" customFormat="false" ht="15" hidden="false" customHeight="true" outlineLevel="0" collapsed="false">
      <c r="A172" s="144" t="str">
        <f aca="false">IF(PROJETS!$A$93="","",PROJETS!$A$93)</f>
        <v/>
      </c>
      <c r="B172" s="156" t="str">
        <f aca="false">IF($A172="","",IFERROR(INDEX(PROJETS!$C$56:$C$95,MATCH($A172,PROJETS!$A$56:$A$95,0)),""))</f>
        <v/>
      </c>
      <c r="C172" s="146" t="str">
        <f aca="false">IF($A172="","",SUMIFS($AB$39:$AB$88,$H$39:$H$88,$A172))</f>
        <v/>
      </c>
      <c r="D172" s="146" t="str">
        <f aca="false">IF($A172="","",SUMIFS($AD$39:$AD$88,$H$39:$H$88,$A172))</f>
        <v/>
      </c>
    </row>
    <row r="173" customFormat="false" ht="15" hidden="false" customHeight="true" outlineLevel="0" collapsed="false">
      <c r="A173" s="144" t="str">
        <f aca="false">IF(PROJETS!$A$94="","",PROJETS!$A$94)</f>
        <v/>
      </c>
      <c r="B173" s="156" t="str">
        <f aca="false">IF($A173="","",IFERROR(INDEX(PROJETS!$C$56:$C$95,MATCH($A173,PROJETS!$A$56:$A$95,0)),""))</f>
        <v/>
      </c>
      <c r="C173" s="146" t="str">
        <f aca="false">IF($A173="","",SUMIFS($AB$39:$AB$88,$H$39:$H$88,$A173))</f>
        <v/>
      </c>
      <c r="D173" s="146" t="str">
        <f aca="false">IF($A173="","",SUMIFS($AD$39:$AD$88,$H$39:$H$88,$A173))</f>
        <v/>
      </c>
    </row>
    <row r="174" customFormat="false" ht="15" hidden="false" customHeight="true" outlineLevel="0" collapsed="false">
      <c r="A174" s="144" t="str">
        <f aca="false">IF(PROJETS!$A$95="","",PROJETS!$A$95)</f>
        <v/>
      </c>
      <c r="B174" s="156" t="str">
        <f aca="false">IF($A174="","",IFERROR(INDEX(PROJETS!$C$56:$C$95,MATCH($A174,PROJETS!$A$56:$A$95,0)),""))</f>
        <v/>
      </c>
      <c r="C174" s="146" t="str">
        <f aca="false">IF($A174="","",SUMIFS($AB$39:$AB$88,$H$39:$H$88,$A174))</f>
        <v/>
      </c>
      <c r="D174" s="146" t="str">
        <f aca="false">IF($A174="","",SUMIFS($AD$39:$AD$88,$H$39:$H$88,$A174))</f>
        <v/>
      </c>
    </row>
    <row r="176" customFormat="false" ht="15" hidden="false" customHeight="true" outlineLevel="0" collapsed="false">
      <c r="A176" s="18" t="s">
        <v>2152</v>
      </c>
      <c r="B176" s="18"/>
      <c r="C176" s="18"/>
      <c r="D176" s="18"/>
    </row>
    <row r="177" customFormat="false" ht="15" hidden="false" customHeight="true" outlineLevel="0" collapsed="false">
      <c r="A177" s="142" t="s">
        <v>2153</v>
      </c>
      <c r="B177" s="142" t="s">
        <v>2154</v>
      </c>
      <c r="C177" s="142" t="s">
        <v>2107</v>
      </c>
    </row>
    <row r="178" customFormat="false" ht="42.75" hidden="false" customHeight="true" outlineLevel="0" collapsed="false">
      <c r="A178" s="99" t="s">
        <v>2114</v>
      </c>
      <c r="B178" s="99" t="s">
        <v>2155</v>
      </c>
      <c r="C178" s="157" t="n">
        <f aca="false">COUNTIFS($BE$39:$BE$88,$A178)</f>
        <v>0</v>
      </c>
    </row>
    <row r="179" customFormat="false" ht="21.75" hidden="false" customHeight="true" outlineLevel="0" collapsed="false">
      <c r="A179" s="99" t="s">
        <v>2115</v>
      </c>
      <c r="B179" s="99" t="s">
        <v>2156</v>
      </c>
      <c r="C179" s="157" t="n">
        <f aca="false">COUNTIFS($BE$39:$BE$88,$A179)</f>
        <v>0</v>
      </c>
    </row>
    <row r="180" customFormat="false" ht="32.25" hidden="false" customHeight="true" outlineLevel="0" collapsed="false">
      <c r="A180" s="99" t="s">
        <v>2009</v>
      </c>
      <c r="B180" s="99" t="s">
        <v>2157</v>
      </c>
      <c r="C180" s="157" t="n">
        <f aca="false">COUNTIFS($BE$39:$BE$88,$A180)</f>
        <v>0</v>
      </c>
    </row>
    <row r="181" customFormat="false" ht="21.75" hidden="false" customHeight="true" outlineLevel="0" collapsed="false">
      <c r="A181" s="99" t="s">
        <v>2116</v>
      </c>
      <c r="B181" s="99" t="s">
        <v>2158</v>
      </c>
      <c r="C181" s="157" t="n">
        <f aca="false">COUNTIFS($BE$39:$BE$88,$A181)</f>
        <v>0</v>
      </c>
    </row>
    <row r="182" customFormat="false" ht="32.25" hidden="false" customHeight="true" outlineLevel="0" collapsed="false">
      <c r="A182" s="99" t="s">
        <v>2008</v>
      </c>
      <c r="B182" s="99" t="s">
        <v>2159</v>
      </c>
      <c r="C182" s="157" t="n">
        <f aca="false">COUNTIFS($BE$39:$BE$88,$A182)</f>
        <v>0</v>
      </c>
    </row>
  </sheetData>
  <mergeCells count="10">
    <mergeCell ref="A1:P1"/>
    <mergeCell ref="A2:U2"/>
    <mergeCell ref="A4:U4"/>
    <mergeCell ref="A6:I6"/>
    <mergeCell ref="A10:P10"/>
    <mergeCell ref="A23:D23"/>
    <mergeCell ref="A37:BH37"/>
    <mergeCell ref="A90:E90"/>
    <mergeCell ref="A133:D133"/>
    <mergeCell ref="A176:D176"/>
  </mergeCells>
  <conditionalFormatting sqref="BE39:BE88">
    <cfRule type="cellIs" priority="2" operator="equal" aboveAverage="0" equalAverage="0" bottom="0" percent="0" rank="0" text="" dxfId="24">
      <formula>"Recu integralement"</formula>
    </cfRule>
    <cfRule type="cellIs" priority="3" operator="equal" aboveAverage="0" equalAverage="0" bottom="0" percent="0" rank="0" text="" dxfId="24">
      <formula>"Normal"</formula>
    </cfRule>
    <cfRule type="cellIs" priority="4" operator="equal" aboveAverage="0" equalAverage="0" bottom="0" percent="0" rank="0" text="" dxfId="25">
      <formula>"Vigilance"</formula>
    </cfRule>
    <cfRule type="cellIs" priority="5" operator="equal" aboveAverage="0" equalAverage="0" bottom="0" percent="0" rank="0" text="" dxfId="26">
      <formula>"Retard"</formula>
    </cfRule>
    <cfRule type="cellIs" priority="6" operator="equal" aboveAverage="0" equalAverage="0" bottom="0" percent="0" rank="0" text="" dxfId="26">
      <formula>"Relance necessaire"</formula>
    </cfRule>
  </conditionalFormatting>
  <conditionalFormatting sqref="AD39:AD88">
    <cfRule type="cellIs" priority="7" operator="greaterThan" aboveAverage="0" equalAverage="0" bottom="0" percent="0" rank="0" text="" dxfId="25">
      <formula>0</formula>
    </cfRule>
  </conditionalFormatting>
  <dataValidations count="14">
    <dataValidation allowBlank="true" errorStyle="stop" operator="greaterThanOrEqual" showDropDown="false" showErrorMessage="false" showInputMessage="false" sqref="Z39:AA88 AC39:AC88 AV39:AV88" type="decimal">
      <formula1>0</formula1>
      <formula2>0</formula2>
    </dataValidation>
    <dataValidation allowBlank="false" errorStyle="stop" operator="between" showDropDown="false" showErrorMessage="false" showInputMessage="false" sqref="I8" type="list">
      <formula1>"2024,2025,2026,2027,2028,2029,2030,2031,2032,2033,Total"</formula1>
      <formula2>0</formula2>
    </dataValidation>
    <dataValidation allowBlank="true" errorStyle="stop" operator="between" showDropDown="false" showErrorMessage="false" showInputMessage="false" sqref="O39:O88" type="list">
      <formula1>Liste_TypesRecettes</formula1>
      <formula2>0</formula2>
    </dataValidation>
    <dataValidation allowBlank="true" errorStyle="stop" operator="between" showDropDown="false" showErrorMessage="false" showInputMessage="false" sqref="P39:P88" type="list">
      <formula1>Liste_SourcesFinancement</formula1>
      <formula2>0</formula2>
    </dataValidation>
    <dataValidation allowBlank="true" errorStyle="stop" operator="between" showDropDown="false" showErrorMessage="false" showInputMessage="false" sqref="Q39:Q88" type="list">
      <formula1>Liste_TypesFinancement</formula1>
      <formula2>0</formula2>
    </dataValidation>
    <dataValidation allowBlank="true" errorStyle="stop" operator="between" showDropDown="false" showErrorMessage="false" showInputMessage="false" sqref="D39:D88" type="list">
      <formula1>Liste_DonateursID</formula1>
      <formula2>0</formula2>
    </dataValidation>
    <dataValidation allowBlank="true" errorStyle="stop" operator="between" showDropDown="false" showErrorMessage="false" showInputMessage="false" sqref="H39:H88" type="list">
      <formula1>Liste_ActivitesIDProjets</formula1>
      <formula2>0</formula2>
    </dataValidation>
    <dataValidation allowBlank="true" errorStyle="stop" operator="between" showDropDown="false" showErrorMessage="false" showInputMessage="false" sqref="L39:L88" type="list">
      <formula1>Liste_ActivitesID</formula1>
      <formula2>0</formula2>
    </dataValidation>
    <dataValidation allowBlank="true" errorStyle="stop" operator="between" showDropDown="false" showErrorMessage="false" showInputMessage="false" sqref="AE39:AE88" type="list">
      <formula1>Liste_StatutsRecettes</formula1>
      <formula2>0</formula2>
    </dataValidation>
    <dataValidation allowBlank="true" errorStyle="stop" operator="between" showDropDown="false" showErrorMessage="false" showInputMessage="false" sqref="AF39:AF88" type="list">
      <formula1>Liste_ModesPaiement</formula1>
      <formula2>0</formula2>
    </dataValidation>
    <dataValidation allowBlank="true" errorStyle="stop" operator="between" showDropDown="false" showErrorMessage="false" showInputMessage="false" sqref="AP39:AP88" type="list">
      <formula1>Liste_StatutsDocuments</formula1>
      <formula2>0</formula2>
    </dataValidation>
    <dataValidation allowBlank="true" errorStyle="stop" operator="between" showDropDown="false" showErrorMessage="false" showInputMessage="false" sqref="R39:S88 AZ39:BB88" type="list">
      <formula1>"Oui,Non"</formula1>
      <formula2>0</formula2>
    </dataValidation>
    <dataValidation allowBlank="true" errorStyle="stop" operator="between" showDropDown="false" showErrorMessage="false" showInputMessage="false" sqref="Y39:Y88" type="list">
      <formula1>"FCFA,EUR,USD,GBP,Autre"</formula1>
      <formula2>0</formula2>
    </dataValidation>
    <dataValidation allowBlank="true" errorStyle="stop" operator="between" showDropDown="false" showErrorMessage="false" showInputMessage="false" sqref="AM39:AM88" type="list">
      <formula1>"Recu,Avis de credit,Convention,Contrat,Facture,Bordereau,Notification,Autre"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68"/>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A119" activeCellId="0" sqref="A119"/>
    </sheetView>
  </sheetViews>
  <sheetFormatPr defaultColWidth="8.71484375" defaultRowHeight="15" customHeight="true" zeroHeight="false" outlineLevelRow="0" outlineLevelCol="0"/>
  <cols>
    <col collapsed="false" customWidth="true" hidden="false" outlineLevel="0" max="1" min="1" style="1" width="13"/>
    <col collapsed="false" customWidth="true" hidden="false" outlineLevel="0" max="2" min="2" style="1" width="16"/>
    <col collapsed="false" customWidth="true" hidden="false" outlineLevel="0" max="3" min="3" style="1" width="15"/>
    <col collapsed="false" customWidth="true" hidden="false" outlineLevel="0" max="4" min="4" style="1" width="16"/>
    <col collapsed="false" customWidth="true" hidden="false" outlineLevel="0" max="5" min="5" style="1" width="15"/>
    <col collapsed="false" customWidth="true" hidden="false" outlineLevel="0" max="6" min="6" style="1" width="22"/>
    <col collapsed="false" customWidth="true" hidden="false" outlineLevel="0" max="7" min="7" style="1" width="16"/>
    <col collapsed="false" customWidth="true" hidden="false" outlineLevel="0" max="8" min="8" style="1" width="18"/>
    <col collapsed="false" customWidth="true" hidden="false" outlineLevel="0" max="9" min="9" style="1" width="15"/>
    <col collapsed="false" customWidth="true" hidden="false" outlineLevel="0" max="10" min="10" style="1" width="20"/>
    <col collapsed="false" customWidth="true" hidden="false" outlineLevel="0" max="11" min="11" style="1" width="15"/>
    <col collapsed="false" customWidth="true" hidden="false" outlineLevel="0" max="12" min="12" style="1" width="20"/>
    <col collapsed="false" customWidth="true" hidden="false" outlineLevel="0" max="13" min="13" style="1" width="14"/>
    <col collapsed="false" customWidth="true" hidden="false" outlineLevel="0" max="14" min="14" style="1" width="16"/>
    <col collapsed="false" customWidth="true" hidden="false" outlineLevel="0" max="17" min="15" style="1" width="15"/>
    <col collapsed="false" customWidth="true" hidden="false" outlineLevel="0" max="18" min="18" style="1" width="22"/>
    <col collapsed="false" customWidth="true" hidden="false" outlineLevel="0" max="19" min="19" style="1" width="16"/>
    <col collapsed="false" customWidth="true" hidden="false" outlineLevel="0" max="20" min="20" style="1" width="15"/>
    <col collapsed="false" customWidth="true" hidden="false" outlineLevel="0" max="21" min="21" style="1" width="20"/>
    <col collapsed="false" customWidth="true" hidden="false" outlineLevel="0" max="22" min="22" style="1" width="28"/>
    <col collapsed="false" customWidth="true" hidden="false" outlineLevel="0" max="23" min="23" style="1" width="30"/>
    <col collapsed="false" customWidth="true" hidden="false" outlineLevel="0" max="56" min="24" style="1" width="15"/>
    <col collapsed="false" customWidth="true" hidden="false" outlineLevel="0" max="57" min="57" style="1" width="22"/>
    <col collapsed="false" customWidth="true" hidden="false" outlineLevel="0" max="71" min="58" style="1" width="15"/>
    <col collapsed="false" customWidth="true" hidden="false" outlineLevel="0" max="72" min="72" style="1" width="24"/>
    <col collapsed="false" customWidth="true" hidden="false" outlineLevel="0" max="74" min="73" style="1" width="15"/>
  </cols>
  <sheetData>
    <row r="1" customFormat="false" ht="25.5" hidden="false" customHeight="true" outlineLevel="0" collapsed="false">
      <c r="A1" s="47" t="s">
        <v>2160</v>
      </c>
      <c r="B1" s="47"/>
      <c r="C1" s="47"/>
      <c r="D1" s="47"/>
      <c r="E1" s="47"/>
      <c r="F1" s="47"/>
      <c r="G1" s="47"/>
      <c r="H1" s="47"/>
      <c r="I1" s="47"/>
      <c r="J1" s="47"/>
      <c r="K1" s="47"/>
      <c r="L1" s="47"/>
      <c r="M1" s="47"/>
      <c r="N1" s="47"/>
      <c r="O1" s="47"/>
      <c r="P1" s="47"/>
      <c r="Q1" s="158" t="s">
        <v>2100</v>
      </c>
      <c r="R1" s="158" t="s">
        <v>1683</v>
      </c>
      <c r="S1" s="158" t="s">
        <v>1777</v>
      </c>
      <c r="T1" s="158" t="s">
        <v>1993</v>
      </c>
      <c r="U1" s="158" t="s">
        <v>2161</v>
      </c>
      <c r="V1" s="158" t="s">
        <v>1444</v>
      </c>
    </row>
    <row r="2" customFormat="false" ht="19.5" hidden="false" customHeight="true" outlineLevel="0" collapsed="false">
      <c r="A2" s="49" t="s">
        <v>2162</v>
      </c>
      <c r="B2" s="49"/>
      <c r="C2" s="49"/>
      <c r="D2" s="49"/>
      <c r="E2" s="49"/>
      <c r="F2" s="49"/>
      <c r="G2" s="49"/>
      <c r="H2" s="49"/>
      <c r="I2" s="49"/>
      <c r="J2" s="49"/>
      <c r="K2" s="49"/>
      <c r="L2" s="49"/>
      <c r="M2" s="49"/>
      <c r="N2" s="49"/>
      <c r="O2" s="49"/>
      <c r="P2" s="49"/>
      <c r="Q2" s="49"/>
      <c r="R2" s="49"/>
      <c r="S2" s="49"/>
      <c r="T2" s="49"/>
      <c r="U2" s="49"/>
    </row>
    <row r="3" customFormat="false" ht="21.75" hidden="false" customHeight="true" outlineLevel="0" collapsed="false">
      <c r="A3" s="158" t="s">
        <v>1442</v>
      </c>
      <c r="C3" s="159" t="n">
        <f aca="true">TODAY()</f>
        <v>46266</v>
      </c>
    </row>
    <row r="4" customFormat="false" ht="15" hidden="false" customHeight="true" outlineLevel="0" collapsed="false">
      <c r="A4" s="54" t="s">
        <v>1779</v>
      </c>
      <c r="B4" s="54"/>
      <c r="C4" s="54"/>
      <c r="D4" s="54"/>
      <c r="E4" s="54"/>
      <c r="F4" s="54"/>
      <c r="G4" s="54"/>
      <c r="H4" s="54"/>
      <c r="I4" s="54"/>
      <c r="J4" s="54"/>
      <c r="K4" s="54"/>
      <c r="L4" s="54"/>
      <c r="M4" s="54"/>
      <c r="N4" s="54"/>
      <c r="O4" s="54"/>
      <c r="P4" s="54"/>
      <c r="Q4" s="54"/>
      <c r="R4" s="54"/>
      <c r="S4" s="54"/>
      <c r="T4" s="54"/>
      <c r="U4" s="54"/>
    </row>
    <row r="6" customFormat="false" ht="15" hidden="false" customHeight="true" outlineLevel="0" collapsed="false">
      <c r="A6" s="55" t="s">
        <v>2163</v>
      </c>
      <c r="B6" s="55"/>
      <c r="C6" s="55"/>
      <c r="D6" s="55"/>
      <c r="E6" s="55"/>
      <c r="F6" s="55"/>
      <c r="G6" s="55"/>
      <c r="H6" s="55"/>
      <c r="I6" s="55"/>
    </row>
    <row r="7" customFormat="false" ht="34.5" hidden="false" customHeight="true" outlineLevel="0" collapsed="false">
      <c r="A7" s="122" t="s">
        <v>2164</v>
      </c>
      <c r="B7" s="122" t="s">
        <v>2165</v>
      </c>
      <c r="C7" s="122" t="s">
        <v>2166</v>
      </c>
      <c r="D7" s="122" t="s">
        <v>2167</v>
      </c>
      <c r="E7" s="122" t="s">
        <v>2168</v>
      </c>
      <c r="F7" s="122" t="s">
        <v>2169</v>
      </c>
      <c r="G7" s="122" t="s">
        <v>2107</v>
      </c>
      <c r="H7" s="122" t="s">
        <v>2170</v>
      </c>
      <c r="I7" s="122" t="s">
        <v>2003</v>
      </c>
    </row>
    <row r="8" customFormat="false" ht="15" hidden="false" customHeight="true" outlineLevel="0" collapsed="false">
      <c r="A8" s="160" t="n">
        <f aca="false">IF($I$8="Total",SUM($AG$119:$AG$168),SUMIFS($AG$119:$AG$168,$BM$119:$BM$168,VALUE($I$8)))</f>
        <v>0</v>
      </c>
      <c r="B8" s="161" t="n">
        <f aca="true">IF($I$8="Total",SUMIFS($AG$119:$AG$168,$BO$119:$BO$168,INDEX(PARAMETRES!$B$53:$B$65,MONTH(TODAY()))),SUMIFS($AG$119:$AG$168,$BM$119:$BM$168,VALUE($I$8),$BO$119:$BO$168,INDEX(PARAMETRES!$B$53:$B$65,MONTH(TODAY()))))</f>
        <v>0</v>
      </c>
      <c r="C8" s="160" t="n">
        <f aca="false">IF($I$8="Total",SUM($AG$119:$AG$168),SUMIFS($AG$119:$AG$168,$BM$119:$BM$168,VALUE($I$8)))</f>
        <v>0</v>
      </c>
      <c r="D8" s="160" t="n">
        <f aca="false">IF($I$8="Total",SUMIFS($AU$119:$AU$168,$AS$119:$AS$168,"Oui"),SUMIFS($AU$119:$AU$168,$AS$119:$AS$168,"Oui",$BM$119:$BM$168,VALUE($I$8)))</f>
        <v>0</v>
      </c>
      <c r="E8" s="160" t="n">
        <f aca="false">IF($I$8="Total",SUMIFS($AY$119:$AY$168,$AW$119:$AW$168,"Oui"),SUMIFS($AY$119:$AY$168,$AW$119:$AW$168,"Oui",$BM$119:$BM$168,VALUE($I$8)))</f>
        <v>0</v>
      </c>
      <c r="F8" s="160" t="n">
        <f aca="false">IF($I$8="Total",SUMIFS($AZ$119:$AZ$168,$AZ$119:$AZ$168,"&gt;0"),SUMIFS($AZ$119:$AZ$168,$AZ$119:$AZ$168,"&gt;0",$BM$119:$BM$168,VALUE($I$8)))</f>
        <v>0</v>
      </c>
      <c r="G8" s="160" t="n">
        <f aca="false">IF($I$8="Total",COUNTIF($A$119:$A$168,"DEP*"),COUNTIFS($A$119:$A$168,"DEP*",$BM$119:$BM$168,VALUE($I$8)))</f>
        <v>0</v>
      </c>
      <c r="H8" s="162" t="n">
        <f aca="false">IF($I$8="Total",IF(BUDGET!$B$8=0,0,$A$8/BUDGET!$B$8),IFERROR($A$8/SUMIFS(BUDGET!$AK$28:$AK$67,BUDGET!$B$28:$B$67,VALUE($I$8)),0))</f>
        <v>0</v>
      </c>
      <c r="I8" s="122" t="n">
        <v>2026</v>
      </c>
    </row>
    <row r="10" customFormat="false" ht="15" hidden="false" customHeight="true" outlineLevel="0" collapsed="false">
      <c r="A10" s="55" t="s">
        <v>1566</v>
      </c>
      <c r="B10" s="55"/>
      <c r="C10" s="55"/>
      <c r="D10" s="55"/>
      <c r="E10" s="55"/>
      <c r="F10" s="55"/>
      <c r="G10" s="55"/>
      <c r="H10" s="55"/>
      <c r="I10" s="55"/>
      <c r="J10" s="55"/>
      <c r="K10" s="55"/>
      <c r="L10" s="55"/>
      <c r="M10" s="55"/>
      <c r="N10" s="55"/>
      <c r="O10" s="55"/>
      <c r="P10" s="55"/>
    </row>
    <row r="11" customFormat="false" ht="21.75" hidden="false" customHeight="true" outlineLevel="0" collapsed="false">
      <c r="A11" s="142" t="s">
        <v>2171</v>
      </c>
      <c r="B11" s="142" t="s">
        <v>2112</v>
      </c>
      <c r="D11" s="142" t="s">
        <v>2172</v>
      </c>
      <c r="E11" s="142" t="s">
        <v>2112</v>
      </c>
      <c r="G11" s="142" t="s">
        <v>2173</v>
      </c>
      <c r="H11" s="142" t="s">
        <v>2112</v>
      </c>
      <c r="J11" s="142" t="s">
        <v>2044</v>
      </c>
      <c r="K11" s="142" t="s">
        <v>2112</v>
      </c>
    </row>
    <row r="12" customFormat="false" ht="15" hidden="false" customHeight="true" outlineLevel="0" collapsed="false">
      <c r="A12" s="163" t="s">
        <v>857</v>
      </c>
      <c r="B12" s="164" t="n">
        <f aca="false">COUNTIFS($AK$119:$AK$168,A12)</f>
        <v>0</v>
      </c>
      <c r="D12" s="163" t="s">
        <v>558</v>
      </c>
      <c r="E12" s="164" t="n">
        <f aca="false">COUNTIFS($P$119:$P$168,D12)</f>
        <v>0</v>
      </c>
      <c r="G12" s="163" t="s">
        <v>594</v>
      </c>
      <c r="H12" s="164" t="n">
        <f aca="false">COUNTIFS($Q$119:$Q$168,G12)</f>
        <v>0</v>
      </c>
      <c r="J12" s="163" t="s">
        <v>2174</v>
      </c>
      <c r="K12" s="164" t="n">
        <f aca="false">COUNTIFS($BS$119:$BS$168,J12)</f>
        <v>0</v>
      </c>
    </row>
    <row r="13" customFormat="false" ht="15" hidden="false" customHeight="true" outlineLevel="0" collapsed="false">
      <c r="A13" s="163" t="s">
        <v>2175</v>
      </c>
      <c r="B13" s="164" t="n">
        <f aca="false">COUNTIFS($AK$119:$AK$168,A13)</f>
        <v>0</v>
      </c>
      <c r="D13" s="163" t="s">
        <v>560</v>
      </c>
      <c r="E13" s="164" t="n">
        <f aca="false">COUNTIFS($P$119:$P$168,D13)</f>
        <v>0</v>
      </c>
      <c r="G13" s="163" t="s">
        <v>805</v>
      </c>
      <c r="H13" s="164" t="n">
        <f aca="false">COUNTIFS($Q$119:$Q$168,G13)</f>
        <v>0</v>
      </c>
      <c r="J13" s="163" t="s">
        <v>2176</v>
      </c>
      <c r="K13" s="164" t="n">
        <f aca="false">COUNTIFS($BS$119:$BS$168,J13)</f>
        <v>0</v>
      </c>
    </row>
    <row r="14" customFormat="false" ht="15" hidden="false" customHeight="true" outlineLevel="0" collapsed="false">
      <c r="A14" s="163" t="s">
        <v>2177</v>
      </c>
      <c r="B14" s="164" t="n">
        <f aca="false">COUNTIFS($AK$119:$AK$168,A14)</f>
        <v>0</v>
      </c>
      <c r="D14" s="163" t="s">
        <v>562</v>
      </c>
      <c r="E14" s="164" t="n">
        <f aca="false">COUNTIFS($P$119:$P$168,D14)</f>
        <v>0</v>
      </c>
      <c r="G14" s="163" t="s">
        <v>2178</v>
      </c>
      <c r="H14" s="164" t="n">
        <f aca="false">COUNTIFS($Q$119:$Q$168,G14)</f>
        <v>1</v>
      </c>
      <c r="J14" s="163" t="s">
        <v>2179</v>
      </c>
      <c r="K14" s="164" t="n">
        <f aca="false">COUNTIFS($BS$119:$BS$168,J14)</f>
        <v>0</v>
      </c>
    </row>
    <row r="15" customFormat="false" ht="15" hidden="false" customHeight="true" outlineLevel="0" collapsed="false">
      <c r="A15" s="163" t="s">
        <v>131</v>
      </c>
      <c r="B15" s="164" t="n">
        <f aca="false">COUNTIFS($AK$119:$AK$168,A15)</f>
        <v>0</v>
      </c>
      <c r="D15" s="163" t="s">
        <v>564</v>
      </c>
      <c r="E15" s="164" t="n">
        <f aca="false">COUNTIFS($P$119:$P$168,D15)</f>
        <v>0</v>
      </c>
      <c r="G15" s="163" t="s">
        <v>1544</v>
      </c>
      <c r="H15" s="164" t="n">
        <f aca="false">COUNTIFS($Q$119:$Q$168,G15)</f>
        <v>0</v>
      </c>
      <c r="J15" s="163" t="s">
        <v>2180</v>
      </c>
      <c r="K15" s="164" t="n">
        <f aca="false">COUNTIFS($BS$119:$BS$168,J15)</f>
        <v>0</v>
      </c>
    </row>
    <row r="16" customFormat="false" ht="15" hidden="false" customHeight="true" outlineLevel="0" collapsed="false">
      <c r="A16" s="163" t="s">
        <v>1086</v>
      </c>
      <c r="B16" s="164" t="n">
        <f aca="false">COUNTIFS($AK$119:$AK$168,A16)</f>
        <v>0</v>
      </c>
      <c r="D16" s="163" t="s">
        <v>566</v>
      </c>
      <c r="E16" s="164" t="n">
        <f aca="false">COUNTIFS($P$119:$P$168,D16)</f>
        <v>0</v>
      </c>
      <c r="G16" s="163" t="s">
        <v>2181</v>
      </c>
      <c r="H16" s="164" t="n">
        <f aca="false">COUNTIFS($Q$119:$Q$168,G16)</f>
        <v>0</v>
      </c>
      <c r="J16" s="163" t="s">
        <v>2182</v>
      </c>
      <c r="K16" s="164" t="n">
        <f aca="false">COUNTIFS($BS$119:$BS$168,J16)</f>
        <v>0</v>
      </c>
    </row>
    <row r="17" customFormat="false" ht="15" hidden="false" customHeight="true" outlineLevel="0" collapsed="false">
      <c r="A17" s="163" t="s">
        <v>2183</v>
      </c>
      <c r="B17" s="164" t="n">
        <f aca="false">COUNTIFS($AK$119:$AK$168,A17)</f>
        <v>0</v>
      </c>
      <c r="D17" s="163" t="s">
        <v>568</v>
      </c>
      <c r="E17" s="164" t="n">
        <f aca="false">COUNTIFS($P$119:$P$168,D17)</f>
        <v>0</v>
      </c>
      <c r="G17" s="163" t="s">
        <v>2184</v>
      </c>
      <c r="H17" s="164" t="n">
        <f aca="false">COUNTIFS($Q$119:$Q$168,G17)</f>
        <v>0</v>
      </c>
      <c r="J17" s="163" t="s">
        <v>2185</v>
      </c>
      <c r="K17" s="164" t="n">
        <f aca="false">COUNTIFS($BS$119:$BS$168,J17)</f>
        <v>0</v>
      </c>
    </row>
    <row r="18" customFormat="false" ht="15" hidden="false" customHeight="true" outlineLevel="0" collapsed="false">
      <c r="A18" s="163" t="s">
        <v>2186</v>
      </c>
      <c r="B18" s="164" t="n">
        <f aca="false">COUNTIFS($AK$119:$AK$168,A18)</f>
        <v>0</v>
      </c>
      <c r="D18" s="163" t="s">
        <v>570</v>
      </c>
      <c r="E18" s="164" t="n">
        <f aca="false">COUNTIFS($P$119:$P$168,D18)</f>
        <v>0</v>
      </c>
      <c r="G18" s="163" t="s">
        <v>314</v>
      </c>
      <c r="H18" s="164" t="n">
        <f aca="false">COUNTIFS($Q$119:$Q$168,G18)</f>
        <v>0</v>
      </c>
      <c r="J18" s="163" t="s">
        <v>2187</v>
      </c>
      <c r="K18" s="164" t="n">
        <f aca="false">COUNTIFS($BS$119:$BS$168,J18)</f>
        <v>0</v>
      </c>
    </row>
    <row r="19" customFormat="false" ht="15" hidden="false" customHeight="true" outlineLevel="0" collapsed="false">
      <c r="A19" s="163" t="s">
        <v>2188</v>
      </c>
      <c r="B19" s="164" t="n">
        <f aca="false">COUNTIFS($AK$119:$AK$168,A19)</f>
        <v>0</v>
      </c>
      <c r="D19" s="163" t="s">
        <v>316</v>
      </c>
      <c r="E19" s="164" t="n">
        <f aca="false">COUNTIFS($P$119:$P$168,D19)</f>
        <v>0</v>
      </c>
      <c r="J19" s="163" t="s">
        <v>2189</v>
      </c>
      <c r="K19" s="164" t="n">
        <f aca="false">COUNTIFS($BS$119:$BS$168,J19)</f>
        <v>0</v>
      </c>
    </row>
    <row r="20" customFormat="false" ht="15" hidden="false" customHeight="true" outlineLevel="0" collapsed="false">
      <c r="A20" s="163" t="s">
        <v>142</v>
      </c>
      <c r="B20" s="164" t="n">
        <f aca="false">COUNTIFS($AK$119:$AK$168,A20)</f>
        <v>0</v>
      </c>
      <c r="D20" s="163" t="s">
        <v>370</v>
      </c>
      <c r="E20" s="164" t="n">
        <f aca="false">COUNTIFS($P$119:$P$168,D20)</f>
        <v>0</v>
      </c>
      <c r="J20" s="163" t="s">
        <v>2008</v>
      </c>
      <c r="K20" s="164" t="n">
        <f aca="false">COUNTIFS($BS$119:$BS$168,J20)</f>
        <v>0</v>
      </c>
    </row>
    <row r="21" customFormat="false" ht="15" hidden="false" customHeight="true" outlineLevel="0" collapsed="false">
      <c r="A21" s="163" t="s">
        <v>2190</v>
      </c>
      <c r="B21" s="164" t="n">
        <f aca="false">COUNTIFS($AK$119:$AK$168,A21)</f>
        <v>0</v>
      </c>
      <c r="D21" s="163" t="s">
        <v>574</v>
      </c>
      <c r="E21" s="164" t="n">
        <f aca="false">COUNTIFS($P$119:$P$168,D21)</f>
        <v>0</v>
      </c>
    </row>
    <row r="22" customFormat="false" ht="15" hidden="false" customHeight="true" outlineLevel="0" collapsed="false">
      <c r="D22" s="163" t="s">
        <v>576</v>
      </c>
      <c r="E22" s="164" t="n">
        <f aca="false">COUNTIFS($P$119:$P$168,D22)</f>
        <v>0</v>
      </c>
    </row>
    <row r="23" customFormat="false" ht="15" hidden="false" customHeight="true" outlineLevel="0" collapsed="false">
      <c r="D23" s="163" t="s">
        <v>578</v>
      </c>
      <c r="E23" s="164" t="n">
        <f aca="false">COUNTIFS($P$119:$P$168,D23)</f>
        <v>0</v>
      </c>
    </row>
    <row r="24" customFormat="false" ht="15" hidden="false" customHeight="true" outlineLevel="0" collapsed="false">
      <c r="D24" s="163" t="s">
        <v>580</v>
      </c>
      <c r="E24" s="164" t="n">
        <f aca="false">COUNTIFS($P$119:$P$168,D24)</f>
        <v>0</v>
      </c>
    </row>
    <row r="25" customFormat="false" ht="15" hidden="false" customHeight="true" outlineLevel="0" collapsed="false">
      <c r="D25" s="163" t="s">
        <v>358</v>
      </c>
      <c r="E25" s="164" t="n">
        <f aca="false">COUNTIFS($P$119:$P$168,D25)</f>
        <v>0</v>
      </c>
    </row>
    <row r="26" customFormat="false" ht="15" hidden="false" customHeight="true" outlineLevel="0" collapsed="false">
      <c r="D26" s="163" t="s">
        <v>360</v>
      </c>
      <c r="E26" s="164" t="n">
        <f aca="false">COUNTIFS($P$119:$P$168,D26)</f>
        <v>0</v>
      </c>
    </row>
    <row r="27" customFormat="false" ht="15" hidden="false" customHeight="true" outlineLevel="0" collapsed="false">
      <c r="D27" s="163" t="s">
        <v>584</v>
      </c>
      <c r="E27" s="164" t="n">
        <f aca="false">COUNTIFS($P$119:$P$168,D27)</f>
        <v>0</v>
      </c>
    </row>
    <row r="28" customFormat="false" ht="15" hidden="false" customHeight="true" outlineLevel="0" collapsed="false">
      <c r="D28" s="163" t="s">
        <v>586</v>
      </c>
      <c r="E28" s="164" t="n">
        <f aca="false">COUNTIFS($P$119:$P$168,D28)</f>
        <v>0</v>
      </c>
    </row>
    <row r="29" customFormat="false" ht="15" hidden="false" customHeight="true" outlineLevel="0" collapsed="false">
      <c r="D29" s="163" t="s">
        <v>588</v>
      </c>
      <c r="E29" s="164" t="n">
        <f aca="false">COUNTIFS($P$119:$P$168,D29)</f>
        <v>0</v>
      </c>
    </row>
    <row r="30" customFormat="false" ht="15" hidden="false" customHeight="true" outlineLevel="0" collapsed="false">
      <c r="D30" s="163" t="s">
        <v>590</v>
      </c>
      <c r="E30" s="164" t="n">
        <f aca="false">COUNTIFS($P$119:$P$168,D30)</f>
        <v>0</v>
      </c>
    </row>
    <row r="31" customFormat="false" ht="15" hidden="false" customHeight="true" outlineLevel="0" collapsed="false">
      <c r="D31" s="163" t="s">
        <v>592</v>
      </c>
      <c r="E31" s="164" t="n">
        <f aca="false">COUNTIFS($P$119:$P$168,D31)</f>
        <v>0</v>
      </c>
    </row>
    <row r="32" customFormat="false" ht="15" hidden="false" customHeight="true" outlineLevel="0" collapsed="false">
      <c r="D32" s="163" t="s">
        <v>594</v>
      </c>
      <c r="E32" s="164" t="n">
        <f aca="false">COUNTIFS($P$119:$P$168,D32)</f>
        <v>0</v>
      </c>
    </row>
    <row r="33" customFormat="false" ht="15" hidden="false" customHeight="true" outlineLevel="0" collapsed="false">
      <c r="D33" s="163" t="s">
        <v>596</v>
      </c>
      <c r="E33" s="164" t="n">
        <f aca="false">COUNTIFS($P$119:$P$168,D33)</f>
        <v>0</v>
      </c>
    </row>
    <row r="34" customFormat="false" ht="15" hidden="false" customHeight="true" outlineLevel="0" collapsed="false">
      <c r="D34" s="163" t="s">
        <v>598</v>
      </c>
      <c r="E34" s="164" t="n">
        <f aca="false">COUNTIFS($P$119:$P$168,D34)</f>
        <v>0</v>
      </c>
    </row>
    <row r="35" customFormat="false" ht="15" hidden="false" customHeight="true" outlineLevel="0" collapsed="false">
      <c r="D35" s="163" t="s">
        <v>600</v>
      </c>
      <c r="E35" s="164" t="n">
        <f aca="false">COUNTIFS($P$119:$P$168,D35)</f>
        <v>0</v>
      </c>
    </row>
    <row r="36" customFormat="false" ht="15" hidden="false" customHeight="true" outlineLevel="0" collapsed="false">
      <c r="D36" s="163" t="s">
        <v>368</v>
      </c>
      <c r="E36" s="164" t="n">
        <f aca="false">COUNTIFS($P$119:$P$168,D36)</f>
        <v>0</v>
      </c>
    </row>
    <row r="37" customFormat="false" ht="15" hidden="false" customHeight="true" outlineLevel="0" collapsed="false">
      <c r="D37" s="163" t="s">
        <v>603</v>
      </c>
      <c r="E37" s="164" t="n">
        <f aca="false">COUNTIFS($P$119:$P$168,D37)</f>
        <v>0</v>
      </c>
    </row>
    <row r="38" customFormat="false" ht="15" hidden="false" customHeight="true" outlineLevel="0" collapsed="false">
      <c r="D38" s="163" t="s">
        <v>605</v>
      </c>
      <c r="E38" s="164" t="n">
        <f aca="false">COUNTIFS($P$119:$P$168,D38)</f>
        <v>0</v>
      </c>
    </row>
    <row r="39" customFormat="false" ht="15" hidden="false" customHeight="true" outlineLevel="0" collapsed="false">
      <c r="D39" s="163" t="s">
        <v>607</v>
      </c>
      <c r="E39" s="164" t="n">
        <f aca="false">COUNTIFS($P$119:$P$168,D39)</f>
        <v>0</v>
      </c>
    </row>
    <row r="40" customFormat="false" ht="15" hidden="false" customHeight="true" outlineLevel="0" collapsed="false">
      <c r="D40" s="163" t="s">
        <v>609</v>
      </c>
      <c r="E40" s="164" t="n">
        <f aca="false">COUNTIFS($P$119:$P$168,D40)</f>
        <v>0</v>
      </c>
    </row>
    <row r="41" customFormat="false" ht="15" hidden="false" customHeight="true" outlineLevel="0" collapsed="false">
      <c r="D41" s="163" t="s">
        <v>611</v>
      </c>
      <c r="E41" s="164" t="n">
        <f aca="false">COUNTIFS($P$119:$P$168,D41)</f>
        <v>0</v>
      </c>
    </row>
    <row r="43" customFormat="false" ht="15" hidden="false" customHeight="true" outlineLevel="0" collapsed="false">
      <c r="A43" s="55" t="s">
        <v>2117</v>
      </c>
      <c r="B43" s="55"/>
      <c r="C43" s="55"/>
    </row>
    <row r="44" customFormat="false" ht="21.75" hidden="false" customHeight="true" outlineLevel="0" collapsed="false">
      <c r="A44" s="142" t="s">
        <v>53</v>
      </c>
      <c r="B44" s="142" t="s">
        <v>2191</v>
      </c>
      <c r="C44" s="142" t="s">
        <v>2107</v>
      </c>
    </row>
    <row r="45" customFormat="false" ht="15" hidden="false" customHeight="true" outlineLevel="0" collapsed="false">
      <c r="A45" s="165" t="n">
        <v>2024</v>
      </c>
      <c r="B45" s="166" t="n">
        <f aca="false">SUMIFS($AG$119:$AG$168,$BM$119:$BM$168,$A45)</f>
        <v>0</v>
      </c>
      <c r="C45" s="164" t="n">
        <f aca="false">COUNTIFS($BM$119:$BM$168,$A45)</f>
        <v>0</v>
      </c>
    </row>
    <row r="46" customFormat="false" ht="15" hidden="false" customHeight="true" outlineLevel="0" collapsed="false">
      <c r="A46" s="165" t="n">
        <v>2025</v>
      </c>
      <c r="B46" s="166" t="n">
        <f aca="false">SUMIFS($AG$119:$AG$168,$BM$119:$BM$168,$A46)</f>
        <v>0</v>
      </c>
      <c r="C46" s="164" t="n">
        <f aca="false">COUNTIFS($BM$119:$BM$168,$A46)</f>
        <v>0</v>
      </c>
    </row>
    <row r="47" customFormat="false" ht="15" hidden="false" customHeight="true" outlineLevel="0" collapsed="false">
      <c r="A47" s="165" t="n">
        <v>2026</v>
      </c>
      <c r="B47" s="166" t="n">
        <f aca="false">SUMIFS($AG$119:$AG$168,$BM$119:$BM$168,$A47)</f>
        <v>0</v>
      </c>
      <c r="C47" s="164" t="n">
        <f aca="false">COUNTIFS($BM$119:$BM$168,$A47)</f>
        <v>0</v>
      </c>
    </row>
    <row r="48" customFormat="false" ht="15" hidden="false" customHeight="true" outlineLevel="0" collapsed="false">
      <c r="A48" s="165" t="n">
        <v>2027</v>
      </c>
      <c r="B48" s="166" t="n">
        <f aca="false">SUMIFS($AG$119:$AG$168,$BM$119:$BM$168,$A48)</f>
        <v>0</v>
      </c>
      <c r="C48" s="164" t="n">
        <f aca="false">COUNTIFS($BM$119:$BM$168,$A48)</f>
        <v>0</v>
      </c>
    </row>
    <row r="49" customFormat="false" ht="15" hidden="false" customHeight="true" outlineLevel="0" collapsed="false">
      <c r="A49" s="165" t="n">
        <v>2028</v>
      </c>
      <c r="B49" s="166" t="n">
        <f aca="false">SUMIFS($AG$119:$AG$168,$BM$119:$BM$168,$A49)</f>
        <v>0</v>
      </c>
      <c r="C49" s="164" t="n">
        <f aca="false">COUNTIFS($BM$119:$BM$168,$A49)</f>
        <v>0</v>
      </c>
    </row>
    <row r="50" customFormat="false" ht="15" hidden="false" customHeight="true" outlineLevel="0" collapsed="false">
      <c r="A50" s="165" t="n">
        <v>2029</v>
      </c>
      <c r="B50" s="166" t="n">
        <f aca="false">SUMIFS($AG$119:$AG$168,$BM$119:$BM$168,$A50)</f>
        <v>0</v>
      </c>
      <c r="C50" s="164" t="n">
        <f aca="false">COUNTIFS($BM$119:$BM$168,$A50)</f>
        <v>0</v>
      </c>
    </row>
    <row r="51" customFormat="false" ht="15" hidden="false" customHeight="true" outlineLevel="0" collapsed="false">
      <c r="A51" s="165" t="n">
        <v>2030</v>
      </c>
      <c r="B51" s="166" t="n">
        <f aca="false">SUMIFS($AG$119:$AG$168,$BM$119:$BM$168,$A51)</f>
        <v>0</v>
      </c>
      <c r="C51" s="164" t="n">
        <f aca="false">COUNTIFS($BM$119:$BM$168,$A51)</f>
        <v>0</v>
      </c>
    </row>
    <row r="52" customFormat="false" ht="15" hidden="false" customHeight="true" outlineLevel="0" collapsed="false">
      <c r="A52" s="165" t="n">
        <v>2031</v>
      </c>
      <c r="B52" s="166" t="n">
        <f aca="false">SUMIFS($AG$119:$AG$168,$BM$119:$BM$168,$A52)</f>
        <v>0</v>
      </c>
      <c r="C52" s="164" t="n">
        <f aca="false">COUNTIFS($BM$119:$BM$168,$A52)</f>
        <v>0</v>
      </c>
    </row>
    <row r="53" customFormat="false" ht="15" hidden="false" customHeight="true" outlineLevel="0" collapsed="false">
      <c r="A53" s="165" t="n">
        <v>2032</v>
      </c>
      <c r="B53" s="166" t="n">
        <f aca="false">SUMIFS($AG$119:$AG$168,$BM$119:$BM$168,$A53)</f>
        <v>0</v>
      </c>
      <c r="C53" s="164" t="n">
        <f aca="false">COUNTIFS($BM$119:$BM$168,$A53)</f>
        <v>0</v>
      </c>
    </row>
    <row r="54" customFormat="false" ht="15" hidden="false" customHeight="true" outlineLevel="0" collapsed="false">
      <c r="A54" s="165" t="n">
        <v>2033</v>
      </c>
      <c r="B54" s="166" t="n">
        <f aca="false">SUMIFS($AG$119:$AG$168,$BM$119:$BM$168,$A54)</f>
        <v>0</v>
      </c>
      <c r="C54" s="164" t="n">
        <f aca="false">COUNTIFS($BM$119:$BM$168,$A54)</f>
        <v>0</v>
      </c>
    </row>
    <row r="56" customFormat="false" ht="15" hidden="false" customHeight="true" outlineLevel="0" collapsed="false">
      <c r="A56" s="55" t="s">
        <v>2192</v>
      </c>
      <c r="B56" s="55"/>
      <c r="C56" s="55"/>
      <c r="D56" s="55"/>
      <c r="E56" s="55"/>
      <c r="F56" s="55"/>
    </row>
    <row r="57" customFormat="false" ht="21.75" hidden="false" customHeight="true" outlineLevel="0" collapsed="false">
      <c r="A57" s="142" t="s">
        <v>805</v>
      </c>
      <c r="B57" s="142" t="s">
        <v>2193</v>
      </c>
      <c r="C57" s="142" t="s">
        <v>2194</v>
      </c>
      <c r="D57" s="142" t="s">
        <v>2195</v>
      </c>
      <c r="E57" s="142" t="s">
        <v>1599</v>
      </c>
      <c r="F57" s="142" t="s">
        <v>2000</v>
      </c>
    </row>
    <row r="58" customFormat="false" ht="15" hidden="false" customHeight="true" outlineLevel="0" collapsed="false">
      <c r="A58" s="167" t="str">
        <f aca="false">IF(PROJETS!A56="","",PROJETS!A56)</f>
        <v>PROJ0001</v>
      </c>
      <c r="B58" s="166" t="n">
        <f aca="false">IF($A58="","",SUMIFS(BUDGET!$AK$28:$AK$67,BUDGET!$H$28:$H$67,$A58))</f>
        <v>0</v>
      </c>
      <c r="C58" s="166" t="n">
        <f aca="false">IF($A58="","",SUMIFS($AU$119:$AU$168,$E$119:$E$168,$A58,$AS$119:$AS$168,"Oui"))</f>
        <v>0</v>
      </c>
      <c r="D58" s="166" t="n">
        <f aca="false">IF($A58="","",SUMIFS($AG$119:$AG$168,$E$119:$E$168,$A58))</f>
        <v>29999</v>
      </c>
      <c r="E58" s="166" t="n">
        <f aca="false">IF($A58="","",$B58-$D58)</f>
        <v>-29999</v>
      </c>
      <c r="F58" s="168" t="n">
        <f aca="false">IF(OR($A58="",$B58=0),0,$D58/$B58)</f>
        <v>0</v>
      </c>
    </row>
    <row r="59" customFormat="false" ht="15" hidden="false" customHeight="true" outlineLevel="0" collapsed="false">
      <c r="A59" s="167" t="str">
        <f aca="false">IF(PROJETS!A57="","",PROJETS!A57)</f>
        <v/>
      </c>
      <c r="B59" s="166" t="str">
        <f aca="false">IF($A59="","",SUMIFS(BUDGET!$AK$28:$AK$67,BUDGET!$H$28:$H$67,$A59))</f>
        <v/>
      </c>
      <c r="C59" s="166" t="str">
        <f aca="false">IF($A59="","",SUMIFS($AU$119:$AU$168,$E$119:$E$168,$A59,$AS$119:$AS$168,"Oui"))</f>
        <v/>
      </c>
      <c r="D59" s="166" t="str">
        <f aca="false">IF($A59="","",SUMIFS($AG$119:$AG$168,$E$119:$E$168,$A59))</f>
        <v/>
      </c>
      <c r="E59" s="166" t="str">
        <f aca="false">IF($A59="","",$B59-$D59)</f>
        <v/>
      </c>
      <c r="F59" s="168" t="n">
        <f aca="false">IF(OR($A59="",$B59=0),0,$D59/$B59)</f>
        <v>0</v>
      </c>
    </row>
    <row r="60" customFormat="false" ht="15" hidden="false" customHeight="true" outlineLevel="0" collapsed="false">
      <c r="A60" s="167" t="str">
        <f aca="false">IF(PROJETS!A58="","",PROJETS!A58)</f>
        <v/>
      </c>
      <c r="B60" s="166" t="str">
        <f aca="false">IF($A60="","",SUMIFS(BUDGET!$AK$28:$AK$67,BUDGET!$H$28:$H$67,$A60))</f>
        <v/>
      </c>
      <c r="C60" s="166" t="str">
        <f aca="false">IF($A60="","",SUMIFS($AU$119:$AU$168,$E$119:$E$168,$A60,$AS$119:$AS$168,"Oui"))</f>
        <v/>
      </c>
      <c r="D60" s="166" t="str">
        <f aca="false">IF($A60="","",SUMIFS($AG$119:$AG$168,$E$119:$E$168,$A60))</f>
        <v/>
      </c>
      <c r="E60" s="166" t="str">
        <f aca="false">IF($A60="","",$B60-$D60)</f>
        <v/>
      </c>
      <c r="F60" s="168" t="n">
        <f aca="false">IF(OR($A60="",$B60=0),0,$D60/$B60)</f>
        <v>0</v>
      </c>
    </row>
    <row r="61" customFormat="false" ht="15" hidden="false" customHeight="true" outlineLevel="0" collapsed="false">
      <c r="A61" s="167" t="str">
        <f aca="false">IF(PROJETS!A59="","",PROJETS!A59)</f>
        <v/>
      </c>
      <c r="B61" s="166" t="str">
        <f aca="false">IF($A61="","",SUMIFS(BUDGET!$AK$28:$AK$67,BUDGET!$H$28:$H$67,$A61))</f>
        <v/>
      </c>
      <c r="C61" s="166" t="str">
        <f aca="false">IF($A61="","",SUMIFS($AU$119:$AU$168,$E$119:$E$168,$A61,$AS$119:$AS$168,"Oui"))</f>
        <v/>
      </c>
      <c r="D61" s="166" t="str">
        <f aca="false">IF($A61="","",SUMIFS($AG$119:$AG$168,$E$119:$E$168,$A61))</f>
        <v/>
      </c>
      <c r="E61" s="166" t="str">
        <f aca="false">IF($A61="","",$B61-$D61)</f>
        <v/>
      </c>
      <c r="F61" s="168" t="n">
        <f aca="false">IF(OR($A61="",$B61=0),0,$D61/$B61)</f>
        <v>0</v>
      </c>
    </row>
    <row r="62" customFormat="false" ht="15" hidden="false" customHeight="true" outlineLevel="0" collapsed="false">
      <c r="A62" s="167" t="str">
        <f aca="false">IF(PROJETS!A60="","",PROJETS!A60)</f>
        <v/>
      </c>
      <c r="B62" s="166" t="str">
        <f aca="false">IF($A62="","",SUMIFS(BUDGET!$AK$28:$AK$67,BUDGET!$H$28:$H$67,$A62))</f>
        <v/>
      </c>
      <c r="C62" s="166" t="str">
        <f aca="false">IF($A62="","",SUMIFS($AU$119:$AU$168,$E$119:$E$168,$A62,$AS$119:$AS$168,"Oui"))</f>
        <v/>
      </c>
      <c r="D62" s="166" t="str">
        <f aca="false">IF($A62="","",SUMIFS($AG$119:$AG$168,$E$119:$E$168,$A62))</f>
        <v/>
      </c>
      <c r="E62" s="166" t="str">
        <f aca="false">IF($A62="","",$B62-$D62)</f>
        <v/>
      </c>
      <c r="F62" s="168" t="n">
        <f aca="false">IF(OR($A62="",$B62=0),0,$D62/$B62)</f>
        <v>0</v>
      </c>
    </row>
    <row r="63" customFormat="false" ht="15" hidden="false" customHeight="true" outlineLevel="0" collapsed="false">
      <c r="A63" s="167" t="str">
        <f aca="false">IF(PROJETS!A61="","",PROJETS!A61)</f>
        <v/>
      </c>
      <c r="B63" s="166" t="str">
        <f aca="false">IF($A63="","",SUMIFS(BUDGET!$AK$28:$AK$67,BUDGET!$H$28:$H$67,$A63))</f>
        <v/>
      </c>
      <c r="C63" s="166" t="str">
        <f aca="false">IF($A63="","",SUMIFS($AU$119:$AU$168,$E$119:$E$168,$A63,$AS$119:$AS$168,"Oui"))</f>
        <v/>
      </c>
      <c r="D63" s="166" t="str">
        <f aca="false">IF($A63="","",SUMIFS($AG$119:$AG$168,$E$119:$E$168,$A63))</f>
        <v/>
      </c>
      <c r="E63" s="166" t="str">
        <f aca="false">IF($A63="","",$B63-$D63)</f>
        <v/>
      </c>
      <c r="F63" s="168" t="n">
        <f aca="false">IF(OR($A63="",$B63=0),0,$D63/$B63)</f>
        <v>0</v>
      </c>
    </row>
    <row r="64" customFormat="false" ht="15" hidden="false" customHeight="true" outlineLevel="0" collapsed="false">
      <c r="A64" s="167" t="str">
        <f aca="false">IF(PROJETS!A62="","",PROJETS!A62)</f>
        <v/>
      </c>
      <c r="B64" s="166" t="str">
        <f aca="false">IF($A64="","",SUMIFS(BUDGET!$AK$28:$AK$67,BUDGET!$H$28:$H$67,$A64))</f>
        <v/>
      </c>
      <c r="C64" s="166" t="str">
        <f aca="false">IF($A64="","",SUMIFS($AU$119:$AU$168,$E$119:$E$168,$A64,$AS$119:$AS$168,"Oui"))</f>
        <v/>
      </c>
      <c r="D64" s="166" t="str">
        <f aca="false">IF($A64="","",SUMIFS($AG$119:$AG$168,$E$119:$E$168,$A64))</f>
        <v/>
      </c>
      <c r="E64" s="166" t="str">
        <f aca="false">IF($A64="","",$B64-$D64)</f>
        <v/>
      </c>
      <c r="F64" s="168" t="n">
        <f aca="false">IF(OR($A64="",$B64=0),0,$D64/$B64)</f>
        <v>0</v>
      </c>
    </row>
    <row r="65" customFormat="false" ht="15" hidden="false" customHeight="true" outlineLevel="0" collapsed="false">
      <c r="A65" s="167" t="str">
        <f aca="false">IF(PROJETS!A63="","",PROJETS!A63)</f>
        <v/>
      </c>
      <c r="B65" s="166" t="str">
        <f aca="false">IF($A65="","",SUMIFS(BUDGET!$AK$28:$AK$67,BUDGET!$H$28:$H$67,$A65))</f>
        <v/>
      </c>
      <c r="C65" s="166" t="str">
        <f aca="false">IF($A65="","",SUMIFS($AU$119:$AU$168,$E$119:$E$168,$A65,$AS$119:$AS$168,"Oui"))</f>
        <v/>
      </c>
      <c r="D65" s="166" t="str">
        <f aca="false">IF($A65="","",SUMIFS($AG$119:$AG$168,$E$119:$E$168,$A65))</f>
        <v/>
      </c>
      <c r="E65" s="166" t="str">
        <f aca="false">IF($A65="","",$B65-$D65)</f>
        <v/>
      </c>
      <c r="F65" s="168" t="n">
        <f aca="false">IF(OR($A65="",$B65=0),0,$D65/$B65)</f>
        <v>0</v>
      </c>
    </row>
    <row r="66" customFormat="false" ht="15" hidden="false" customHeight="true" outlineLevel="0" collapsed="false">
      <c r="A66" s="167" t="str">
        <f aca="false">IF(PROJETS!A64="","",PROJETS!A64)</f>
        <v/>
      </c>
      <c r="B66" s="166" t="str">
        <f aca="false">IF($A66="","",SUMIFS(BUDGET!$AK$28:$AK$67,BUDGET!$H$28:$H$67,$A66))</f>
        <v/>
      </c>
      <c r="C66" s="166" t="str">
        <f aca="false">IF($A66="","",SUMIFS($AU$119:$AU$168,$E$119:$E$168,$A66,$AS$119:$AS$168,"Oui"))</f>
        <v/>
      </c>
      <c r="D66" s="166" t="str">
        <f aca="false">IF($A66="","",SUMIFS($AG$119:$AG$168,$E$119:$E$168,$A66))</f>
        <v/>
      </c>
      <c r="E66" s="166" t="str">
        <f aca="false">IF($A66="","",$B66-$D66)</f>
        <v/>
      </c>
      <c r="F66" s="168" t="n">
        <f aca="false">IF(OR($A66="",$B66=0),0,$D66/$B66)</f>
        <v>0</v>
      </c>
    </row>
    <row r="67" customFormat="false" ht="15" hidden="false" customHeight="true" outlineLevel="0" collapsed="false">
      <c r="A67" s="167" t="str">
        <f aca="false">IF(PROJETS!A65="","",PROJETS!A65)</f>
        <v/>
      </c>
      <c r="B67" s="166" t="str">
        <f aca="false">IF($A67="","",SUMIFS(BUDGET!$AK$28:$AK$67,BUDGET!$H$28:$H$67,$A67))</f>
        <v/>
      </c>
      <c r="C67" s="166" t="str">
        <f aca="false">IF($A67="","",SUMIFS($AU$119:$AU$168,$E$119:$E$168,$A67,$AS$119:$AS$168,"Oui"))</f>
        <v/>
      </c>
      <c r="D67" s="166" t="str">
        <f aca="false">IF($A67="","",SUMIFS($AG$119:$AG$168,$E$119:$E$168,$A67))</f>
        <v/>
      </c>
      <c r="E67" s="166" t="str">
        <f aca="false">IF($A67="","",$B67-$D67)</f>
        <v/>
      </c>
      <c r="F67" s="168" t="n">
        <f aca="false">IF(OR($A67="",$B67=0),0,$D67/$B67)</f>
        <v>0</v>
      </c>
    </row>
    <row r="68" customFormat="false" ht="15" hidden="false" customHeight="true" outlineLevel="0" collapsed="false">
      <c r="A68" s="167" t="str">
        <f aca="false">IF(PROJETS!A66="","",PROJETS!A66)</f>
        <v/>
      </c>
      <c r="B68" s="166" t="str">
        <f aca="false">IF($A68="","",SUMIFS(BUDGET!$AK$28:$AK$67,BUDGET!$H$28:$H$67,$A68))</f>
        <v/>
      </c>
      <c r="C68" s="166" t="str">
        <f aca="false">IF($A68="","",SUMIFS($AU$119:$AU$168,$E$119:$E$168,$A68,$AS$119:$AS$168,"Oui"))</f>
        <v/>
      </c>
      <c r="D68" s="166" t="str">
        <f aca="false">IF($A68="","",SUMIFS($AG$119:$AG$168,$E$119:$E$168,$A68))</f>
        <v/>
      </c>
      <c r="E68" s="166" t="str">
        <f aca="false">IF($A68="","",$B68-$D68)</f>
        <v/>
      </c>
      <c r="F68" s="168" t="n">
        <f aca="false">IF(OR($A68="",$B68=0),0,$D68/$B68)</f>
        <v>0</v>
      </c>
    </row>
    <row r="69" customFormat="false" ht="15" hidden="false" customHeight="true" outlineLevel="0" collapsed="false">
      <c r="A69" s="167" t="str">
        <f aca="false">IF(PROJETS!A67="","",PROJETS!A67)</f>
        <v/>
      </c>
      <c r="B69" s="166" t="str">
        <f aca="false">IF($A69="","",SUMIFS(BUDGET!$AK$28:$AK$67,BUDGET!$H$28:$H$67,$A69))</f>
        <v/>
      </c>
      <c r="C69" s="166" t="str">
        <f aca="false">IF($A69="","",SUMIFS($AU$119:$AU$168,$E$119:$E$168,$A69,$AS$119:$AS$168,"Oui"))</f>
        <v/>
      </c>
      <c r="D69" s="166" t="str">
        <f aca="false">IF($A69="","",SUMIFS($AG$119:$AG$168,$E$119:$E$168,$A69))</f>
        <v/>
      </c>
      <c r="E69" s="166" t="str">
        <f aca="false">IF($A69="","",$B69-$D69)</f>
        <v/>
      </c>
      <c r="F69" s="168" t="n">
        <f aca="false">IF(OR($A69="",$B69=0),0,$D69/$B69)</f>
        <v>0</v>
      </c>
    </row>
    <row r="70" customFormat="false" ht="15" hidden="false" customHeight="true" outlineLevel="0" collapsed="false">
      <c r="A70" s="167" t="str">
        <f aca="false">IF(PROJETS!A68="","",PROJETS!A68)</f>
        <v/>
      </c>
      <c r="B70" s="166" t="str">
        <f aca="false">IF($A70="","",SUMIFS(BUDGET!$AK$28:$AK$67,BUDGET!$H$28:$H$67,$A70))</f>
        <v/>
      </c>
      <c r="C70" s="166" t="str">
        <f aca="false">IF($A70="","",SUMIFS($AU$119:$AU$168,$E$119:$E$168,$A70,$AS$119:$AS$168,"Oui"))</f>
        <v/>
      </c>
      <c r="D70" s="166" t="str">
        <f aca="false">IF($A70="","",SUMIFS($AG$119:$AG$168,$E$119:$E$168,$A70))</f>
        <v/>
      </c>
      <c r="E70" s="166" t="str">
        <f aca="false">IF($A70="","",$B70-$D70)</f>
        <v/>
      </c>
      <c r="F70" s="168" t="n">
        <f aca="false">IF(OR($A70="",$B70=0),0,$D70/$B70)</f>
        <v>0</v>
      </c>
    </row>
    <row r="71" customFormat="false" ht="15" hidden="false" customHeight="true" outlineLevel="0" collapsed="false">
      <c r="A71" s="167" t="str">
        <f aca="false">IF(PROJETS!A69="","",PROJETS!A69)</f>
        <v/>
      </c>
      <c r="B71" s="166" t="str">
        <f aca="false">IF($A71="","",SUMIFS(BUDGET!$AK$28:$AK$67,BUDGET!$H$28:$H$67,$A71))</f>
        <v/>
      </c>
      <c r="C71" s="166" t="str">
        <f aca="false">IF($A71="","",SUMIFS($AU$119:$AU$168,$E$119:$E$168,$A71,$AS$119:$AS$168,"Oui"))</f>
        <v/>
      </c>
      <c r="D71" s="166" t="str">
        <f aca="false">IF($A71="","",SUMIFS($AG$119:$AG$168,$E$119:$E$168,$A71))</f>
        <v/>
      </c>
      <c r="E71" s="166" t="str">
        <f aca="false">IF($A71="","",$B71-$D71)</f>
        <v/>
      </c>
      <c r="F71" s="168" t="n">
        <f aca="false">IF(OR($A71="",$B71=0),0,$D71/$B71)</f>
        <v>0</v>
      </c>
    </row>
    <row r="72" customFormat="false" ht="15" hidden="false" customHeight="true" outlineLevel="0" collapsed="false">
      <c r="A72" s="167" t="str">
        <f aca="false">IF(PROJETS!A70="","",PROJETS!A70)</f>
        <v/>
      </c>
      <c r="B72" s="166" t="str">
        <f aca="false">IF($A72="","",SUMIFS(BUDGET!$AK$28:$AK$67,BUDGET!$H$28:$H$67,$A72))</f>
        <v/>
      </c>
      <c r="C72" s="166" t="str">
        <f aca="false">IF($A72="","",SUMIFS($AU$119:$AU$168,$E$119:$E$168,$A72,$AS$119:$AS$168,"Oui"))</f>
        <v/>
      </c>
      <c r="D72" s="166" t="str">
        <f aca="false">IF($A72="","",SUMIFS($AG$119:$AG$168,$E$119:$E$168,$A72))</f>
        <v/>
      </c>
      <c r="E72" s="166" t="str">
        <f aca="false">IF($A72="","",$B72-$D72)</f>
        <v/>
      </c>
      <c r="F72" s="168" t="n">
        <f aca="false">IF(OR($A72="",$B72=0),0,$D72/$B72)</f>
        <v>0</v>
      </c>
    </row>
    <row r="73" customFormat="false" ht="15" hidden="false" customHeight="true" outlineLevel="0" collapsed="false">
      <c r="A73" s="167" t="str">
        <f aca="false">IF(PROJETS!A71="","",PROJETS!A71)</f>
        <v/>
      </c>
      <c r="B73" s="166" t="str">
        <f aca="false">IF($A73="","",SUMIFS(BUDGET!$AK$28:$AK$67,BUDGET!$H$28:$H$67,$A73))</f>
        <v/>
      </c>
      <c r="C73" s="166" t="str">
        <f aca="false">IF($A73="","",SUMIFS($AU$119:$AU$168,$E$119:$E$168,$A73,$AS$119:$AS$168,"Oui"))</f>
        <v/>
      </c>
      <c r="D73" s="166" t="str">
        <f aca="false">IF($A73="","",SUMIFS($AG$119:$AG$168,$E$119:$E$168,$A73))</f>
        <v/>
      </c>
      <c r="E73" s="166" t="str">
        <f aca="false">IF($A73="","",$B73-$D73)</f>
        <v/>
      </c>
      <c r="F73" s="168" t="n">
        <f aca="false">IF(OR($A73="",$B73=0),0,$D73/$B73)</f>
        <v>0</v>
      </c>
    </row>
    <row r="74" customFormat="false" ht="15" hidden="false" customHeight="true" outlineLevel="0" collapsed="false">
      <c r="A74" s="167" t="str">
        <f aca="false">IF(PROJETS!A72="","",PROJETS!A72)</f>
        <v/>
      </c>
      <c r="B74" s="166" t="str">
        <f aca="false">IF($A74="","",SUMIFS(BUDGET!$AK$28:$AK$67,BUDGET!$H$28:$H$67,$A74))</f>
        <v/>
      </c>
      <c r="C74" s="166" t="str">
        <f aca="false">IF($A74="","",SUMIFS($AU$119:$AU$168,$E$119:$E$168,$A74,$AS$119:$AS$168,"Oui"))</f>
        <v/>
      </c>
      <c r="D74" s="166" t="str">
        <f aca="false">IF($A74="","",SUMIFS($AG$119:$AG$168,$E$119:$E$168,$A74))</f>
        <v/>
      </c>
      <c r="E74" s="166" t="str">
        <f aca="false">IF($A74="","",$B74-$D74)</f>
        <v/>
      </c>
      <c r="F74" s="168" t="n">
        <f aca="false">IF(OR($A74="",$B74=0),0,$D74/$B74)</f>
        <v>0</v>
      </c>
    </row>
    <row r="75" customFormat="false" ht="15" hidden="false" customHeight="true" outlineLevel="0" collapsed="false">
      <c r="A75" s="167" t="str">
        <f aca="false">IF(PROJETS!A73="","",PROJETS!A73)</f>
        <v/>
      </c>
      <c r="B75" s="166" t="str">
        <f aca="false">IF($A75="","",SUMIFS(BUDGET!$AK$28:$AK$67,BUDGET!$H$28:$H$67,$A75))</f>
        <v/>
      </c>
      <c r="C75" s="166" t="str">
        <f aca="false">IF($A75="","",SUMIFS($AU$119:$AU$168,$E$119:$E$168,$A75,$AS$119:$AS$168,"Oui"))</f>
        <v/>
      </c>
      <c r="D75" s="166" t="str">
        <f aca="false">IF($A75="","",SUMIFS($AG$119:$AG$168,$E$119:$E$168,$A75))</f>
        <v/>
      </c>
      <c r="E75" s="166" t="str">
        <f aca="false">IF($A75="","",$B75-$D75)</f>
        <v/>
      </c>
      <c r="F75" s="168" t="n">
        <f aca="false">IF(OR($A75="",$B75=0),0,$D75/$B75)</f>
        <v>0</v>
      </c>
    </row>
    <row r="76" customFormat="false" ht="15" hidden="false" customHeight="true" outlineLevel="0" collapsed="false">
      <c r="A76" s="167" t="str">
        <f aca="false">IF(PROJETS!A74="","",PROJETS!A74)</f>
        <v/>
      </c>
      <c r="B76" s="166" t="str">
        <f aca="false">IF($A76="","",SUMIFS(BUDGET!$AK$28:$AK$67,BUDGET!$H$28:$H$67,$A76))</f>
        <v/>
      </c>
      <c r="C76" s="166" t="str">
        <f aca="false">IF($A76="","",SUMIFS($AU$119:$AU$168,$E$119:$E$168,$A76,$AS$119:$AS$168,"Oui"))</f>
        <v/>
      </c>
      <c r="D76" s="166" t="str">
        <f aca="false">IF($A76="","",SUMIFS($AG$119:$AG$168,$E$119:$E$168,$A76))</f>
        <v/>
      </c>
      <c r="E76" s="166" t="str">
        <f aca="false">IF($A76="","",$B76-$D76)</f>
        <v/>
      </c>
      <c r="F76" s="168" t="n">
        <f aca="false">IF(OR($A76="",$B76=0),0,$D76/$B76)</f>
        <v>0</v>
      </c>
    </row>
    <row r="77" customFormat="false" ht="15" hidden="false" customHeight="true" outlineLevel="0" collapsed="false">
      <c r="A77" s="167" t="str">
        <f aca="false">IF(PROJETS!A75="","",PROJETS!A75)</f>
        <v/>
      </c>
      <c r="B77" s="166" t="str">
        <f aca="false">IF($A77="","",SUMIFS(BUDGET!$AK$28:$AK$67,BUDGET!$H$28:$H$67,$A77))</f>
        <v/>
      </c>
      <c r="C77" s="166" t="str">
        <f aca="false">IF($A77="","",SUMIFS($AU$119:$AU$168,$E$119:$E$168,$A77,$AS$119:$AS$168,"Oui"))</f>
        <v/>
      </c>
      <c r="D77" s="166" t="str">
        <f aca="false">IF($A77="","",SUMIFS($AG$119:$AG$168,$E$119:$E$168,$A77))</f>
        <v/>
      </c>
      <c r="E77" s="166" t="str">
        <f aca="false">IF($A77="","",$B77-$D77)</f>
        <v/>
      </c>
      <c r="F77" s="168" t="n">
        <f aca="false">IF(OR($A77="",$B77=0),0,$D77/$B77)</f>
        <v>0</v>
      </c>
    </row>
    <row r="79" customFormat="false" ht="15" hidden="false" customHeight="true" outlineLevel="0" collapsed="false">
      <c r="A79" s="55" t="s">
        <v>2196</v>
      </c>
      <c r="B79" s="55"/>
      <c r="C79" s="55"/>
      <c r="D79" s="55"/>
      <c r="E79" s="55"/>
    </row>
    <row r="80" customFormat="false" ht="21.75" hidden="false" customHeight="true" outlineLevel="0" collapsed="false">
      <c r="A80" s="142" t="s">
        <v>2026</v>
      </c>
      <c r="B80" s="142" t="s">
        <v>1596</v>
      </c>
      <c r="C80" s="142" t="s">
        <v>2191</v>
      </c>
      <c r="D80" s="142" t="s">
        <v>1599</v>
      </c>
      <c r="E80" s="142" t="s">
        <v>2107</v>
      </c>
    </row>
    <row r="81" customFormat="false" ht="15" hidden="false" customHeight="true" outlineLevel="0" collapsed="false">
      <c r="A81" s="167" t="str">
        <f aca="false">IF(DONATEURS!A56="","",DONATEURS!A56)</f>
        <v>DON00001</v>
      </c>
      <c r="B81" s="166" t="n">
        <f aca="false">IF($A81="","",SUMIFS(RECETTES!$AB$39:$AB$88,RECETTES!$D$39:$D$88,$A81))</f>
        <v>0</v>
      </c>
      <c r="C81" s="166" t="n">
        <f aca="false">IF($A81="","",SUMIFS($AG$119:$AG$168,$K$119:$K$168,$A81))</f>
        <v>0</v>
      </c>
      <c r="D81" s="166" t="n">
        <f aca="false">IF($A81="","",$B81-$C81)</f>
        <v>0</v>
      </c>
      <c r="E81" s="164" t="n">
        <f aca="false">IF($A81="","",COUNTIFS($K$119:$K$168,$A81))</f>
        <v>0</v>
      </c>
    </row>
    <row r="82" customFormat="false" ht="15" hidden="false" customHeight="true" outlineLevel="0" collapsed="false">
      <c r="A82" s="167" t="str">
        <f aca="false">IF(DONATEURS!A57="","",DONATEURS!A57)</f>
        <v/>
      </c>
      <c r="B82" s="166" t="str">
        <f aca="false">IF($A82="","",SUMIFS(RECETTES!$AB$39:$AB$88,RECETTES!$D$39:$D$88,$A82))</f>
        <v/>
      </c>
      <c r="C82" s="166" t="str">
        <f aca="false">IF($A82="","",SUMIFS($AG$119:$AG$168,$K$119:$K$168,$A82))</f>
        <v/>
      </c>
      <c r="D82" s="166" t="str">
        <f aca="false">IF($A82="","",$B82-$C82)</f>
        <v/>
      </c>
      <c r="E82" s="164" t="str">
        <f aca="false">IF($A82="","",COUNTIFS($K$119:$K$168,$A82))</f>
        <v/>
      </c>
    </row>
    <row r="83" customFormat="false" ht="15" hidden="false" customHeight="true" outlineLevel="0" collapsed="false">
      <c r="A83" s="167" t="str">
        <f aca="false">IF(DONATEURS!A58="","",DONATEURS!A58)</f>
        <v/>
      </c>
      <c r="B83" s="166" t="str">
        <f aca="false">IF($A83="","",SUMIFS(RECETTES!$AB$39:$AB$88,RECETTES!$D$39:$D$88,$A83))</f>
        <v/>
      </c>
      <c r="C83" s="166" t="str">
        <f aca="false">IF($A83="","",SUMIFS($AG$119:$AG$168,$K$119:$K$168,$A83))</f>
        <v/>
      </c>
      <c r="D83" s="166" t="str">
        <f aca="false">IF($A83="","",$B83-$C83)</f>
        <v/>
      </c>
      <c r="E83" s="164" t="str">
        <f aca="false">IF($A83="","",COUNTIFS($K$119:$K$168,$A83))</f>
        <v/>
      </c>
    </row>
    <row r="84" customFormat="false" ht="15" hidden="false" customHeight="true" outlineLevel="0" collapsed="false">
      <c r="A84" s="167" t="str">
        <f aca="false">IF(DONATEURS!A59="","",DONATEURS!A59)</f>
        <v/>
      </c>
      <c r="B84" s="166" t="str">
        <f aca="false">IF($A84="","",SUMIFS(RECETTES!$AB$39:$AB$88,RECETTES!$D$39:$D$88,$A84))</f>
        <v/>
      </c>
      <c r="C84" s="166" t="str">
        <f aca="false">IF($A84="","",SUMIFS($AG$119:$AG$168,$K$119:$K$168,$A84))</f>
        <v/>
      </c>
      <c r="D84" s="166" t="str">
        <f aca="false">IF($A84="","",$B84-$C84)</f>
        <v/>
      </c>
      <c r="E84" s="164" t="str">
        <f aca="false">IF($A84="","",COUNTIFS($K$119:$K$168,$A84))</f>
        <v/>
      </c>
    </row>
    <row r="85" customFormat="false" ht="15" hidden="false" customHeight="true" outlineLevel="0" collapsed="false">
      <c r="A85" s="167" t="str">
        <f aca="false">IF(DONATEURS!A60="","",DONATEURS!A60)</f>
        <v/>
      </c>
      <c r="B85" s="166" t="str">
        <f aca="false">IF($A85="","",SUMIFS(RECETTES!$AB$39:$AB$88,RECETTES!$D$39:$D$88,$A85))</f>
        <v/>
      </c>
      <c r="C85" s="166" t="str">
        <f aca="false">IF($A85="","",SUMIFS($AG$119:$AG$168,$K$119:$K$168,$A85))</f>
        <v/>
      </c>
      <c r="D85" s="166" t="str">
        <f aca="false">IF($A85="","",$B85-$C85)</f>
        <v/>
      </c>
      <c r="E85" s="164" t="str">
        <f aca="false">IF($A85="","",COUNTIFS($K$119:$K$168,$A85))</f>
        <v/>
      </c>
    </row>
    <row r="86" customFormat="false" ht="15" hidden="false" customHeight="true" outlineLevel="0" collapsed="false">
      <c r="A86" s="167" t="str">
        <f aca="false">IF(DONATEURS!A61="","",DONATEURS!A61)</f>
        <v/>
      </c>
      <c r="B86" s="166" t="str">
        <f aca="false">IF($A86="","",SUMIFS(RECETTES!$AB$39:$AB$88,RECETTES!$D$39:$D$88,$A86))</f>
        <v/>
      </c>
      <c r="C86" s="166" t="str">
        <f aca="false">IF($A86="","",SUMIFS($AG$119:$AG$168,$K$119:$K$168,$A86))</f>
        <v/>
      </c>
      <c r="D86" s="166" t="str">
        <f aca="false">IF($A86="","",$B86-$C86)</f>
        <v/>
      </c>
      <c r="E86" s="164" t="str">
        <f aca="false">IF($A86="","",COUNTIFS($K$119:$K$168,$A86))</f>
        <v/>
      </c>
    </row>
    <row r="87" customFormat="false" ht="15" hidden="false" customHeight="true" outlineLevel="0" collapsed="false">
      <c r="A87" s="167" t="str">
        <f aca="false">IF(DONATEURS!A62="","",DONATEURS!A62)</f>
        <v/>
      </c>
      <c r="B87" s="166" t="str">
        <f aca="false">IF($A87="","",SUMIFS(RECETTES!$AB$39:$AB$88,RECETTES!$D$39:$D$88,$A87))</f>
        <v/>
      </c>
      <c r="C87" s="166" t="str">
        <f aca="false">IF($A87="","",SUMIFS($AG$119:$AG$168,$K$119:$K$168,$A87))</f>
        <v/>
      </c>
      <c r="D87" s="166" t="str">
        <f aca="false">IF($A87="","",$B87-$C87)</f>
        <v/>
      </c>
      <c r="E87" s="164" t="str">
        <f aca="false">IF($A87="","",COUNTIFS($K$119:$K$168,$A87))</f>
        <v/>
      </c>
    </row>
    <row r="88" customFormat="false" ht="15" hidden="false" customHeight="true" outlineLevel="0" collapsed="false">
      <c r="A88" s="167" t="str">
        <f aca="false">IF(DONATEURS!A63="","",DONATEURS!A63)</f>
        <v/>
      </c>
      <c r="B88" s="166" t="str">
        <f aca="false">IF($A88="","",SUMIFS(RECETTES!$AB$39:$AB$88,RECETTES!$D$39:$D$88,$A88))</f>
        <v/>
      </c>
      <c r="C88" s="166" t="str">
        <f aca="false">IF($A88="","",SUMIFS($AG$119:$AG$168,$K$119:$K$168,$A88))</f>
        <v/>
      </c>
      <c r="D88" s="166" t="str">
        <f aca="false">IF($A88="","",$B88-$C88)</f>
        <v/>
      </c>
      <c r="E88" s="164" t="str">
        <f aca="false">IF($A88="","",COUNTIFS($K$119:$K$168,$A88))</f>
        <v/>
      </c>
    </row>
    <row r="89" customFormat="false" ht="15" hidden="false" customHeight="true" outlineLevel="0" collapsed="false">
      <c r="A89" s="167" t="str">
        <f aca="false">IF(DONATEURS!A64="","",DONATEURS!A64)</f>
        <v/>
      </c>
      <c r="B89" s="166" t="str">
        <f aca="false">IF($A89="","",SUMIFS(RECETTES!$AB$39:$AB$88,RECETTES!$D$39:$D$88,$A89))</f>
        <v/>
      </c>
      <c r="C89" s="166" t="str">
        <f aca="false">IF($A89="","",SUMIFS($AG$119:$AG$168,$K$119:$K$168,$A89))</f>
        <v/>
      </c>
      <c r="D89" s="166" t="str">
        <f aca="false">IF($A89="","",$B89-$C89)</f>
        <v/>
      </c>
      <c r="E89" s="164" t="str">
        <f aca="false">IF($A89="","",COUNTIFS($K$119:$K$168,$A89))</f>
        <v/>
      </c>
    </row>
    <row r="90" customFormat="false" ht="15" hidden="false" customHeight="true" outlineLevel="0" collapsed="false">
      <c r="A90" s="167" t="str">
        <f aca="false">IF(DONATEURS!A65="","",DONATEURS!A65)</f>
        <v/>
      </c>
      <c r="B90" s="166" t="str">
        <f aca="false">IF($A90="","",SUMIFS(RECETTES!$AB$39:$AB$88,RECETTES!$D$39:$D$88,$A90))</f>
        <v/>
      </c>
      <c r="C90" s="166" t="str">
        <f aca="false">IF($A90="","",SUMIFS($AG$119:$AG$168,$K$119:$K$168,$A90))</f>
        <v/>
      </c>
      <c r="D90" s="166" t="str">
        <f aca="false">IF($A90="","",$B90-$C90)</f>
        <v/>
      </c>
      <c r="E90" s="164" t="str">
        <f aca="false">IF($A90="","",COUNTIFS($K$119:$K$168,$A90))</f>
        <v/>
      </c>
    </row>
    <row r="91" customFormat="false" ht="15" hidden="false" customHeight="true" outlineLevel="0" collapsed="false">
      <c r="A91" s="167" t="str">
        <f aca="false">IF(DONATEURS!A66="","",DONATEURS!A66)</f>
        <v/>
      </c>
      <c r="B91" s="166" t="str">
        <f aca="false">IF($A91="","",SUMIFS(RECETTES!$AB$39:$AB$88,RECETTES!$D$39:$D$88,$A91))</f>
        <v/>
      </c>
      <c r="C91" s="166" t="str">
        <f aca="false">IF($A91="","",SUMIFS($AG$119:$AG$168,$K$119:$K$168,$A91))</f>
        <v/>
      </c>
      <c r="D91" s="166" t="str">
        <f aca="false">IF($A91="","",$B91-$C91)</f>
        <v/>
      </c>
      <c r="E91" s="164" t="str">
        <f aca="false">IF($A91="","",COUNTIFS($K$119:$K$168,$A91))</f>
        <v/>
      </c>
    </row>
    <row r="92" customFormat="false" ht="15" hidden="false" customHeight="true" outlineLevel="0" collapsed="false">
      <c r="A92" s="167" t="str">
        <f aca="false">IF(DONATEURS!A67="","",DONATEURS!A67)</f>
        <v/>
      </c>
      <c r="B92" s="166" t="str">
        <f aca="false">IF($A92="","",SUMIFS(RECETTES!$AB$39:$AB$88,RECETTES!$D$39:$D$88,$A92))</f>
        <v/>
      </c>
      <c r="C92" s="166" t="str">
        <f aca="false">IF($A92="","",SUMIFS($AG$119:$AG$168,$K$119:$K$168,$A92))</f>
        <v/>
      </c>
      <c r="D92" s="166" t="str">
        <f aca="false">IF($A92="","",$B92-$C92)</f>
        <v/>
      </c>
      <c r="E92" s="164" t="str">
        <f aca="false">IF($A92="","",COUNTIFS($K$119:$K$168,$A92))</f>
        <v/>
      </c>
    </row>
    <row r="93" customFormat="false" ht="15" hidden="false" customHeight="true" outlineLevel="0" collapsed="false">
      <c r="A93" s="167" t="str">
        <f aca="false">IF(DONATEURS!A68="","",DONATEURS!A68)</f>
        <v/>
      </c>
      <c r="B93" s="166" t="str">
        <f aca="false">IF($A93="","",SUMIFS(RECETTES!$AB$39:$AB$88,RECETTES!$D$39:$D$88,$A93))</f>
        <v/>
      </c>
      <c r="C93" s="166" t="str">
        <f aca="false">IF($A93="","",SUMIFS($AG$119:$AG$168,$K$119:$K$168,$A93))</f>
        <v/>
      </c>
      <c r="D93" s="166" t="str">
        <f aca="false">IF($A93="","",$B93-$C93)</f>
        <v/>
      </c>
      <c r="E93" s="164" t="str">
        <f aca="false">IF($A93="","",COUNTIFS($K$119:$K$168,$A93))</f>
        <v/>
      </c>
    </row>
    <row r="94" customFormat="false" ht="15" hidden="false" customHeight="true" outlineLevel="0" collapsed="false">
      <c r="A94" s="167" t="str">
        <f aca="false">IF(DONATEURS!A69="","",DONATEURS!A69)</f>
        <v/>
      </c>
      <c r="B94" s="166" t="str">
        <f aca="false">IF($A94="","",SUMIFS(RECETTES!$AB$39:$AB$88,RECETTES!$D$39:$D$88,$A94))</f>
        <v/>
      </c>
      <c r="C94" s="166" t="str">
        <f aca="false">IF($A94="","",SUMIFS($AG$119:$AG$168,$K$119:$K$168,$A94))</f>
        <v/>
      </c>
      <c r="D94" s="166" t="str">
        <f aca="false">IF($A94="","",$B94-$C94)</f>
        <v/>
      </c>
      <c r="E94" s="164" t="str">
        <f aca="false">IF($A94="","",COUNTIFS($K$119:$K$168,$A94))</f>
        <v/>
      </c>
    </row>
    <row r="95" customFormat="false" ht="15" hidden="false" customHeight="true" outlineLevel="0" collapsed="false">
      <c r="A95" s="167" t="str">
        <f aca="false">IF(DONATEURS!A70="","",DONATEURS!A70)</f>
        <v/>
      </c>
      <c r="B95" s="166" t="str">
        <f aca="false">IF($A95="","",SUMIFS(RECETTES!$AB$39:$AB$88,RECETTES!$D$39:$D$88,$A95))</f>
        <v/>
      </c>
      <c r="C95" s="166" t="str">
        <f aca="false">IF($A95="","",SUMIFS($AG$119:$AG$168,$K$119:$K$168,$A95))</f>
        <v/>
      </c>
      <c r="D95" s="166" t="str">
        <f aca="false">IF($A95="","",$B95-$C95)</f>
        <v/>
      </c>
      <c r="E95" s="164" t="str">
        <f aca="false">IF($A95="","",COUNTIFS($K$119:$K$168,$A95))</f>
        <v/>
      </c>
    </row>
    <row r="96" customFormat="false" ht="15" hidden="false" customHeight="true" outlineLevel="0" collapsed="false">
      <c r="A96" s="167" t="str">
        <f aca="false">IF(DONATEURS!A71="","",DONATEURS!A71)</f>
        <v/>
      </c>
      <c r="B96" s="166" t="str">
        <f aca="false">IF($A96="","",SUMIFS(RECETTES!$AB$39:$AB$88,RECETTES!$D$39:$D$88,$A96))</f>
        <v/>
      </c>
      <c r="C96" s="166" t="str">
        <f aca="false">IF($A96="","",SUMIFS($AG$119:$AG$168,$K$119:$K$168,$A96))</f>
        <v/>
      </c>
      <c r="D96" s="166" t="str">
        <f aca="false">IF($A96="","",$B96-$C96)</f>
        <v/>
      </c>
      <c r="E96" s="164" t="str">
        <f aca="false">IF($A96="","",COUNTIFS($K$119:$K$168,$A96))</f>
        <v/>
      </c>
    </row>
    <row r="97" customFormat="false" ht="15" hidden="false" customHeight="true" outlineLevel="0" collapsed="false">
      <c r="A97" s="167" t="str">
        <f aca="false">IF(DONATEURS!A72="","",DONATEURS!A72)</f>
        <v/>
      </c>
      <c r="B97" s="166" t="str">
        <f aca="false">IF($A97="","",SUMIFS(RECETTES!$AB$39:$AB$88,RECETTES!$D$39:$D$88,$A97))</f>
        <v/>
      </c>
      <c r="C97" s="166" t="str">
        <f aca="false">IF($A97="","",SUMIFS($AG$119:$AG$168,$K$119:$K$168,$A97))</f>
        <v/>
      </c>
      <c r="D97" s="166" t="str">
        <f aca="false">IF($A97="","",$B97-$C97)</f>
        <v/>
      </c>
      <c r="E97" s="164" t="str">
        <f aca="false">IF($A97="","",COUNTIFS($K$119:$K$168,$A97))</f>
        <v/>
      </c>
    </row>
    <row r="98" customFormat="false" ht="15" hidden="false" customHeight="true" outlineLevel="0" collapsed="false">
      <c r="A98" s="167" t="str">
        <f aca="false">IF(DONATEURS!A73="","",DONATEURS!A73)</f>
        <v/>
      </c>
      <c r="B98" s="166" t="str">
        <f aca="false">IF($A98="","",SUMIFS(RECETTES!$AB$39:$AB$88,RECETTES!$D$39:$D$88,$A98))</f>
        <v/>
      </c>
      <c r="C98" s="166" t="str">
        <f aca="false">IF($A98="","",SUMIFS($AG$119:$AG$168,$K$119:$K$168,$A98))</f>
        <v/>
      </c>
      <c r="D98" s="166" t="str">
        <f aca="false">IF($A98="","",$B98-$C98)</f>
        <v/>
      </c>
      <c r="E98" s="164" t="str">
        <f aca="false">IF($A98="","",COUNTIFS($K$119:$K$168,$A98))</f>
        <v/>
      </c>
    </row>
    <row r="99" customFormat="false" ht="15" hidden="false" customHeight="true" outlineLevel="0" collapsed="false">
      <c r="A99" s="167" t="str">
        <f aca="false">IF(DONATEURS!A74="","",DONATEURS!A74)</f>
        <v/>
      </c>
      <c r="B99" s="166" t="str">
        <f aca="false">IF($A99="","",SUMIFS(RECETTES!$AB$39:$AB$88,RECETTES!$D$39:$D$88,$A99))</f>
        <v/>
      </c>
      <c r="C99" s="166" t="str">
        <f aca="false">IF($A99="","",SUMIFS($AG$119:$AG$168,$K$119:$K$168,$A99))</f>
        <v/>
      </c>
      <c r="D99" s="166" t="str">
        <f aca="false">IF($A99="","",$B99-$C99)</f>
        <v/>
      </c>
      <c r="E99" s="164" t="str">
        <f aca="false">IF($A99="","",COUNTIFS($K$119:$K$168,$A99))</f>
        <v/>
      </c>
    </row>
    <row r="100" customFormat="false" ht="15" hidden="false" customHeight="true" outlineLevel="0" collapsed="false">
      <c r="A100" s="167" t="str">
        <f aca="false">IF(DONATEURS!A75="","",DONATEURS!A75)</f>
        <v/>
      </c>
      <c r="B100" s="166" t="str">
        <f aca="false">IF($A100="","",SUMIFS(RECETTES!$AB$39:$AB$88,RECETTES!$D$39:$D$88,$A100))</f>
        <v/>
      </c>
      <c r="C100" s="166" t="str">
        <f aca="false">IF($A100="","",SUMIFS($AG$119:$AG$168,$K$119:$K$168,$A100))</f>
        <v/>
      </c>
      <c r="D100" s="166" t="str">
        <f aca="false">IF($A100="","",$B100-$C100)</f>
        <v/>
      </c>
      <c r="E100" s="164" t="str">
        <f aca="false">IF($A100="","",COUNTIFS($K$119:$K$168,$A100))</f>
        <v/>
      </c>
    </row>
    <row r="102" customFormat="false" ht="15" hidden="false" customHeight="true" outlineLevel="0" collapsed="false">
      <c r="A102" s="55" t="s">
        <v>2197</v>
      </c>
      <c r="B102" s="55"/>
      <c r="C102" s="55"/>
    </row>
    <row r="103" customFormat="false" ht="21.75" hidden="false" customHeight="true" outlineLevel="0" collapsed="false">
      <c r="A103" s="142" t="s">
        <v>67</v>
      </c>
      <c r="B103" s="142" t="s">
        <v>2191</v>
      </c>
      <c r="C103" s="142" t="s">
        <v>2107</v>
      </c>
    </row>
    <row r="104" customFormat="false" ht="15" hidden="false" customHeight="true" outlineLevel="0" collapsed="false">
      <c r="A104" s="163" t="s">
        <v>69</v>
      </c>
      <c r="B104" s="166" t="n">
        <f aca="true">SUMIFS($AG$119:$AG$168,$BO$119:$BO$168,$A104,$BM$119:$BM$168,IF($I$8="Total",YEAR(TODAY()),VALUE($I$8)))</f>
        <v>0</v>
      </c>
      <c r="C104" s="164" t="n">
        <f aca="true">COUNTIFS($BO$119:$BO$168,$A104,$BM$119:$BM$168,IF($I$8="Total",YEAR(TODAY()),VALUE($I$8)))</f>
        <v>0</v>
      </c>
    </row>
    <row r="105" customFormat="false" ht="15" hidden="false" customHeight="true" outlineLevel="0" collapsed="false">
      <c r="A105" s="163" t="s">
        <v>71</v>
      </c>
      <c r="B105" s="166" t="n">
        <f aca="true">SUMIFS($AG$119:$AG$168,$BO$119:$BO$168,$A105,$BM$119:$BM$168,IF($I$8="Total",YEAR(TODAY()),VALUE($I$8)))</f>
        <v>0</v>
      </c>
      <c r="C105" s="164" t="n">
        <f aca="true">COUNTIFS($BO$119:$BO$168,$A105,$BM$119:$BM$168,IF($I$8="Total",YEAR(TODAY()),VALUE($I$8)))</f>
        <v>0</v>
      </c>
    </row>
    <row r="106" customFormat="false" ht="15" hidden="false" customHeight="true" outlineLevel="0" collapsed="false">
      <c r="A106" s="163" t="s">
        <v>72</v>
      </c>
      <c r="B106" s="166" t="n">
        <f aca="true">SUMIFS($AG$119:$AG$168,$BO$119:$BO$168,$A106,$BM$119:$BM$168,IF($I$8="Total",YEAR(TODAY()),VALUE($I$8)))</f>
        <v>0</v>
      </c>
      <c r="C106" s="164" t="n">
        <f aca="true">COUNTIFS($BO$119:$BO$168,$A106,$BM$119:$BM$168,IF($I$8="Total",YEAR(TODAY()),VALUE($I$8)))</f>
        <v>0</v>
      </c>
    </row>
    <row r="107" customFormat="false" ht="15" hidden="false" customHeight="true" outlineLevel="0" collapsed="false">
      <c r="A107" s="163" t="s">
        <v>73</v>
      </c>
      <c r="B107" s="166" t="n">
        <f aca="true">SUMIFS($AG$119:$AG$168,$BO$119:$BO$168,$A107,$BM$119:$BM$168,IF($I$8="Total",YEAR(TODAY()),VALUE($I$8)))</f>
        <v>0</v>
      </c>
      <c r="C107" s="164" t="n">
        <f aca="true">COUNTIFS($BO$119:$BO$168,$A107,$BM$119:$BM$168,IF($I$8="Total",YEAR(TODAY()),VALUE($I$8)))</f>
        <v>0</v>
      </c>
    </row>
    <row r="108" customFormat="false" ht="15" hidden="false" customHeight="true" outlineLevel="0" collapsed="false">
      <c r="A108" s="163" t="s">
        <v>75</v>
      </c>
      <c r="B108" s="166" t="n">
        <f aca="true">SUMIFS($AG$119:$AG$168,$BO$119:$BO$168,$A108,$BM$119:$BM$168,IF($I$8="Total",YEAR(TODAY()),VALUE($I$8)))</f>
        <v>0</v>
      </c>
      <c r="C108" s="164" t="n">
        <f aca="true">COUNTIFS($BO$119:$BO$168,$A108,$BM$119:$BM$168,IF($I$8="Total",YEAR(TODAY()),VALUE($I$8)))</f>
        <v>0</v>
      </c>
    </row>
    <row r="109" customFormat="false" ht="15" hidden="false" customHeight="true" outlineLevel="0" collapsed="false">
      <c r="A109" s="163" t="s">
        <v>76</v>
      </c>
      <c r="B109" s="166" t="n">
        <f aca="true">SUMIFS($AG$119:$AG$168,$BO$119:$BO$168,$A109,$BM$119:$BM$168,IF($I$8="Total",YEAR(TODAY()),VALUE($I$8)))</f>
        <v>0</v>
      </c>
      <c r="C109" s="164" t="n">
        <f aca="true">COUNTIFS($BO$119:$BO$168,$A109,$BM$119:$BM$168,IF($I$8="Total",YEAR(TODAY()),VALUE($I$8)))</f>
        <v>0</v>
      </c>
    </row>
    <row r="110" customFormat="false" ht="15" hidden="false" customHeight="true" outlineLevel="0" collapsed="false">
      <c r="A110" s="163" t="s">
        <v>77</v>
      </c>
      <c r="B110" s="166" t="n">
        <f aca="true">SUMIFS($AG$119:$AG$168,$BO$119:$BO$168,$A110,$BM$119:$BM$168,IF($I$8="Total",YEAR(TODAY()),VALUE($I$8)))</f>
        <v>0</v>
      </c>
      <c r="C110" s="164" t="n">
        <f aca="true">COUNTIFS($BO$119:$BO$168,$A110,$BM$119:$BM$168,IF($I$8="Total",YEAR(TODAY()),VALUE($I$8)))</f>
        <v>0</v>
      </c>
    </row>
    <row r="111" customFormat="false" ht="15" hidden="false" customHeight="true" outlineLevel="0" collapsed="false">
      <c r="A111" s="163" t="s">
        <v>79</v>
      </c>
      <c r="B111" s="166" t="n">
        <f aca="true">SUMIFS($AG$119:$AG$168,$BO$119:$BO$168,$A111,$BM$119:$BM$168,IF($I$8="Total",YEAR(TODAY()),VALUE($I$8)))</f>
        <v>0</v>
      </c>
      <c r="C111" s="164" t="n">
        <f aca="true">COUNTIFS($BO$119:$BO$168,$A111,$BM$119:$BM$168,IF($I$8="Total",YEAR(TODAY()),VALUE($I$8)))</f>
        <v>0</v>
      </c>
    </row>
    <row r="112" customFormat="false" ht="15" hidden="false" customHeight="true" outlineLevel="0" collapsed="false">
      <c r="A112" s="163" t="s">
        <v>80</v>
      </c>
      <c r="B112" s="166" t="n">
        <f aca="true">SUMIFS($AG$119:$AG$168,$BO$119:$BO$168,$A112,$BM$119:$BM$168,IF($I$8="Total",YEAR(TODAY()),VALUE($I$8)))</f>
        <v>0</v>
      </c>
      <c r="C112" s="164" t="n">
        <f aca="true">COUNTIFS($BO$119:$BO$168,$A112,$BM$119:$BM$168,IF($I$8="Total",YEAR(TODAY()),VALUE($I$8)))</f>
        <v>0</v>
      </c>
    </row>
    <row r="113" customFormat="false" ht="15" hidden="false" customHeight="true" outlineLevel="0" collapsed="false">
      <c r="A113" s="163" t="s">
        <v>81</v>
      </c>
      <c r="B113" s="166" t="n">
        <f aca="true">SUMIFS($AG$119:$AG$168,$BO$119:$BO$168,$A113,$BM$119:$BM$168,IF($I$8="Total",YEAR(TODAY()),VALUE($I$8)))</f>
        <v>0</v>
      </c>
      <c r="C113" s="164" t="n">
        <f aca="true">COUNTIFS($BO$119:$BO$168,$A113,$BM$119:$BM$168,IF($I$8="Total",YEAR(TODAY()),VALUE($I$8)))</f>
        <v>0</v>
      </c>
    </row>
    <row r="114" customFormat="false" ht="15" hidden="false" customHeight="true" outlineLevel="0" collapsed="false">
      <c r="A114" s="163" t="s">
        <v>83</v>
      </c>
      <c r="B114" s="166" t="n">
        <f aca="true">SUMIFS($AG$119:$AG$168,$BO$119:$BO$168,$A114,$BM$119:$BM$168,IF($I$8="Total",YEAR(TODAY()),VALUE($I$8)))</f>
        <v>0</v>
      </c>
      <c r="C114" s="164" t="n">
        <f aca="true">COUNTIFS($BO$119:$BO$168,$A114,$BM$119:$BM$168,IF($I$8="Total",YEAR(TODAY()),VALUE($I$8)))</f>
        <v>0</v>
      </c>
    </row>
    <row r="115" customFormat="false" ht="15" hidden="false" customHeight="true" outlineLevel="0" collapsed="false">
      <c r="A115" s="163" t="s">
        <v>84</v>
      </c>
      <c r="B115" s="166" t="n">
        <f aca="true">SUMIFS($AG$119:$AG$168,$BO$119:$BO$168,$A115,$BM$119:$BM$168,IF($I$8="Total",YEAR(TODAY()),VALUE($I$8)))</f>
        <v>0</v>
      </c>
      <c r="C115" s="164" t="n">
        <f aca="true">COUNTIFS($BO$119:$BO$168,$A115,$BM$119:$BM$168,IF($I$8="Total",YEAR(TODAY()),VALUE($I$8)))</f>
        <v>0</v>
      </c>
    </row>
    <row r="117" customFormat="false" ht="15" hidden="false" customHeight="true" outlineLevel="0" collapsed="false">
      <c r="A117" s="55" t="s">
        <v>2198</v>
      </c>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55"/>
      <c r="BJ117" s="55"/>
      <c r="BK117" s="55"/>
      <c r="BL117" s="55"/>
      <c r="BM117" s="55"/>
      <c r="BN117" s="55"/>
      <c r="BO117" s="55"/>
      <c r="BP117" s="55"/>
      <c r="BQ117" s="55"/>
      <c r="BR117" s="55"/>
      <c r="BS117" s="55"/>
      <c r="BT117" s="55"/>
      <c r="BU117" s="55"/>
      <c r="BV117" s="55"/>
    </row>
    <row r="118" customFormat="false" ht="33.75" hidden="false" customHeight="true" outlineLevel="0" collapsed="false">
      <c r="A118" s="142" t="s">
        <v>2199</v>
      </c>
      <c r="B118" s="142" t="s">
        <v>2123</v>
      </c>
      <c r="C118" s="142" t="s">
        <v>2200</v>
      </c>
      <c r="D118" s="142" t="s">
        <v>2028</v>
      </c>
      <c r="E118" s="142" t="s">
        <v>1570</v>
      </c>
      <c r="F118" s="142" t="s">
        <v>1508</v>
      </c>
      <c r="G118" s="142" t="s">
        <v>1327</v>
      </c>
      <c r="H118" s="142" t="s">
        <v>2122</v>
      </c>
      <c r="I118" s="142" t="s">
        <v>1696</v>
      </c>
      <c r="J118" s="142" t="s">
        <v>2025</v>
      </c>
      <c r="K118" s="142" t="s">
        <v>1909</v>
      </c>
      <c r="L118" s="142" t="s">
        <v>2026</v>
      </c>
      <c r="M118" s="142" t="s">
        <v>2027</v>
      </c>
      <c r="N118" s="142" t="s">
        <v>814</v>
      </c>
      <c r="O118" s="142" t="s">
        <v>1656</v>
      </c>
      <c r="P118" s="142" t="s">
        <v>2172</v>
      </c>
      <c r="Q118" s="142" t="s">
        <v>2173</v>
      </c>
      <c r="R118" s="142" t="s">
        <v>2201</v>
      </c>
      <c r="S118" s="142" t="s">
        <v>1466</v>
      </c>
      <c r="T118" s="142" t="s">
        <v>2202</v>
      </c>
      <c r="U118" s="142" t="s">
        <v>2203</v>
      </c>
      <c r="V118" s="142" t="s">
        <v>2204</v>
      </c>
      <c r="W118" s="142" t="s">
        <v>2205</v>
      </c>
      <c r="X118" s="142" t="s">
        <v>1552</v>
      </c>
      <c r="Y118" s="142" t="s">
        <v>775</v>
      </c>
      <c r="Z118" s="142" t="s">
        <v>2206</v>
      </c>
      <c r="AA118" s="142" t="s">
        <v>2207</v>
      </c>
      <c r="AB118" s="142" t="s">
        <v>2208</v>
      </c>
      <c r="AC118" s="142" t="s">
        <v>2209</v>
      </c>
      <c r="AD118" s="142" t="s">
        <v>2210</v>
      </c>
      <c r="AE118" s="142" t="s">
        <v>1368</v>
      </c>
      <c r="AF118" s="142" t="s">
        <v>2127</v>
      </c>
      <c r="AG118" s="142" t="s">
        <v>2211</v>
      </c>
      <c r="AH118" s="142" t="s">
        <v>2212</v>
      </c>
      <c r="AI118" s="142" t="s">
        <v>2213</v>
      </c>
      <c r="AJ118" s="142" t="s">
        <v>2214</v>
      </c>
      <c r="AK118" s="142" t="s">
        <v>2171</v>
      </c>
      <c r="AL118" s="142" t="s">
        <v>2215</v>
      </c>
      <c r="AM118" s="142" t="s">
        <v>2216</v>
      </c>
      <c r="AN118" s="142" t="s">
        <v>2217</v>
      </c>
      <c r="AO118" s="142" t="s">
        <v>2218</v>
      </c>
      <c r="AP118" s="142" t="s">
        <v>2219</v>
      </c>
      <c r="AQ118" s="142" t="s">
        <v>2220</v>
      </c>
      <c r="AR118" s="142" t="s">
        <v>2221</v>
      </c>
      <c r="AS118" s="142" t="s">
        <v>2222</v>
      </c>
      <c r="AT118" s="142" t="s">
        <v>2223</v>
      </c>
      <c r="AU118" s="142" t="s">
        <v>1998</v>
      </c>
      <c r="AV118" s="142" t="s">
        <v>2224</v>
      </c>
      <c r="AW118" s="142" t="s">
        <v>2225</v>
      </c>
      <c r="AX118" s="142" t="s">
        <v>2226</v>
      </c>
      <c r="AY118" s="142" t="s">
        <v>2227</v>
      </c>
      <c r="AZ118" s="142" t="s">
        <v>2228</v>
      </c>
      <c r="BA118" s="142" t="s">
        <v>2134</v>
      </c>
      <c r="BB118" s="142" t="s">
        <v>2135</v>
      </c>
      <c r="BC118" s="142" t="s">
        <v>2136</v>
      </c>
      <c r="BD118" s="142" t="s">
        <v>2229</v>
      </c>
      <c r="BE118" s="142" t="s">
        <v>2138</v>
      </c>
      <c r="BF118" s="142" t="s">
        <v>2230</v>
      </c>
      <c r="BG118" s="142" t="s">
        <v>2231</v>
      </c>
      <c r="BH118" s="142" t="s">
        <v>2149</v>
      </c>
      <c r="BI118" s="142" t="s">
        <v>2150</v>
      </c>
      <c r="BJ118" s="142" t="s">
        <v>2232</v>
      </c>
      <c r="BK118" s="142" t="s">
        <v>2233</v>
      </c>
      <c r="BL118" s="142" t="s">
        <v>2234</v>
      </c>
      <c r="BM118" s="142" t="s">
        <v>53</v>
      </c>
      <c r="BN118" s="142" t="s">
        <v>68</v>
      </c>
      <c r="BO118" s="142" t="s">
        <v>67</v>
      </c>
      <c r="BP118" s="142" t="s">
        <v>2235</v>
      </c>
      <c r="BQ118" s="142" t="s">
        <v>2236</v>
      </c>
      <c r="BR118" s="142" t="s">
        <v>2237</v>
      </c>
      <c r="BS118" s="142" t="s">
        <v>2044</v>
      </c>
      <c r="BT118" s="142" t="s">
        <v>1533</v>
      </c>
      <c r="BU118" s="142" t="s">
        <v>2047</v>
      </c>
      <c r="BV118" s="142" t="s">
        <v>2238</v>
      </c>
    </row>
    <row r="119" customFormat="false" ht="15" hidden="false" customHeight="true" outlineLevel="0" collapsed="false">
      <c r="A119" s="164" t="str">
        <f aca="false">IF($V119="","","DEP"&amp;TEXT(ROW()-118,"00000"))</f>
        <v/>
      </c>
      <c r="B119" s="169" t="s">
        <v>2239</v>
      </c>
      <c r="C119" s="167" t="n">
        <f aca="false">IF($B119="","",IFERROR(INDEX(BUDGET!$T$28:$T$67,MATCH($B119,BUDGET!$A$28:$A$67,0)),""))</f>
        <v>0</v>
      </c>
      <c r="D119" s="167" t="str">
        <f aca="false">IF($B119="","",IFERROR(INDEX(BUDGET!$S$28:$S$67,MATCH($B119,BUDGET!$A$28:$A$67,0)),""))</f>
        <v>Maintenance</v>
      </c>
      <c r="E119" s="169" t="s">
        <v>1539</v>
      </c>
      <c r="F119" s="167" t="str">
        <f aca="false">IF($E119="","",IFERROR(INDEX(PROJETS!$C$56:$C$95,MATCH($E119,PROJETS!$A$56:$A$95,0)),""))</f>
        <v>Projet d'appui a l'insertion professionnelle des jeunes</v>
      </c>
      <c r="G119" s="167" t="str">
        <f aca="false">IF($E119="","",IFERROR(INDEX(PROJETS!$J$56:$J$95,MATCH($E119,PROJETS!$A$56:$A$95,0)),""))</f>
        <v>Education</v>
      </c>
      <c r="H119" s="167" t="str">
        <f aca="false">IF($E119="","",IFERROR(INDEX(PROJETS!$N$56:$N$95,MATCH($E119,PROJETS!$A$56:$A$95,0)),""))</f>
        <v>Jean MABIALA</v>
      </c>
      <c r="I119" s="169" t="s">
        <v>2049</v>
      </c>
      <c r="J119" s="167" t="str">
        <f aca="false">IF($I119="","",IFERROR(INDEX(ACTIVITES!$G$56:$G$105,MATCH($I119,ACTIVITES!$A$56:$A$105,0)),""))</f>
        <v>VBG</v>
      </c>
      <c r="K119" s="169"/>
      <c r="L119" s="167" t="str">
        <f aca="false">IF($K119="","",IFERROR(INDEX(DONATEURS!$B$56:$B$205,MATCH($K119,DONATEURS!$A$56:$A$205,0)),""))</f>
        <v/>
      </c>
      <c r="M119" s="170"/>
      <c r="N119" s="170"/>
      <c r="O119" s="169" t="s">
        <v>534</v>
      </c>
      <c r="P119" s="169"/>
      <c r="Q119" s="169" t="s">
        <v>2178</v>
      </c>
      <c r="R119" s="170"/>
      <c r="S119" s="169" t="s">
        <v>2240</v>
      </c>
      <c r="T119" s="169"/>
      <c r="U119" s="170"/>
      <c r="V119" s="170"/>
      <c r="W119" s="170"/>
      <c r="X119" s="171"/>
      <c r="Y119" s="169"/>
      <c r="Z119" s="171"/>
      <c r="AA119" s="166" t="str">
        <f aca="false">IF(OR($X119="",$Z119=""),"",$X119*$Z119)</f>
        <v/>
      </c>
      <c r="AB119" s="171"/>
      <c r="AC119" s="171"/>
      <c r="AD119" s="166" t="n">
        <v>20000</v>
      </c>
      <c r="AE119" s="169" t="s">
        <v>1663</v>
      </c>
      <c r="AF119" s="172"/>
      <c r="AG119" s="166" t="n">
        <v>29999</v>
      </c>
      <c r="AH119" s="169" t="s">
        <v>613</v>
      </c>
      <c r="AI119" s="170"/>
      <c r="AJ119" s="170"/>
      <c r="AK119" s="169"/>
      <c r="AL119" s="170"/>
      <c r="AM119" s="170"/>
      <c r="AN119" s="173"/>
      <c r="AO119" s="170"/>
      <c r="AP119" s="170"/>
      <c r="AQ119" s="173"/>
      <c r="AR119" s="169"/>
      <c r="AS119" s="169"/>
      <c r="AT119" s="173"/>
      <c r="AU119" s="171"/>
      <c r="AV119" s="170"/>
      <c r="AW119" s="169"/>
      <c r="AX119" s="173"/>
      <c r="AY119" s="171"/>
      <c r="AZ119" s="166" t="n">
        <f aca="false">IF($AG119="","",MAX($AG119-IF($AY119="",0,$AY119),0))</f>
        <v>29999</v>
      </c>
      <c r="BA119" s="169"/>
      <c r="BB119" s="170"/>
      <c r="BC119" s="173"/>
      <c r="BD119" s="169"/>
      <c r="BE119" s="170"/>
      <c r="BF119" s="164" t="str">
        <f aca="false">IF($V119="","",IF($BD119="Oui","Oui","Non"))</f>
        <v/>
      </c>
      <c r="BG119" s="169"/>
      <c r="BH119" s="173"/>
      <c r="BI119" s="170"/>
      <c r="BJ119" s="170"/>
      <c r="BK119" s="170"/>
      <c r="BL119" s="173"/>
      <c r="BM119" s="164" t="str">
        <f aca="false">IF($BL119="","",YEAR($BL119))</f>
        <v/>
      </c>
      <c r="BN119" s="174" t="str">
        <f aca="false">IF($BL119="","",INDEX(PARAMETRES!$C$53:$C$65,MONTH($BL119)))</f>
        <v/>
      </c>
      <c r="BO119" s="111" t="str">
        <f aca="false">IF($BL119="","",INDEX(PARAMETRES!$B$53:$B$65,MONTH($BL119)))</f>
        <v/>
      </c>
      <c r="BP119" s="166" t="n">
        <f aca="false">IFERROR(INDEX(BUDGET!$AL$28:$AL$67,MATCH($B119,BUDGET!$A$28:$A$67,0)),"")</f>
        <v>0</v>
      </c>
      <c r="BQ119" s="166" t="n">
        <f aca="false">IF(OR($BP119="",$AG119=""),"",$BP119-$AG119)</f>
        <v>-29999</v>
      </c>
      <c r="BR119" s="168" t="str">
        <f aca="false">IFERROR($AG119/INDEX(BUDGET!$AK$28:$AK$67,MATCH($B119,BUDGET!$A$28:$A$67,0)),"")</f>
        <v/>
      </c>
      <c r="BS119" s="164" t="str">
        <f aca="false">IF($V119="","",IF(AND($BP119&lt;&gt;"",$AG119&lt;&gt;"",$AG119&gt;$BP119),"Depassement budgetaire",IF(AND($AK119&lt;&gt;"Brouillon",$AK119&lt;&gt;"Annulee",$AK119&lt;&gt;"Rejetee",OR($BD119="Non",$BD119="")),"Pieces manquantes",IF(AND($AK119&lt;&gt;"Brouillon",OR($AR119="",$AR119="En attente")),"Depense non validee",IF(AND($AS119="Oui",$AW119&lt;&gt;"Oui"),"Engagement non paye",IF(AND($AW119="Non",$AK119="Validee"),"Paiement en attente",IF(AND($AY119&lt;&gt;"",$AZ119&gt;0),"Paiement partiel",IF(AND($AW119="Oui",$BG119&lt;&gt;"Oui"),"Rapprochement manquant",IF(AND($BF119="Oui",$AW119="Oui",$BG119="Oui"),"Dossier complet et paye","Normal")))))))))</f>
        <v/>
      </c>
      <c r="BT119" s="170"/>
      <c r="BU119" s="164" t="n">
        <f aca="false">IF($E119="","",COUNTIFS($E$119:E119,$E119))</f>
        <v>1</v>
      </c>
      <c r="BV119" s="164" t="n">
        <f aca="false">IF($D119="","",COUNTIFS($D$119:D119,$D119))</f>
        <v>1</v>
      </c>
    </row>
    <row r="120" customFormat="false" ht="15" hidden="false" customHeight="true" outlineLevel="0" collapsed="false">
      <c r="A120" s="164" t="str">
        <f aca="false">IF($V120="","","DEP"&amp;TEXT(ROW()-118,"00000"))</f>
        <v/>
      </c>
      <c r="B120" s="169"/>
      <c r="C120" s="167" t="str">
        <f aca="false">IF($B120="","",IFERROR(INDEX(BUDGET!$T$28:$T$67,MATCH($B120,BUDGET!$A$28:$A$67,0)),""))</f>
        <v/>
      </c>
      <c r="D120" s="167" t="str">
        <f aca="false">IF($B120="","",IFERROR(INDEX(BUDGET!$S$28:$S$67,MATCH($B120,BUDGET!$A$28:$A$67,0)),""))</f>
        <v/>
      </c>
      <c r="E120" s="169"/>
      <c r="F120" s="167" t="str">
        <f aca="false">IF($E120="","",IFERROR(INDEX(PROJETS!$C$56:$C$95,MATCH($E120,PROJETS!$A$56:$A$95,0)),""))</f>
        <v/>
      </c>
      <c r="G120" s="167" t="str">
        <f aca="false">IF($E120="","",IFERROR(INDEX(PROJETS!$J$56:$J$95,MATCH($E120,PROJETS!$A$56:$A$95,0)),""))</f>
        <v/>
      </c>
      <c r="H120" s="167" t="str">
        <f aca="false">IF($E120="","",IFERROR(INDEX(PROJETS!$N$56:$N$95,MATCH($E120,PROJETS!$A$56:$A$95,0)),""))</f>
        <v/>
      </c>
      <c r="I120" s="169"/>
      <c r="J120" s="167" t="str">
        <f aca="false">IF($I120="","",IFERROR(INDEX(ACTIVITES!$G$56:$G$105,MATCH($I120,ACTIVITES!$A$56:$A$105,0)),""))</f>
        <v/>
      </c>
      <c r="K120" s="169"/>
      <c r="L120" s="167" t="str">
        <f aca="false">IF($K120="","",IFERROR(INDEX(DONATEURS!$B$56:$B$205,MATCH($K120,DONATEURS!$A$56:$A$205,0)),""))</f>
        <v/>
      </c>
      <c r="M120" s="170"/>
      <c r="N120" s="170"/>
      <c r="O120" s="169"/>
      <c r="P120" s="169"/>
      <c r="Q120" s="169"/>
      <c r="R120" s="170"/>
      <c r="S120" s="169"/>
      <c r="T120" s="169"/>
      <c r="U120" s="170"/>
      <c r="V120" s="170"/>
      <c r="W120" s="170"/>
      <c r="X120" s="171"/>
      <c r="Y120" s="169"/>
      <c r="Z120" s="171"/>
      <c r="AA120" s="166" t="str">
        <f aca="false">IF(OR($X120="",$Z120=""),"",$X120*$Z120)</f>
        <v/>
      </c>
      <c r="AB120" s="171"/>
      <c r="AC120" s="171"/>
      <c r="AD120" s="166" t="str">
        <f aca="false">IF($AA120="","",$AA120+IF($AB120="",0,$AB120)+IF($AC120="",0,$AC120))</f>
        <v/>
      </c>
      <c r="AE120" s="169"/>
      <c r="AF120" s="172"/>
      <c r="AG120" s="166" t="str">
        <f aca="false">IF($AD120="","",IF(OR($AE120="FCFA",$AE120=""),$AD120,$AD120*IF($AF120="",1,$AF120)))</f>
        <v/>
      </c>
      <c r="AH120" s="169"/>
      <c r="AI120" s="170"/>
      <c r="AJ120" s="170"/>
      <c r="AK120" s="169"/>
      <c r="AL120" s="170"/>
      <c r="AM120" s="170"/>
      <c r="AN120" s="173"/>
      <c r="AO120" s="170"/>
      <c r="AP120" s="170"/>
      <c r="AQ120" s="173"/>
      <c r="AR120" s="169"/>
      <c r="AS120" s="169"/>
      <c r="AT120" s="173"/>
      <c r="AU120" s="171"/>
      <c r="AV120" s="170"/>
      <c r="AW120" s="169"/>
      <c r="AX120" s="173"/>
      <c r="AY120" s="171"/>
      <c r="AZ120" s="166" t="str">
        <f aca="false">IF($AG120="","",MAX($AG120-IF($AY120="",0,$AY120),0))</f>
        <v/>
      </c>
      <c r="BA120" s="169"/>
      <c r="BB120" s="170"/>
      <c r="BC120" s="173"/>
      <c r="BD120" s="169"/>
      <c r="BE120" s="170"/>
      <c r="BF120" s="164" t="str">
        <f aca="false">IF($V120="","",IF($BD120="Oui","Oui","Non"))</f>
        <v/>
      </c>
      <c r="BG120" s="169"/>
      <c r="BH120" s="173"/>
      <c r="BI120" s="170"/>
      <c r="BJ120" s="170"/>
      <c r="BK120" s="170"/>
      <c r="BL120" s="173"/>
      <c r="BM120" s="164" t="str">
        <f aca="false">IF($BL120="","",YEAR($BL120))</f>
        <v/>
      </c>
      <c r="BN120" s="174" t="str">
        <f aca="false">IF($BL120="","",INDEX(PARAMETRES!$C$53:$C$65,MONTH($BL120)))</f>
        <v/>
      </c>
      <c r="BO120" s="111" t="str">
        <f aca="false">IF($BL120="","",INDEX(PARAMETRES!$B$53:$B$65,MONTH($BL120)))</f>
        <v/>
      </c>
      <c r="BP120" s="166" t="n">
        <f aca="false">IFERROR(INDEX(BUDGET!$AL$28:$AL$67,MATCH($B120,BUDGET!$A$28:$A$67,0)),"")</f>
        <v>0</v>
      </c>
      <c r="BQ120" s="166" t="str">
        <f aca="false">IF(OR($BP120="",$AG120=""),"",$BP120-$AG120)</f>
        <v/>
      </c>
      <c r="BR120" s="168" t="str">
        <f aca="false">IFERROR($AG120/INDEX(BUDGET!$AK$28:$AK$67,MATCH($B120,BUDGET!$A$28:$A$67,0)),"")</f>
        <v/>
      </c>
      <c r="BS120" s="164" t="str">
        <f aca="false">IF($V120="","",IF(AND($BP120&lt;&gt;"",$AG120&lt;&gt;"",$AG120&gt;$BP120),"Depassement budgetaire",IF(AND($AK120&lt;&gt;"Brouillon",$AK120&lt;&gt;"Annulee",$AK120&lt;&gt;"Rejetee",OR($BD120="Non",$BD120="")),"Pieces manquantes",IF(AND($AK120&lt;&gt;"Brouillon",OR($AR120="",$AR120="En attente")),"Depense non validee",IF(AND($AS120="Oui",$AW120&lt;&gt;"Oui"),"Engagement non paye",IF(AND($AW120="Non",$AK120="Validee"),"Paiement en attente",IF(AND($AY120&lt;&gt;"",$AZ120&gt;0),"Paiement partiel",IF(AND($AW120="Oui",$BG120&lt;&gt;"Oui"),"Rapprochement manquant",IF(AND($BF120="Oui",$AW120="Oui",$BG120="Oui"),"Dossier complet et paye","Normal")))))))))</f>
        <v/>
      </c>
      <c r="BT120" s="170"/>
      <c r="BU120" s="164" t="str">
        <f aca="false">IF($E120="","",COUNTIFS($E$119:E120,$E120))</f>
        <v/>
      </c>
      <c r="BV120" s="164" t="str">
        <f aca="false">IF($D120="","",COUNTIFS($D$119:D120,$D120))</f>
        <v/>
      </c>
    </row>
    <row r="121" customFormat="false" ht="15" hidden="false" customHeight="true" outlineLevel="0" collapsed="false">
      <c r="A121" s="164" t="str">
        <f aca="false">IF($V121="","","DEP"&amp;TEXT(ROW()-118,"00000"))</f>
        <v/>
      </c>
      <c r="B121" s="169"/>
      <c r="C121" s="167" t="str">
        <f aca="false">IF($B121="","",IFERROR(INDEX(BUDGET!$T$28:$T$67,MATCH($B121,BUDGET!$A$28:$A$67,0)),""))</f>
        <v/>
      </c>
      <c r="D121" s="167" t="str">
        <f aca="false">IF($B121="","",IFERROR(INDEX(BUDGET!$S$28:$S$67,MATCH($B121,BUDGET!$A$28:$A$67,0)),""))</f>
        <v/>
      </c>
      <c r="E121" s="169"/>
      <c r="F121" s="167" t="str">
        <f aca="false">IF($E121="","",IFERROR(INDEX(PROJETS!$C$56:$C$95,MATCH($E121,PROJETS!$A$56:$A$95,0)),""))</f>
        <v/>
      </c>
      <c r="G121" s="167" t="str">
        <f aca="false">IF($E121="","",IFERROR(INDEX(PROJETS!$J$56:$J$95,MATCH($E121,PROJETS!$A$56:$A$95,0)),""))</f>
        <v/>
      </c>
      <c r="H121" s="167" t="str">
        <f aca="false">IF($E121="","",IFERROR(INDEX(PROJETS!$N$56:$N$95,MATCH($E121,PROJETS!$A$56:$A$95,0)),""))</f>
        <v/>
      </c>
      <c r="I121" s="169"/>
      <c r="J121" s="167" t="str">
        <f aca="false">IF($I121="","",IFERROR(INDEX(ACTIVITES!$G$56:$G$105,MATCH($I121,ACTIVITES!$A$56:$A$105,0)),""))</f>
        <v/>
      </c>
      <c r="K121" s="169"/>
      <c r="L121" s="167" t="str">
        <f aca="false">IF($K121="","",IFERROR(INDEX(DONATEURS!$B$56:$B$205,MATCH($K121,DONATEURS!$A$56:$A$205,0)),""))</f>
        <v/>
      </c>
      <c r="M121" s="170"/>
      <c r="N121" s="170"/>
      <c r="O121" s="169"/>
      <c r="P121" s="169"/>
      <c r="Q121" s="169"/>
      <c r="R121" s="170"/>
      <c r="S121" s="169"/>
      <c r="T121" s="169"/>
      <c r="U121" s="170"/>
      <c r="V121" s="170"/>
      <c r="W121" s="170"/>
      <c r="X121" s="171"/>
      <c r="Y121" s="169"/>
      <c r="Z121" s="171"/>
      <c r="AA121" s="166" t="str">
        <f aca="false">IF(OR($X121="",$Z121=""),"",$X121*$Z121)</f>
        <v/>
      </c>
      <c r="AB121" s="171"/>
      <c r="AC121" s="171"/>
      <c r="AD121" s="166" t="str">
        <f aca="false">IF($AA121="","",$AA121+IF($AB121="",0,$AB121)+IF($AC121="",0,$AC121))</f>
        <v/>
      </c>
      <c r="AE121" s="169"/>
      <c r="AF121" s="172"/>
      <c r="AG121" s="166" t="str">
        <f aca="false">IF($AD121="","",IF(OR($AE121="FCFA",$AE121=""),$AD121,$AD121*IF($AF121="",1,$AF121)))</f>
        <v/>
      </c>
      <c r="AH121" s="169"/>
      <c r="AI121" s="170"/>
      <c r="AJ121" s="170"/>
      <c r="AK121" s="169"/>
      <c r="AL121" s="170"/>
      <c r="AM121" s="170"/>
      <c r="AN121" s="173"/>
      <c r="AO121" s="170"/>
      <c r="AP121" s="170"/>
      <c r="AQ121" s="173"/>
      <c r="AR121" s="169"/>
      <c r="AS121" s="169"/>
      <c r="AT121" s="173"/>
      <c r="AU121" s="171"/>
      <c r="AV121" s="170"/>
      <c r="AW121" s="169"/>
      <c r="AX121" s="173"/>
      <c r="AY121" s="171"/>
      <c r="AZ121" s="166" t="str">
        <f aca="false">IF($AG121="","",MAX($AG121-IF($AY121="",0,$AY121),0))</f>
        <v/>
      </c>
      <c r="BA121" s="169"/>
      <c r="BB121" s="170"/>
      <c r="BC121" s="173"/>
      <c r="BD121" s="169"/>
      <c r="BE121" s="170"/>
      <c r="BF121" s="164" t="str">
        <f aca="false">IF($V121="","",IF($BD121="Oui","Oui","Non"))</f>
        <v/>
      </c>
      <c r="BG121" s="169"/>
      <c r="BH121" s="173"/>
      <c r="BI121" s="170"/>
      <c r="BJ121" s="170"/>
      <c r="BK121" s="170"/>
      <c r="BL121" s="173"/>
      <c r="BM121" s="164" t="str">
        <f aca="false">IF($BL121="","",YEAR($BL121))</f>
        <v/>
      </c>
      <c r="BN121" s="174" t="str">
        <f aca="false">IF($BL121="","",INDEX(PARAMETRES!$C$53:$C$65,MONTH($BL121)))</f>
        <v/>
      </c>
      <c r="BO121" s="111" t="str">
        <f aca="false">IF($BL121="","",INDEX(PARAMETRES!$B$53:$B$65,MONTH($BL121)))</f>
        <v/>
      </c>
      <c r="BP121" s="166" t="n">
        <f aca="false">IFERROR(INDEX(BUDGET!$AL$28:$AL$67,MATCH($B121,BUDGET!$A$28:$A$67,0)),"")</f>
        <v>0</v>
      </c>
      <c r="BQ121" s="166" t="str">
        <f aca="false">IF(OR($BP121="",$AG121=""),"",$BP121-$AG121)</f>
        <v/>
      </c>
      <c r="BR121" s="168" t="str">
        <f aca="false">IFERROR($AG121/INDEX(BUDGET!$AK$28:$AK$67,MATCH($B121,BUDGET!$A$28:$A$67,0)),"")</f>
        <v/>
      </c>
      <c r="BS121" s="164" t="str">
        <f aca="false">IF($V121="","",IF(AND($BP121&lt;&gt;"",$AG121&lt;&gt;"",$AG121&gt;$BP121),"Depassement budgetaire",IF(AND($AK121&lt;&gt;"Brouillon",$AK121&lt;&gt;"Annulee",$AK121&lt;&gt;"Rejetee",OR($BD121="Non",$BD121="")),"Pieces manquantes",IF(AND($AK121&lt;&gt;"Brouillon",OR($AR121="",$AR121="En attente")),"Depense non validee",IF(AND($AS121="Oui",$AW121&lt;&gt;"Oui"),"Engagement non paye",IF(AND($AW121="Non",$AK121="Validee"),"Paiement en attente",IF(AND($AY121&lt;&gt;"",$AZ121&gt;0),"Paiement partiel",IF(AND($AW121="Oui",$BG121&lt;&gt;"Oui"),"Rapprochement manquant",IF(AND($BF121="Oui",$AW121="Oui",$BG121="Oui"),"Dossier complet et paye","Normal")))))))))</f>
        <v/>
      </c>
      <c r="BT121" s="170"/>
      <c r="BU121" s="164" t="str">
        <f aca="false">IF($E121="","",COUNTIFS($E$119:E121,$E121))</f>
        <v/>
      </c>
      <c r="BV121" s="164" t="str">
        <f aca="false">IF($D121="","",COUNTIFS($D$119:D121,$D121))</f>
        <v/>
      </c>
    </row>
    <row r="122" customFormat="false" ht="15" hidden="false" customHeight="true" outlineLevel="0" collapsed="false">
      <c r="A122" s="164" t="str">
        <f aca="false">IF($V122="","","DEP"&amp;TEXT(ROW()-118,"00000"))</f>
        <v/>
      </c>
      <c r="B122" s="169"/>
      <c r="C122" s="167" t="str">
        <f aca="false">IF($B122="","",IFERROR(INDEX(BUDGET!$T$28:$T$67,MATCH($B122,BUDGET!$A$28:$A$67,0)),""))</f>
        <v/>
      </c>
      <c r="D122" s="167" t="str">
        <f aca="false">IF($B122="","",IFERROR(INDEX(BUDGET!$S$28:$S$67,MATCH($B122,BUDGET!$A$28:$A$67,0)),""))</f>
        <v/>
      </c>
      <c r="E122" s="169"/>
      <c r="F122" s="167" t="str">
        <f aca="false">IF($E122="","",IFERROR(INDEX(PROJETS!$C$56:$C$95,MATCH($E122,PROJETS!$A$56:$A$95,0)),""))</f>
        <v/>
      </c>
      <c r="G122" s="167" t="str">
        <f aca="false">IF($E122="","",IFERROR(INDEX(PROJETS!$J$56:$J$95,MATCH($E122,PROJETS!$A$56:$A$95,0)),""))</f>
        <v/>
      </c>
      <c r="H122" s="167" t="str">
        <f aca="false">IF($E122="","",IFERROR(INDEX(PROJETS!$N$56:$N$95,MATCH($E122,PROJETS!$A$56:$A$95,0)),""))</f>
        <v/>
      </c>
      <c r="I122" s="169"/>
      <c r="J122" s="167" t="str">
        <f aca="false">IF($I122="","",IFERROR(INDEX(ACTIVITES!$G$56:$G$105,MATCH($I122,ACTIVITES!$A$56:$A$105,0)),""))</f>
        <v/>
      </c>
      <c r="K122" s="169"/>
      <c r="L122" s="167" t="str">
        <f aca="false">IF($K122="","",IFERROR(INDEX(DONATEURS!$B$56:$B$205,MATCH($K122,DONATEURS!$A$56:$A$205,0)),""))</f>
        <v/>
      </c>
      <c r="M122" s="170"/>
      <c r="N122" s="170"/>
      <c r="O122" s="169"/>
      <c r="P122" s="169"/>
      <c r="Q122" s="169"/>
      <c r="R122" s="170"/>
      <c r="S122" s="169"/>
      <c r="T122" s="169"/>
      <c r="U122" s="170"/>
      <c r="V122" s="170"/>
      <c r="W122" s="170"/>
      <c r="X122" s="171"/>
      <c r="Y122" s="169"/>
      <c r="Z122" s="171"/>
      <c r="AA122" s="166" t="str">
        <f aca="false">IF(OR($X122="",$Z122=""),"",$X122*$Z122)</f>
        <v/>
      </c>
      <c r="AB122" s="171"/>
      <c r="AC122" s="171"/>
      <c r="AD122" s="166" t="str">
        <f aca="false">IF($AA122="","",$AA122+IF($AB122="",0,$AB122)+IF($AC122="",0,$AC122))</f>
        <v/>
      </c>
      <c r="AE122" s="169"/>
      <c r="AF122" s="172"/>
      <c r="AG122" s="166" t="str">
        <f aca="false">IF($AD122="","",IF(OR($AE122="FCFA",$AE122=""),$AD122,$AD122*IF($AF122="",1,$AF122)))</f>
        <v/>
      </c>
      <c r="AH122" s="169"/>
      <c r="AI122" s="170"/>
      <c r="AJ122" s="170"/>
      <c r="AK122" s="169"/>
      <c r="AL122" s="170"/>
      <c r="AM122" s="170"/>
      <c r="AN122" s="173"/>
      <c r="AO122" s="170"/>
      <c r="AP122" s="170"/>
      <c r="AQ122" s="173"/>
      <c r="AR122" s="169"/>
      <c r="AS122" s="169"/>
      <c r="AT122" s="173"/>
      <c r="AU122" s="171"/>
      <c r="AV122" s="170"/>
      <c r="AW122" s="169"/>
      <c r="AX122" s="173"/>
      <c r="AY122" s="171"/>
      <c r="AZ122" s="166" t="str">
        <f aca="false">IF($AG122="","",MAX($AG122-IF($AY122="",0,$AY122),0))</f>
        <v/>
      </c>
      <c r="BA122" s="169"/>
      <c r="BB122" s="170"/>
      <c r="BC122" s="173"/>
      <c r="BD122" s="169"/>
      <c r="BE122" s="170"/>
      <c r="BF122" s="164" t="str">
        <f aca="false">IF($V122="","",IF($BD122="Oui","Oui","Non"))</f>
        <v/>
      </c>
      <c r="BG122" s="169"/>
      <c r="BH122" s="173"/>
      <c r="BI122" s="170"/>
      <c r="BJ122" s="170"/>
      <c r="BK122" s="170"/>
      <c r="BL122" s="173"/>
      <c r="BM122" s="164" t="str">
        <f aca="false">IF($BL122="","",YEAR($BL122))</f>
        <v/>
      </c>
      <c r="BN122" s="174" t="str">
        <f aca="false">IF($BL122="","",INDEX(PARAMETRES!$C$53:$C$65,MONTH($BL122)))</f>
        <v/>
      </c>
      <c r="BO122" s="111" t="str">
        <f aca="false">IF($BL122="","",INDEX(PARAMETRES!$B$53:$B$65,MONTH($BL122)))</f>
        <v/>
      </c>
      <c r="BP122" s="166" t="n">
        <f aca="false">IFERROR(INDEX(BUDGET!$AL$28:$AL$67,MATCH($B122,BUDGET!$A$28:$A$67,0)),"")</f>
        <v>0</v>
      </c>
      <c r="BQ122" s="166" t="str">
        <f aca="false">IF(OR($BP122="",$AG122=""),"",$BP122-$AG122)</f>
        <v/>
      </c>
      <c r="BR122" s="168" t="str">
        <f aca="false">IFERROR($AG122/INDEX(BUDGET!$AK$28:$AK$67,MATCH($B122,BUDGET!$A$28:$A$67,0)),"")</f>
        <v/>
      </c>
      <c r="BS122" s="164" t="str">
        <f aca="false">IF($V122="","",IF(AND($BP122&lt;&gt;"",$AG122&lt;&gt;"",$AG122&gt;$BP122),"Depassement budgetaire",IF(AND($AK122&lt;&gt;"Brouillon",$AK122&lt;&gt;"Annulee",$AK122&lt;&gt;"Rejetee",OR($BD122="Non",$BD122="")),"Pieces manquantes",IF(AND($AK122&lt;&gt;"Brouillon",OR($AR122="",$AR122="En attente")),"Depense non validee",IF(AND($AS122="Oui",$AW122&lt;&gt;"Oui"),"Engagement non paye",IF(AND($AW122="Non",$AK122="Validee"),"Paiement en attente",IF(AND($AY122&lt;&gt;"",$AZ122&gt;0),"Paiement partiel",IF(AND($AW122="Oui",$BG122&lt;&gt;"Oui"),"Rapprochement manquant",IF(AND($BF122="Oui",$AW122="Oui",$BG122="Oui"),"Dossier complet et paye","Normal")))))))))</f>
        <v/>
      </c>
      <c r="BT122" s="170"/>
      <c r="BU122" s="164" t="str">
        <f aca="false">IF($E122="","",COUNTIFS($E$119:E122,$E122))</f>
        <v/>
      </c>
      <c r="BV122" s="164" t="str">
        <f aca="false">IF($D122="","",COUNTIFS($D$119:D122,$D122))</f>
        <v/>
      </c>
    </row>
    <row r="123" customFormat="false" ht="15" hidden="false" customHeight="true" outlineLevel="0" collapsed="false">
      <c r="A123" s="164" t="str">
        <f aca="false">IF($V123="","","DEP"&amp;TEXT(ROW()-118,"00000"))</f>
        <v/>
      </c>
      <c r="B123" s="169"/>
      <c r="C123" s="167" t="str">
        <f aca="false">IF($B123="","",IFERROR(INDEX(BUDGET!$T$28:$T$67,MATCH($B123,BUDGET!$A$28:$A$67,0)),""))</f>
        <v/>
      </c>
      <c r="D123" s="167" t="str">
        <f aca="false">IF($B123="","",IFERROR(INDEX(BUDGET!$S$28:$S$67,MATCH($B123,BUDGET!$A$28:$A$67,0)),""))</f>
        <v/>
      </c>
      <c r="E123" s="169"/>
      <c r="F123" s="167" t="str">
        <f aca="false">IF($E123="","",IFERROR(INDEX(PROJETS!$C$56:$C$95,MATCH($E123,PROJETS!$A$56:$A$95,0)),""))</f>
        <v/>
      </c>
      <c r="G123" s="167" t="str">
        <f aca="false">IF($E123="","",IFERROR(INDEX(PROJETS!$J$56:$J$95,MATCH($E123,PROJETS!$A$56:$A$95,0)),""))</f>
        <v/>
      </c>
      <c r="H123" s="167" t="str">
        <f aca="false">IF($E123="","",IFERROR(INDEX(PROJETS!$N$56:$N$95,MATCH($E123,PROJETS!$A$56:$A$95,0)),""))</f>
        <v/>
      </c>
      <c r="I123" s="169"/>
      <c r="J123" s="167" t="str">
        <f aca="false">IF($I123="","",IFERROR(INDEX(ACTIVITES!$G$56:$G$105,MATCH($I123,ACTIVITES!$A$56:$A$105,0)),""))</f>
        <v/>
      </c>
      <c r="K123" s="169"/>
      <c r="L123" s="167" t="str">
        <f aca="false">IF($K123="","",IFERROR(INDEX(DONATEURS!$B$56:$B$205,MATCH($K123,DONATEURS!$A$56:$A$205,0)),""))</f>
        <v/>
      </c>
      <c r="M123" s="170"/>
      <c r="N123" s="170"/>
      <c r="O123" s="169"/>
      <c r="P123" s="169"/>
      <c r="Q123" s="169"/>
      <c r="R123" s="170"/>
      <c r="S123" s="169"/>
      <c r="T123" s="169"/>
      <c r="U123" s="170"/>
      <c r="V123" s="170"/>
      <c r="W123" s="170"/>
      <c r="X123" s="171"/>
      <c r="Y123" s="169"/>
      <c r="Z123" s="171"/>
      <c r="AA123" s="166" t="str">
        <f aca="false">IF(OR($X123="",$Z123=""),"",$X123*$Z123)</f>
        <v/>
      </c>
      <c r="AB123" s="171"/>
      <c r="AC123" s="171"/>
      <c r="AD123" s="166" t="str">
        <f aca="false">IF($AA123="","",$AA123+IF($AB123="",0,$AB123)+IF($AC123="",0,$AC123))</f>
        <v/>
      </c>
      <c r="AE123" s="169"/>
      <c r="AF123" s="172"/>
      <c r="AG123" s="166" t="str">
        <f aca="false">IF($AD123="","",IF(OR($AE123="FCFA",$AE123=""),$AD123,$AD123*IF($AF123="",1,$AF123)))</f>
        <v/>
      </c>
      <c r="AH123" s="169"/>
      <c r="AI123" s="170"/>
      <c r="AJ123" s="170"/>
      <c r="AK123" s="169"/>
      <c r="AL123" s="170"/>
      <c r="AM123" s="170"/>
      <c r="AN123" s="173"/>
      <c r="AO123" s="170"/>
      <c r="AP123" s="170"/>
      <c r="AQ123" s="173"/>
      <c r="AR123" s="169"/>
      <c r="AS123" s="169"/>
      <c r="AT123" s="173"/>
      <c r="AU123" s="171"/>
      <c r="AV123" s="170"/>
      <c r="AW123" s="169"/>
      <c r="AX123" s="173"/>
      <c r="AY123" s="171"/>
      <c r="AZ123" s="166" t="str">
        <f aca="false">IF($AG123="","",MAX($AG123-IF($AY123="",0,$AY123),0))</f>
        <v/>
      </c>
      <c r="BA123" s="169"/>
      <c r="BB123" s="170"/>
      <c r="BC123" s="173"/>
      <c r="BD123" s="169"/>
      <c r="BE123" s="170"/>
      <c r="BF123" s="164" t="str">
        <f aca="false">IF($V123="","",IF($BD123="Oui","Oui","Non"))</f>
        <v/>
      </c>
      <c r="BG123" s="169"/>
      <c r="BH123" s="173"/>
      <c r="BI123" s="170"/>
      <c r="BJ123" s="170"/>
      <c r="BK123" s="170"/>
      <c r="BL123" s="173"/>
      <c r="BM123" s="164" t="str">
        <f aca="false">IF($BL123="","",YEAR($BL123))</f>
        <v/>
      </c>
      <c r="BN123" s="174" t="str">
        <f aca="false">IF($BL123="","",INDEX(PARAMETRES!$C$53:$C$65,MONTH($BL123)))</f>
        <v/>
      </c>
      <c r="BO123" s="111" t="str">
        <f aca="false">IF($BL123="","",INDEX(PARAMETRES!$B$53:$B$65,MONTH($BL123)))</f>
        <v/>
      </c>
      <c r="BP123" s="166" t="n">
        <f aca="false">IFERROR(INDEX(BUDGET!$AL$28:$AL$67,MATCH($B123,BUDGET!$A$28:$A$67,0)),"")</f>
        <v>0</v>
      </c>
      <c r="BQ123" s="166" t="str">
        <f aca="false">IF(OR($BP123="",$AG123=""),"",$BP123-$AG123)</f>
        <v/>
      </c>
      <c r="BR123" s="168" t="str">
        <f aca="false">IFERROR($AG123/INDEX(BUDGET!$AK$28:$AK$67,MATCH($B123,BUDGET!$A$28:$A$67,0)),"")</f>
        <v/>
      </c>
      <c r="BS123" s="164" t="str">
        <f aca="false">IF($V123="","",IF(AND($BP123&lt;&gt;"",$AG123&lt;&gt;"",$AG123&gt;$BP123),"Depassement budgetaire",IF(AND($AK123&lt;&gt;"Brouillon",$AK123&lt;&gt;"Annulee",$AK123&lt;&gt;"Rejetee",OR($BD123="Non",$BD123="")),"Pieces manquantes",IF(AND($AK123&lt;&gt;"Brouillon",OR($AR123="",$AR123="En attente")),"Depense non validee",IF(AND($AS123="Oui",$AW123&lt;&gt;"Oui"),"Engagement non paye",IF(AND($AW123="Non",$AK123="Validee"),"Paiement en attente",IF(AND($AY123&lt;&gt;"",$AZ123&gt;0),"Paiement partiel",IF(AND($AW123="Oui",$BG123&lt;&gt;"Oui"),"Rapprochement manquant",IF(AND($BF123="Oui",$AW123="Oui",$BG123="Oui"),"Dossier complet et paye","Normal")))))))))</f>
        <v/>
      </c>
      <c r="BT123" s="170"/>
      <c r="BU123" s="164" t="str">
        <f aca="false">IF($E123="","",COUNTIFS($E$119:E123,$E123))</f>
        <v/>
      </c>
      <c r="BV123" s="164" t="str">
        <f aca="false">IF($D123="","",COUNTIFS($D$119:D123,$D123))</f>
        <v/>
      </c>
    </row>
    <row r="124" customFormat="false" ht="15" hidden="false" customHeight="true" outlineLevel="0" collapsed="false">
      <c r="A124" s="164" t="str">
        <f aca="false">IF($V124="","","DEP"&amp;TEXT(ROW()-118,"00000"))</f>
        <v/>
      </c>
      <c r="B124" s="169"/>
      <c r="C124" s="167" t="str">
        <f aca="false">IF($B124="","",IFERROR(INDEX(BUDGET!$T$28:$T$67,MATCH($B124,BUDGET!$A$28:$A$67,0)),""))</f>
        <v/>
      </c>
      <c r="D124" s="167" t="str">
        <f aca="false">IF($B124="","",IFERROR(INDEX(BUDGET!$S$28:$S$67,MATCH($B124,BUDGET!$A$28:$A$67,0)),""))</f>
        <v/>
      </c>
      <c r="E124" s="169"/>
      <c r="F124" s="167" t="str">
        <f aca="false">IF($E124="","",IFERROR(INDEX(PROJETS!$C$56:$C$95,MATCH($E124,PROJETS!$A$56:$A$95,0)),""))</f>
        <v/>
      </c>
      <c r="G124" s="167" t="str">
        <f aca="false">IF($E124="","",IFERROR(INDEX(PROJETS!$J$56:$J$95,MATCH($E124,PROJETS!$A$56:$A$95,0)),""))</f>
        <v/>
      </c>
      <c r="H124" s="167" t="str">
        <f aca="false">IF($E124="","",IFERROR(INDEX(PROJETS!$N$56:$N$95,MATCH($E124,PROJETS!$A$56:$A$95,0)),""))</f>
        <v/>
      </c>
      <c r="I124" s="169"/>
      <c r="J124" s="167" t="str">
        <f aca="false">IF($I124="","",IFERROR(INDEX(ACTIVITES!$G$56:$G$105,MATCH($I124,ACTIVITES!$A$56:$A$105,0)),""))</f>
        <v/>
      </c>
      <c r="K124" s="169"/>
      <c r="L124" s="167" t="str">
        <f aca="false">IF($K124="","",IFERROR(INDEX(DONATEURS!$B$56:$B$205,MATCH($K124,DONATEURS!$A$56:$A$205,0)),""))</f>
        <v/>
      </c>
      <c r="M124" s="170"/>
      <c r="N124" s="170"/>
      <c r="O124" s="169"/>
      <c r="P124" s="169"/>
      <c r="Q124" s="169"/>
      <c r="R124" s="170"/>
      <c r="S124" s="169"/>
      <c r="T124" s="169"/>
      <c r="U124" s="170"/>
      <c r="V124" s="170"/>
      <c r="W124" s="170"/>
      <c r="X124" s="171"/>
      <c r="Y124" s="169"/>
      <c r="Z124" s="171"/>
      <c r="AA124" s="166" t="str">
        <f aca="false">IF(OR($X124="",$Z124=""),"",$X124*$Z124)</f>
        <v/>
      </c>
      <c r="AB124" s="171"/>
      <c r="AC124" s="171"/>
      <c r="AD124" s="166" t="str">
        <f aca="false">IF($AA124="","",$AA124+IF($AB124="",0,$AB124)+IF($AC124="",0,$AC124))</f>
        <v/>
      </c>
      <c r="AE124" s="169"/>
      <c r="AF124" s="172"/>
      <c r="AG124" s="166" t="str">
        <f aca="false">IF($AD124="","",IF(OR($AE124="FCFA",$AE124=""),$AD124,$AD124*IF($AF124="",1,$AF124)))</f>
        <v/>
      </c>
      <c r="AH124" s="169"/>
      <c r="AI124" s="170"/>
      <c r="AJ124" s="170"/>
      <c r="AK124" s="169"/>
      <c r="AL124" s="170"/>
      <c r="AM124" s="170"/>
      <c r="AN124" s="173"/>
      <c r="AO124" s="170"/>
      <c r="AP124" s="170"/>
      <c r="AQ124" s="173"/>
      <c r="AR124" s="169"/>
      <c r="AS124" s="169"/>
      <c r="AT124" s="173"/>
      <c r="AU124" s="171"/>
      <c r="AV124" s="170"/>
      <c r="AW124" s="169"/>
      <c r="AX124" s="173"/>
      <c r="AY124" s="171"/>
      <c r="AZ124" s="166" t="str">
        <f aca="false">IF($AG124="","",MAX($AG124-IF($AY124="",0,$AY124),0))</f>
        <v/>
      </c>
      <c r="BA124" s="169"/>
      <c r="BB124" s="170"/>
      <c r="BC124" s="173"/>
      <c r="BD124" s="169"/>
      <c r="BE124" s="170"/>
      <c r="BF124" s="164" t="str">
        <f aca="false">IF($V124="","",IF($BD124="Oui","Oui","Non"))</f>
        <v/>
      </c>
      <c r="BG124" s="169"/>
      <c r="BH124" s="173"/>
      <c r="BI124" s="170"/>
      <c r="BJ124" s="170"/>
      <c r="BK124" s="170"/>
      <c r="BL124" s="173"/>
      <c r="BM124" s="164" t="str">
        <f aca="false">IF($BL124="","",YEAR($BL124))</f>
        <v/>
      </c>
      <c r="BN124" s="174" t="str">
        <f aca="false">IF($BL124="","",INDEX(PARAMETRES!$C$53:$C$65,MONTH($BL124)))</f>
        <v/>
      </c>
      <c r="BO124" s="111" t="str">
        <f aca="false">IF($BL124="","",INDEX(PARAMETRES!$B$53:$B$65,MONTH($BL124)))</f>
        <v/>
      </c>
      <c r="BP124" s="166" t="n">
        <f aca="false">IFERROR(INDEX(BUDGET!$AL$28:$AL$67,MATCH($B124,BUDGET!$A$28:$A$67,0)),"")</f>
        <v>0</v>
      </c>
      <c r="BQ124" s="166" t="str">
        <f aca="false">IF(OR($BP124="",$AG124=""),"",$BP124-$AG124)</f>
        <v/>
      </c>
      <c r="BR124" s="168" t="str">
        <f aca="false">IFERROR($AG124/INDEX(BUDGET!$AK$28:$AK$67,MATCH($B124,BUDGET!$A$28:$A$67,0)),"")</f>
        <v/>
      </c>
      <c r="BS124" s="164" t="str">
        <f aca="false">IF($V124="","",IF(AND($BP124&lt;&gt;"",$AG124&lt;&gt;"",$AG124&gt;$BP124),"Depassement budgetaire",IF(AND($AK124&lt;&gt;"Brouillon",$AK124&lt;&gt;"Annulee",$AK124&lt;&gt;"Rejetee",OR($BD124="Non",$BD124="")),"Pieces manquantes",IF(AND($AK124&lt;&gt;"Brouillon",OR($AR124="",$AR124="En attente")),"Depense non validee",IF(AND($AS124="Oui",$AW124&lt;&gt;"Oui"),"Engagement non paye",IF(AND($AW124="Non",$AK124="Validee"),"Paiement en attente",IF(AND($AY124&lt;&gt;"",$AZ124&gt;0),"Paiement partiel",IF(AND($AW124="Oui",$BG124&lt;&gt;"Oui"),"Rapprochement manquant",IF(AND($BF124="Oui",$AW124="Oui",$BG124="Oui"),"Dossier complet et paye","Normal")))))))))</f>
        <v/>
      </c>
      <c r="BT124" s="170"/>
      <c r="BU124" s="164" t="str">
        <f aca="false">IF($E124="","",COUNTIFS($E$119:E124,$E124))</f>
        <v/>
      </c>
      <c r="BV124" s="164" t="str">
        <f aca="false">IF($D124="","",COUNTIFS($D$119:D124,$D124))</f>
        <v/>
      </c>
    </row>
    <row r="125" customFormat="false" ht="15" hidden="false" customHeight="true" outlineLevel="0" collapsed="false">
      <c r="A125" s="164" t="str">
        <f aca="false">IF($V125="","","DEP"&amp;TEXT(ROW()-118,"00000"))</f>
        <v/>
      </c>
      <c r="B125" s="169"/>
      <c r="C125" s="167" t="str">
        <f aca="false">IF($B125="","",IFERROR(INDEX(BUDGET!$T$28:$T$67,MATCH($B125,BUDGET!$A$28:$A$67,0)),""))</f>
        <v/>
      </c>
      <c r="D125" s="167" t="str">
        <f aca="false">IF($B125="","",IFERROR(INDEX(BUDGET!$S$28:$S$67,MATCH($B125,BUDGET!$A$28:$A$67,0)),""))</f>
        <v/>
      </c>
      <c r="E125" s="169"/>
      <c r="F125" s="167" t="str">
        <f aca="false">IF($E125="","",IFERROR(INDEX(PROJETS!$C$56:$C$95,MATCH($E125,PROJETS!$A$56:$A$95,0)),""))</f>
        <v/>
      </c>
      <c r="G125" s="167" t="str">
        <f aca="false">IF($E125="","",IFERROR(INDEX(PROJETS!$J$56:$J$95,MATCH($E125,PROJETS!$A$56:$A$95,0)),""))</f>
        <v/>
      </c>
      <c r="H125" s="167" t="str">
        <f aca="false">IF($E125="","",IFERROR(INDEX(PROJETS!$N$56:$N$95,MATCH($E125,PROJETS!$A$56:$A$95,0)),""))</f>
        <v/>
      </c>
      <c r="I125" s="169"/>
      <c r="J125" s="167" t="str">
        <f aca="false">IF($I125="","",IFERROR(INDEX(ACTIVITES!$G$56:$G$105,MATCH($I125,ACTIVITES!$A$56:$A$105,0)),""))</f>
        <v/>
      </c>
      <c r="K125" s="169"/>
      <c r="L125" s="167" t="str">
        <f aca="false">IF($K125="","",IFERROR(INDEX(DONATEURS!$B$56:$B$205,MATCH($K125,DONATEURS!$A$56:$A$205,0)),""))</f>
        <v/>
      </c>
      <c r="M125" s="170"/>
      <c r="N125" s="170"/>
      <c r="O125" s="169"/>
      <c r="P125" s="169"/>
      <c r="Q125" s="169"/>
      <c r="R125" s="170"/>
      <c r="S125" s="169"/>
      <c r="T125" s="169"/>
      <c r="U125" s="170"/>
      <c r="V125" s="170"/>
      <c r="W125" s="170"/>
      <c r="X125" s="171"/>
      <c r="Y125" s="169"/>
      <c r="Z125" s="171"/>
      <c r="AA125" s="166" t="str">
        <f aca="false">IF(OR($X125="",$Z125=""),"",$X125*$Z125)</f>
        <v/>
      </c>
      <c r="AB125" s="171"/>
      <c r="AC125" s="171"/>
      <c r="AD125" s="166" t="str">
        <f aca="false">IF($AA125="","",$AA125+IF($AB125="",0,$AB125)+IF($AC125="",0,$AC125))</f>
        <v/>
      </c>
      <c r="AE125" s="169"/>
      <c r="AF125" s="172"/>
      <c r="AG125" s="166" t="str">
        <f aca="false">IF($AD125="","",IF(OR($AE125="FCFA",$AE125=""),$AD125,$AD125*IF($AF125="",1,$AF125)))</f>
        <v/>
      </c>
      <c r="AH125" s="169"/>
      <c r="AI125" s="170"/>
      <c r="AJ125" s="170"/>
      <c r="AK125" s="169"/>
      <c r="AL125" s="170"/>
      <c r="AM125" s="170"/>
      <c r="AN125" s="173"/>
      <c r="AO125" s="170"/>
      <c r="AP125" s="170"/>
      <c r="AQ125" s="173"/>
      <c r="AR125" s="169"/>
      <c r="AS125" s="169"/>
      <c r="AT125" s="173"/>
      <c r="AU125" s="171"/>
      <c r="AV125" s="170"/>
      <c r="AW125" s="169"/>
      <c r="AX125" s="173"/>
      <c r="AY125" s="171"/>
      <c r="AZ125" s="166" t="str">
        <f aca="false">IF($AG125="","",MAX($AG125-IF($AY125="",0,$AY125),0))</f>
        <v/>
      </c>
      <c r="BA125" s="169"/>
      <c r="BB125" s="170"/>
      <c r="BC125" s="173"/>
      <c r="BD125" s="169"/>
      <c r="BE125" s="170"/>
      <c r="BF125" s="164" t="str">
        <f aca="false">IF($V125="","",IF($BD125="Oui","Oui","Non"))</f>
        <v/>
      </c>
      <c r="BG125" s="169"/>
      <c r="BH125" s="173"/>
      <c r="BI125" s="170"/>
      <c r="BJ125" s="170"/>
      <c r="BK125" s="170"/>
      <c r="BL125" s="173"/>
      <c r="BM125" s="164" t="str">
        <f aca="false">IF($BL125="","",YEAR($BL125))</f>
        <v/>
      </c>
      <c r="BN125" s="174" t="str">
        <f aca="false">IF($BL125="","",INDEX(PARAMETRES!$C$53:$C$65,MONTH($BL125)))</f>
        <v/>
      </c>
      <c r="BO125" s="111" t="str">
        <f aca="false">IF($BL125="","",INDEX(PARAMETRES!$B$53:$B$65,MONTH($BL125)))</f>
        <v/>
      </c>
      <c r="BP125" s="166" t="n">
        <f aca="false">IFERROR(INDEX(BUDGET!$AL$28:$AL$67,MATCH($B125,BUDGET!$A$28:$A$67,0)),"")</f>
        <v>0</v>
      </c>
      <c r="BQ125" s="166" t="str">
        <f aca="false">IF(OR($BP125="",$AG125=""),"",$BP125-$AG125)</f>
        <v/>
      </c>
      <c r="BR125" s="168" t="str">
        <f aca="false">IFERROR($AG125/INDEX(BUDGET!$AK$28:$AK$67,MATCH($B125,BUDGET!$A$28:$A$67,0)),"")</f>
        <v/>
      </c>
      <c r="BS125" s="164" t="str">
        <f aca="false">IF($V125="","",IF(AND($BP125&lt;&gt;"",$AG125&lt;&gt;"",$AG125&gt;$BP125),"Depassement budgetaire",IF(AND($AK125&lt;&gt;"Brouillon",$AK125&lt;&gt;"Annulee",$AK125&lt;&gt;"Rejetee",OR($BD125="Non",$BD125="")),"Pieces manquantes",IF(AND($AK125&lt;&gt;"Brouillon",OR($AR125="",$AR125="En attente")),"Depense non validee",IF(AND($AS125="Oui",$AW125&lt;&gt;"Oui"),"Engagement non paye",IF(AND($AW125="Non",$AK125="Validee"),"Paiement en attente",IF(AND($AY125&lt;&gt;"",$AZ125&gt;0),"Paiement partiel",IF(AND($AW125="Oui",$BG125&lt;&gt;"Oui"),"Rapprochement manquant",IF(AND($BF125="Oui",$AW125="Oui",$BG125="Oui"),"Dossier complet et paye","Normal")))))))))</f>
        <v/>
      </c>
      <c r="BT125" s="170"/>
      <c r="BU125" s="164" t="str">
        <f aca="false">IF($E125="","",COUNTIFS($E$119:E125,$E125))</f>
        <v/>
      </c>
      <c r="BV125" s="164" t="str">
        <f aca="false">IF($D125="","",COUNTIFS($D$119:D125,$D125))</f>
        <v/>
      </c>
    </row>
    <row r="126" customFormat="false" ht="15" hidden="false" customHeight="true" outlineLevel="0" collapsed="false">
      <c r="A126" s="164" t="str">
        <f aca="false">IF($V126="","","DEP"&amp;TEXT(ROW()-118,"00000"))</f>
        <v/>
      </c>
      <c r="B126" s="169"/>
      <c r="C126" s="167" t="str">
        <f aca="false">IF($B126="","",IFERROR(INDEX(BUDGET!$T$28:$T$67,MATCH($B126,BUDGET!$A$28:$A$67,0)),""))</f>
        <v/>
      </c>
      <c r="D126" s="167" t="str">
        <f aca="false">IF($B126="","",IFERROR(INDEX(BUDGET!$S$28:$S$67,MATCH($B126,BUDGET!$A$28:$A$67,0)),""))</f>
        <v/>
      </c>
      <c r="E126" s="169"/>
      <c r="F126" s="167" t="str">
        <f aca="false">IF($E126="","",IFERROR(INDEX(PROJETS!$C$56:$C$95,MATCH($E126,PROJETS!$A$56:$A$95,0)),""))</f>
        <v/>
      </c>
      <c r="G126" s="167" t="str">
        <f aca="false">IF($E126="","",IFERROR(INDEX(PROJETS!$J$56:$J$95,MATCH($E126,PROJETS!$A$56:$A$95,0)),""))</f>
        <v/>
      </c>
      <c r="H126" s="167" t="str">
        <f aca="false">IF($E126="","",IFERROR(INDEX(PROJETS!$N$56:$N$95,MATCH($E126,PROJETS!$A$56:$A$95,0)),""))</f>
        <v/>
      </c>
      <c r="I126" s="169"/>
      <c r="J126" s="167" t="str">
        <f aca="false">IF($I126="","",IFERROR(INDEX(ACTIVITES!$G$56:$G$105,MATCH($I126,ACTIVITES!$A$56:$A$105,0)),""))</f>
        <v/>
      </c>
      <c r="K126" s="169"/>
      <c r="L126" s="167" t="str">
        <f aca="false">IF($K126="","",IFERROR(INDEX(DONATEURS!$B$56:$B$205,MATCH($K126,DONATEURS!$A$56:$A$205,0)),""))</f>
        <v/>
      </c>
      <c r="M126" s="170"/>
      <c r="N126" s="170"/>
      <c r="O126" s="169"/>
      <c r="P126" s="169"/>
      <c r="Q126" s="169"/>
      <c r="R126" s="170"/>
      <c r="S126" s="169"/>
      <c r="T126" s="169"/>
      <c r="U126" s="170"/>
      <c r="V126" s="170"/>
      <c r="W126" s="170"/>
      <c r="X126" s="171"/>
      <c r="Y126" s="169"/>
      <c r="Z126" s="171"/>
      <c r="AA126" s="166" t="str">
        <f aca="false">IF(OR($X126="",$Z126=""),"",$X126*$Z126)</f>
        <v/>
      </c>
      <c r="AB126" s="171"/>
      <c r="AC126" s="171"/>
      <c r="AD126" s="166" t="str">
        <f aca="false">IF($AA126="","",$AA126+IF($AB126="",0,$AB126)+IF($AC126="",0,$AC126))</f>
        <v/>
      </c>
      <c r="AE126" s="169"/>
      <c r="AF126" s="172"/>
      <c r="AG126" s="166" t="str">
        <f aca="false">IF($AD126="","",IF(OR($AE126="FCFA",$AE126=""),$AD126,$AD126*IF($AF126="",1,$AF126)))</f>
        <v/>
      </c>
      <c r="AH126" s="169"/>
      <c r="AI126" s="170"/>
      <c r="AJ126" s="170"/>
      <c r="AK126" s="169"/>
      <c r="AL126" s="170"/>
      <c r="AM126" s="170"/>
      <c r="AN126" s="173"/>
      <c r="AO126" s="170"/>
      <c r="AP126" s="170"/>
      <c r="AQ126" s="173"/>
      <c r="AR126" s="169"/>
      <c r="AS126" s="169"/>
      <c r="AT126" s="173"/>
      <c r="AU126" s="171"/>
      <c r="AV126" s="170"/>
      <c r="AW126" s="169"/>
      <c r="AX126" s="173"/>
      <c r="AY126" s="171"/>
      <c r="AZ126" s="166" t="str">
        <f aca="false">IF($AG126="","",MAX($AG126-IF($AY126="",0,$AY126),0))</f>
        <v/>
      </c>
      <c r="BA126" s="169"/>
      <c r="BB126" s="170"/>
      <c r="BC126" s="173"/>
      <c r="BD126" s="169"/>
      <c r="BE126" s="170"/>
      <c r="BF126" s="164" t="str">
        <f aca="false">IF($V126="","",IF($BD126="Oui","Oui","Non"))</f>
        <v/>
      </c>
      <c r="BG126" s="169"/>
      <c r="BH126" s="173"/>
      <c r="BI126" s="170"/>
      <c r="BJ126" s="170"/>
      <c r="BK126" s="170"/>
      <c r="BL126" s="173"/>
      <c r="BM126" s="164" t="str">
        <f aca="false">IF($BL126="","",YEAR($BL126))</f>
        <v/>
      </c>
      <c r="BN126" s="174" t="str">
        <f aca="false">IF($BL126="","",INDEX(PARAMETRES!$C$53:$C$65,MONTH($BL126)))</f>
        <v/>
      </c>
      <c r="BO126" s="111" t="str">
        <f aca="false">IF($BL126="","",INDEX(PARAMETRES!$B$53:$B$65,MONTH($BL126)))</f>
        <v/>
      </c>
      <c r="BP126" s="166" t="n">
        <f aca="false">IFERROR(INDEX(BUDGET!$AL$28:$AL$67,MATCH($B126,BUDGET!$A$28:$A$67,0)),"")</f>
        <v>0</v>
      </c>
      <c r="BQ126" s="166" t="str">
        <f aca="false">IF(OR($BP126="",$AG126=""),"",$BP126-$AG126)</f>
        <v/>
      </c>
      <c r="BR126" s="168" t="str">
        <f aca="false">IFERROR($AG126/INDEX(BUDGET!$AK$28:$AK$67,MATCH($B126,BUDGET!$A$28:$A$67,0)),"")</f>
        <v/>
      </c>
      <c r="BS126" s="164" t="str">
        <f aca="false">IF($V126="","",IF(AND($BP126&lt;&gt;"",$AG126&lt;&gt;"",$AG126&gt;$BP126),"Depassement budgetaire",IF(AND($AK126&lt;&gt;"Brouillon",$AK126&lt;&gt;"Annulee",$AK126&lt;&gt;"Rejetee",OR($BD126="Non",$BD126="")),"Pieces manquantes",IF(AND($AK126&lt;&gt;"Brouillon",OR($AR126="",$AR126="En attente")),"Depense non validee",IF(AND($AS126="Oui",$AW126&lt;&gt;"Oui"),"Engagement non paye",IF(AND($AW126="Non",$AK126="Validee"),"Paiement en attente",IF(AND($AY126&lt;&gt;"",$AZ126&gt;0),"Paiement partiel",IF(AND($AW126="Oui",$BG126&lt;&gt;"Oui"),"Rapprochement manquant",IF(AND($BF126="Oui",$AW126="Oui",$BG126="Oui"),"Dossier complet et paye","Normal")))))))))</f>
        <v/>
      </c>
      <c r="BT126" s="170"/>
      <c r="BU126" s="164" t="str">
        <f aca="false">IF($E126="","",COUNTIFS($E$119:E126,$E126))</f>
        <v/>
      </c>
      <c r="BV126" s="164" t="str">
        <f aca="false">IF($D126="","",COUNTIFS($D$119:D126,$D126))</f>
        <v/>
      </c>
    </row>
    <row r="127" customFormat="false" ht="15" hidden="false" customHeight="true" outlineLevel="0" collapsed="false">
      <c r="A127" s="164" t="str">
        <f aca="false">IF($V127="","","DEP"&amp;TEXT(ROW()-118,"00000"))</f>
        <v/>
      </c>
      <c r="B127" s="169"/>
      <c r="C127" s="167" t="str">
        <f aca="false">IF($B127="","",IFERROR(INDEX(BUDGET!$T$28:$T$67,MATCH($B127,BUDGET!$A$28:$A$67,0)),""))</f>
        <v/>
      </c>
      <c r="D127" s="167" t="str">
        <f aca="false">IF($B127="","",IFERROR(INDEX(BUDGET!$S$28:$S$67,MATCH($B127,BUDGET!$A$28:$A$67,0)),""))</f>
        <v/>
      </c>
      <c r="E127" s="169"/>
      <c r="F127" s="167" t="str">
        <f aca="false">IF($E127="","",IFERROR(INDEX(PROJETS!$C$56:$C$95,MATCH($E127,PROJETS!$A$56:$A$95,0)),""))</f>
        <v/>
      </c>
      <c r="G127" s="167" t="str">
        <f aca="false">IF($E127="","",IFERROR(INDEX(PROJETS!$J$56:$J$95,MATCH($E127,PROJETS!$A$56:$A$95,0)),""))</f>
        <v/>
      </c>
      <c r="H127" s="167" t="str">
        <f aca="false">IF($E127="","",IFERROR(INDEX(PROJETS!$N$56:$N$95,MATCH($E127,PROJETS!$A$56:$A$95,0)),""))</f>
        <v/>
      </c>
      <c r="I127" s="169"/>
      <c r="J127" s="167" t="str">
        <f aca="false">IF($I127="","",IFERROR(INDEX(ACTIVITES!$G$56:$G$105,MATCH($I127,ACTIVITES!$A$56:$A$105,0)),""))</f>
        <v/>
      </c>
      <c r="K127" s="169"/>
      <c r="L127" s="167" t="str">
        <f aca="false">IF($K127="","",IFERROR(INDEX(DONATEURS!$B$56:$B$205,MATCH($K127,DONATEURS!$A$56:$A$205,0)),""))</f>
        <v/>
      </c>
      <c r="M127" s="170"/>
      <c r="N127" s="170"/>
      <c r="O127" s="169"/>
      <c r="P127" s="169"/>
      <c r="Q127" s="169"/>
      <c r="R127" s="170"/>
      <c r="S127" s="169"/>
      <c r="T127" s="169"/>
      <c r="U127" s="170"/>
      <c r="V127" s="170"/>
      <c r="W127" s="170"/>
      <c r="X127" s="171"/>
      <c r="Y127" s="169"/>
      <c r="Z127" s="171"/>
      <c r="AA127" s="166" t="str">
        <f aca="false">IF(OR($X127="",$Z127=""),"",$X127*$Z127)</f>
        <v/>
      </c>
      <c r="AB127" s="171"/>
      <c r="AC127" s="171"/>
      <c r="AD127" s="166" t="str">
        <f aca="false">IF($AA127="","",$AA127+IF($AB127="",0,$AB127)+IF($AC127="",0,$AC127))</f>
        <v/>
      </c>
      <c r="AE127" s="169"/>
      <c r="AF127" s="172"/>
      <c r="AG127" s="166" t="str">
        <f aca="false">IF($AD127="","",IF(OR($AE127="FCFA",$AE127=""),$AD127,$AD127*IF($AF127="",1,$AF127)))</f>
        <v/>
      </c>
      <c r="AH127" s="169"/>
      <c r="AI127" s="170"/>
      <c r="AJ127" s="170"/>
      <c r="AK127" s="169"/>
      <c r="AL127" s="170"/>
      <c r="AM127" s="170"/>
      <c r="AN127" s="173"/>
      <c r="AO127" s="170"/>
      <c r="AP127" s="170"/>
      <c r="AQ127" s="173"/>
      <c r="AR127" s="169"/>
      <c r="AS127" s="169"/>
      <c r="AT127" s="173"/>
      <c r="AU127" s="171"/>
      <c r="AV127" s="170"/>
      <c r="AW127" s="169"/>
      <c r="AX127" s="173"/>
      <c r="AY127" s="171"/>
      <c r="AZ127" s="166" t="str">
        <f aca="false">IF($AG127="","",MAX($AG127-IF($AY127="",0,$AY127),0))</f>
        <v/>
      </c>
      <c r="BA127" s="169"/>
      <c r="BB127" s="170"/>
      <c r="BC127" s="173"/>
      <c r="BD127" s="169"/>
      <c r="BE127" s="170"/>
      <c r="BF127" s="164" t="str">
        <f aca="false">IF($V127="","",IF($BD127="Oui","Oui","Non"))</f>
        <v/>
      </c>
      <c r="BG127" s="169"/>
      <c r="BH127" s="173"/>
      <c r="BI127" s="170"/>
      <c r="BJ127" s="170"/>
      <c r="BK127" s="170"/>
      <c r="BL127" s="173"/>
      <c r="BM127" s="164" t="str">
        <f aca="false">IF($BL127="","",YEAR($BL127))</f>
        <v/>
      </c>
      <c r="BN127" s="174" t="str">
        <f aca="false">IF($BL127="","",INDEX(PARAMETRES!$C$53:$C$65,MONTH($BL127)))</f>
        <v/>
      </c>
      <c r="BO127" s="111" t="str">
        <f aca="false">IF($BL127="","",INDEX(PARAMETRES!$B$53:$B$65,MONTH($BL127)))</f>
        <v/>
      </c>
      <c r="BP127" s="166" t="n">
        <f aca="false">IFERROR(INDEX(BUDGET!$AL$28:$AL$67,MATCH($B127,BUDGET!$A$28:$A$67,0)),"")</f>
        <v>0</v>
      </c>
      <c r="BQ127" s="166" t="str">
        <f aca="false">IF(OR($BP127="",$AG127=""),"",$BP127-$AG127)</f>
        <v/>
      </c>
      <c r="BR127" s="168" t="str">
        <f aca="false">IFERROR($AG127/INDEX(BUDGET!$AK$28:$AK$67,MATCH($B127,BUDGET!$A$28:$A$67,0)),"")</f>
        <v/>
      </c>
      <c r="BS127" s="164" t="str">
        <f aca="false">IF($V127="","",IF(AND($BP127&lt;&gt;"",$AG127&lt;&gt;"",$AG127&gt;$BP127),"Depassement budgetaire",IF(AND($AK127&lt;&gt;"Brouillon",$AK127&lt;&gt;"Annulee",$AK127&lt;&gt;"Rejetee",OR($BD127="Non",$BD127="")),"Pieces manquantes",IF(AND($AK127&lt;&gt;"Brouillon",OR($AR127="",$AR127="En attente")),"Depense non validee",IF(AND($AS127="Oui",$AW127&lt;&gt;"Oui"),"Engagement non paye",IF(AND($AW127="Non",$AK127="Validee"),"Paiement en attente",IF(AND($AY127&lt;&gt;"",$AZ127&gt;0),"Paiement partiel",IF(AND($AW127="Oui",$BG127&lt;&gt;"Oui"),"Rapprochement manquant",IF(AND($BF127="Oui",$AW127="Oui",$BG127="Oui"),"Dossier complet et paye","Normal")))))))))</f>
        <v/>
      </c>
      <c r="BT127" s="170"/>
      <c r="BU127" s="164" t="str">
        <f aca="false">IF($E127="","",COUNTIFS($E$119:E127,$E127))</f>
        <v/>
      </c>
      <c r="BV127" s="164" t="str">
        <f aca="false">IF($D127="","",COUNTIFS($D$119:D127,$D127))</f>
        <v/>
      </c>
    </row>
    <row r="128" customFormat="false" ht="15" hidden="false" customHeight="true" outlineLevel="0" collapsed="false">
      <c r="A128" s="164" t="str">
        <f aca="false">IF($V128="","","DEP"&amp;TEXT(ROW()-118,"00000"))</f>
        <v/>
      </c>
      <c r="B128" s="169"/>
      <c r="C128" s="167" t="str">
        <f aca="false">IF($B128="","",IFERROR(INDEX(BUDGET!$T$28:$T$67,MATCH($B128,BUDGET!$A$28:$A$67,0)),""))</f>
        <v/>
      </c>
      <c r="D128" s="167" t="str">
        <f aca="false">IF($B128="","",IFERROR(INDEX(BUDGET!$S$28:$S$67,MATCH($B128,BUDGET!$A$28:$A$67,0)),""))</f>
        <v/>
      </c>
      <c r="E128" s="169"/>
      <c r="F128" s="167" t="str">
        <f aca="false">IF($E128="","",IFERROR(INDEX(PROJETS!$C$56:$C$95,MATCH($E128,PROJETS!$A$56:$A$95,0)),""))</f>
        <v/>
      </c>
      <c r="G128" s="167" t="str">
        <f aca="false">IF($E128="","",IFERROR(INDEX(PROJETS!$J$56:$J$95,MATCH($E128,PROJETS!$A$56:$A$95,0)),""))</f>
        <v/>
      </c>
      <c r="H128" s="167" t="str">
        <f aca="false">IF($E128="","",IFERROR(INDEX(PROJETS!$N$56:$N$95,MATCH($E128,PROJETS!$A$56:$A$95,0)),""))</f>
        <v/>
      </c>
      <c r="I128" s="169"/>
      <c r="J128" s="167" t="str">
        <f aca="false">IF($I128="","",IFERROR(INDEX(ACTIVITES!$G$56:$G$105,MATCH($I128,ACTIVITES!$A$56:$A$105,0)),""))</f>
        <v/>
      </c>
      <c r="K128" s="169"/>
      <c r="L128" s="167" t="str">
        <f aca="false">IF($K128="","",IFERROR(INDEX(DONATEURS!$B$56:$B$205,MATCH($K128,DONATEURS!$A$56:$A$205,0)),""))</f>
        <v/>
      </c>
      <c r="M128" s="170"/>
      <c r="N128" s="170"/>
      <c r="O128" s="169"/>
      <c r="P128" s="169"/>
      <c r="Q128" s="169"/>
      <c r="R128" s="170"/>
      <c r="S128" s="169"/>
      <c r="T128" s="169"/>
      <c r="U128" s="170"/>
      <c r="V128" s="170"/>
      <c r="W128" s="170"/>
      <c r="X128" s="171"/>
      <c r="Y128" s="169"/>
      <c r="Z128" s="171"/>
      <c r="AA128" s="166" t="str">
        <f aca="false">IF(OR($X128="",$Z128=""),"",$X128*$Z128)</f>
        <v/>
      </c>
      <c r="AB128" s="171"/>
      <c r="AC128" s="171"/>
      <c r="AD128" s="166" t="str">
        <f aca="false">IF($AA128="","",$AA128+IF($AB128="",0,$AB128)+IF($AC128="",0,$AC128))</f>
        <v/>
      </c>
      <c r="AE128" s="169"/>
      <c r="AF128" s="172"/>
      <c r="AG128" s="166" t="str">
        <f aca="false">IF($AD128="","",IF(OR($AE128="FCFA",$AE128=""),$AD128,$AD128*IF($AF128="",1,$AF128)))</f>
        <v/>
      </c>
      <c r="AH128" s="169"/>
      <c r="AI128" s="170"/>
      <c r="AJ128" s="170"/>
      <c r="AK128" s="169"/>
      <c r="AL128" s="170"/>
      <c r="AM128" s="170"/>
      <c r="AN128" s="173"/>
      <c r="AO128" s="170"/>
      <c r="AP128" s="170"/>
      <c r="AQ128" s="173"/>
      <c r="AR128" s="169"/>
      <c r="AS128" s="169"/>
      <c r="AT128" s="173"/>
      <c r="AU128" s="171"/>
      <c r="AV128" s="170"/>
      <c r="AW128" s="169"/>
      <c r="AX128" s="173"/>
      <c r="AY128" s="171"/>
      <c r="AZ128" s="166" t="str">
        <f aca="false">IF($AG128="","",MAX($AG128-IF($AY128="",0,$AY128),0))</f>
        <v/>
      </c>
      <c r="BA128" s="169"/>
      <c r="BB128" s="170"/>
      <c r="BC128" s="173"/>
      <c r="BD128" s="169"/>
      <c r="BE128" s="170"/>
      <c r="BF128" s="164" t="str">
        <f aca="false">IF($V128="","",IF($BD128="Oui","Oui","Non"))</f>
        <v/>
      </c>
      <c r="BG128" s="169"/>
      <c r="BH128" s="173"/>
      <c r="BI128" s="170"/>
      <c r="BJ128" s="170"/>
      <c r="BK128" s="170"/>
      <c r="BL128" s="173"/>
      <c r="BM128" s="164" t="str">
        <f aca="false">IF($BL128="","",YEAR($BL128))</f>
        <v/>
      </c>
      <c r="BN128" s="174" t="str">
        <f aca="false">IF($BL128="","",INDEX(PARAMETRES!$C$53:$C$65,MONTH($BL128)))</f>
        <v/>
      </c>
      <c r="BO128" s="111" t="str">
        <f aca="false">IF($BL128="","",INDEX(PARAMETRES!$B$53:$B$65,MONTH($BL128)))</f>
        <v/>
      </c>
      <c r="BP128" s="166" t="n">
        <f aca="false">IFERROR(INDEX(BUDGET!$AL$28:$AL$67,MATCH($B128,BUDGET!$A$28:$A$67,0)),"")</f>
        <v>0</v>
      </c>
      <c r="BQ128" s="166" t="str">
        <f aca="false">IF(OR($BP128="",$AG128=""),"",$BP128-$AG128)</f>
        <v/>
      </c>
      <c r="BR128" s="168" t="str">
        <f aca="false">IFERROR($AG128/INDEX(BUDGET!$AK$28:$AK$67,MATCH($B128,BUDGET!$A$28:$A$67,0)),"")</f>
        <v/>
      </c>
      <c r="BS128" s="164" t="str">
        <f aca="false">IF($V128="","",IF(AND($BP128&lt;&gt;"",$AG128&lt;&gt;"",$AG128&gt;$BP128),"Depassement budgetaire",IF(AND($AK128&lt;&gt;"Brouillon",$AK128&lt;&gt;"Annulee",$AK128&lt;&gt;"Rejetee",OR($BD128="Non",$BD128="")),"Pieces manquantes",IF(AND($AK128&lt;&gt;"Brouillon",OR($AR128="",$AR128="En attente")),"Depense non validee",IF(AND($AS128="Oui",$AW128&lt;&gt;"Oui"),"Engagement non paye",IF(AND($AW128="Non",$AK128="Validee"),"Paiement en attente",IF(AND($AY128&lt;&gt;"",$AZ128&gt;0),"Paiement partiel",IF(AND($AW128="Oui",$BG128&lt;&gt;"Oui"),"Rapprochement manquant",IF(AND($BF128="Oui",$AW128="Oui",$BG128="Oui"),"Dossier complet et paye","Normal")))))))))</f>
        <v/>
      </c>
      <c r="BT128" s="170"/>
      <c r="BU128" s="164" t="str">
        <f aca="false">IF($E128="","",COUNTIFS($E$119:E128,$E128))</f>
        <v/>
      </c>
      <c r="BV128" s="164" t="str">
        <f aca="false">IF($D128="","",COUNTIFS($D$119:D128,$D128))</f>
        <v/>
      </c>
    </row>
    <row r="129" customFormat="false" ht="15" hidden="false" customHeight="true" outlineLevel="0" collapsed="false">
      <c r="A129" s="164" t="str">
        <f aca="false">IF($V129="","","DEP"&amp;TEXT(ROW()-118,"00000"))</f>
        <v/>
      </c>
      <c r="B129" s="169"/>
      <c r="C129" s="167" t="str">
        <f aca="false">IF($B129="","",IFERROR(INDEX(BUDGET!$T$28:$T$67,MATCH($B129,BUDGET!$A$28:$A$67,0)),""))</f>
        <v/>
      </c>
      <c r="D129" s="167" t="str">
        <f aca="false">IF($B129="","",IFERROR(INDEX(BUDGET!$S$28:$S$67,MATCH($B129,BUDGET!$A$28:$A$67,0)),""))</f>
        <v/>
      </c>
      <c r="E129" s="169"/>
      <c r="F129" s="167" t="str">
        <f aca="false">IF($E129="","",IFERROR(INDEX(PROJETS!$C$56:$C$95,MATCH($E129,PROJETS!$A$56:$A$95,0)),""))</f>
        <v/>
      </c>
      <c r="G129" s="167" t="str">
        <f aca="false">IF($E129="","",IFERROR(INDEX(PROJETS!$J$56:$J$95,MATCH($E129,PROJETS!$A$56:$A$95,0)),""))</f>
        <v/>
      </c>
      <c r="H129" s="167" t="str">
        <f aca="false">IF($E129="","",IFERROR(INDEX(PROJETS!$N$56:$N$95,MATCH($E129,PROJETS!$A$56:$A$95,0)),""))</f>
        <v/>
      </c>
      <c r="I129" s="169"/>
      <c r="J129" s="167" t="str">
        <f aca="false">IF($I129="","",IFERROR(INDEX(ACTIVITES!$G$56:$G$105,MATCH($I129,ACTIVITES!$A$56:$A$105,0)),""))</f>
        <v/>
      </c>
      <c r="K129" s="169"/>
      <c r="L129" s="167" t="str">
        <f aca="false">IF($K129="","",IFERROR(INDEX(DONATEURS!$B$56:$B$205,MATCH($K129,DONATEURS!$A$56:$A$205,0)),""))</f>
        <v/>
      </c>
      <c r="M129" s="170"/>
      <c r="N129" s="170"/>
      <c r="O129" s="169"/>
      <c r="P129" s="169"/>
      <c r="Q129" s="169"/>
      <c r="R129" s="170"/>
      <c r="S129" s="169"/>
      <c r="T129" s="169"/>
      <c r="U129" s="170"/>
      <c r="V129" s="170"/>
      <c r="W129" s="170"/>
      <c r="X129" s="171"/>
      <c r="Y129" s="169"/>
      <c r="Z129" s="171"/>
      <c r="AA129" s="166" t="str">
        <f aca="false">IF(OR($X129="",$Z129=""),"",$X129*$Z129)</f>
        <v/>
      </c>
      <c r="AB129" s="171"/>
      <c r="AC129" s="171"/>
      <c r="AD129" s="166" t="str">
        <f aca="false">IF($AA129="","",$AA129+IF($AB129="",0,$AB129)+IF($AC129="",0,$AC129))</f>
        <v/>
      </c>
      <c r="AE129" s="169"/>
      <c r="AF129" s="172"/>
      <c r="AG129" s="166" t="str">
        <f aca="false">IF($AD129="","",IF(OR($AE129="FCFA",$AE129=""),$AD129,$AD129*IF($AF129="",1,$AF129)))</f>
        <v/>
      </c>
      <c r="AH129" s="169"/>
      <c r="AI129" s="170"/>
      <c r="AJ129" s="170"/>
      <c r="AK129" s="169"/>
      <c r="AL129" s="170"/>
      <c r="AM129" s="170"/>
      <c r="AN129" s="173"/>
      <c r="AO129" s="170"/>
      <c r="AP129" s="170"/>
      <c r="AQ129" s="173"/>
      <c r="AR129" s="169"/>
      <c r="AS129" s="169"/>
      <c r="AT129" s="173"/>
      <c r="AU129" s="171"/>
      <c r="AV129" s="170"/>
      <c r="AW129" s="169"/>
      <c r="AX129" s="173"/>
      <c r="AY129" s="171"/>
      <c r="AZ129" s="166" t="str">
        <f aca="false">IF($AG129="","",MAX($AG129-IF($AY129="",0,$AY129),0))</f>
        <v/>
      </c>
      <c r="BA129" s="169"/>
      <c r="BB129" s="170"/>
      <c r="BC129" s="173"/>
      <c r="BD129" s="169"/>
      <c r="BE129" s="170"/>
      <c r="BF129" s="164" t="str">
        <f aca="false">IF($V129="","",IF($BD129="Oui","Oui","Non"))</f>
        <v/>
      </c>
      <c r="BG129" s="169"/>
      <c r="BH129" s="173"/>
      <c r="BI129" s="170"/>
      <c r="BJ129" s="170"/>
      <c r="BK129" s="170"/>
      <c r="BL129" s="173"/>
      <c r="BM129" s="164" t="str">
        <f aca="false">IF($BL129="","",YEAR($BL129))</f>
        <v/>
      </c>
      <c r="BN129" s="174" t="str">
        <f aca="false">IF($BL129="","",INDEX(PARAMETRES!$C$53:$C$65,MONTH($BL129)))</f>
        <v/>
      </c>
      <c r="BO129" s="111" t="str">
        <f aca="false">IF($BL129="","",INDEX(PARAMETRES!$B$53:$B$65,MONTH($BL129)))</f>
        <v/>
      </c>
      <c r="BP129" s="166" t="n">
        <f aca="false">IFERROR(INDEX(BUDGET!$AL$28:$AL$67,MATCH($B129,BUDGET!$A$28:$A$67,0)),"")</f>
        <v>0</v>
      </c>
      <c r="BQ129" s="166" t="str">
        <f aca="false">IF(OR($BP129="",$AG129=""),"",$BP129-$AG129)</f>
        <v/>
      </c>
      <c r="BR129" s="168" t="str">
        <f aca="false">IFERROR($AG129/INDEX(BUDGET!$AK$28:$AK$67,MATCH($B129,BUDGET!$A$28:$A$67,0)),"")</f>
        <v/>
      </c>
      <c r="BS129" s="164" t="str">
        <f aca="false">IF($V129="","",IF(AND($BP129&lt;&gt;"",$AG129&lt;&gt;"",$AG129&gt;$BP129),"Depassement budgetaire",IF(AND($AK129&lt;&gt;"Brouillon",$AK129&lt;&gt;"Annulee",$AK129&lt;&gt;"Rejetee",OR($BD129="Non",$BD129="")),"Pieces manquantes",IF(AND($AK129&lt;&gt;"Brouillon",OR($AR129="",$AR129="En attente")),"Depense non validee",IF(AND($AS129="Oui",$AW129&lt;&gt;"Oui"),"Engagement non paye",IF(AND($AW129="Non",$AK129="Validee"),"Paiement en attente",IF(AND($AY129&lt;&gt;"",$AZ129&gt;0),"Paiement partiel",IF(AND($AW129="Oui",$BG129&lt;&gt;"Oui"),"Rapprochement manquant",IF(AND($BF129="Oui",$AW129="Oui",$BG129="Oui"),"Dossier complet et paye","Normal")))))))))</f>
        <v/>
      </c>
      <c r="BT129" s="170"/>
      <c r="BU129" s="164" t="str">
        <f aca="false">IF($E129="","",COUNTIFS($E$119:E129,$E129))</f>
        <v/>
      </c>
      <c r="BV129" s="164" t="str">
        <f aca="false">IF($D129="","",COUNTIFS($D$119:D129,$D129))</f>
        <v/>
      </c>
    </row>
    <row r="130" customFormat="false" ht="15" hidden="false" customHeight="true" outlineLevel="0" collapsed="false">
      <c r="A130" s="164" t="str">
        <f aca="false">IF($V130="","","DEP"&amp;TEXT(ROW()-118,"00000"))</f>
        <v/>
      </c>
      <c r="B130" s="169"/>
      <c r="C130" s="167" t="str">
        <f aca="false">IF($B130="","",IFERROR(INDEX(BUDGET!$T$28:$T$67,MATCH($B130,BUDGET!$A$28:$A$67,0)),""))</f>
        <v/>
      </c>
      <c r="D130" s="167" t="str">
        <f aca="false">IF($B130="","",IFERROR(INDEX(BUDGET!$S$28:$S$67,MATCH($B130,BUDGET!$A$28:$A$67,0)),""))</f>
        <v/>
      </c>
      <c r="E130" s="169"/>
      <c r="F130" s="167" t="str">
        <f aca="false">IF($E130="","",IFERROR(INDEX(PROJETS!$C$56:$C$95,MATCH($E130,PROJETS!$A$56:$A$95,0)),""))</f>
        <v/>
      </c>
      <c r="G130" s="167" t="str">
        <f aca="false">IF($E130="","",IFERROR(INDEX(PROJETS!$J$56:$J$95,MATCH($E130,PROJETS!$A$56:$A$95,0)),""))</f>
        <v/>
      </c>
      <c r="H130" s="167" t="str">
        <f aca="false">IF($E130="","",IFERROR(INDEX(PROJETS!$N$56:$N$95,MATCH($E130,PROJETS!$A$56:$A$95,0)),""))</f>
        <v/>
      </c>
      <c r="I130" s="169"/>
      <c r="J130" s="167" t="str">
        <f aca="false">IF($I130="","",IFERROR(INDEX(ACTIVITES!$G$56:$G$105,MATCH($I130,ACTIVITES!$A$56:$A$105,0)),""))</f>
        <v/>
      </c>
      <c r="K130" s="169"/>
      <c r="L130" s="167" t="str">
        <f aca="false">IF($K130="","",IFERROR(INDEX(DONATEURS!$B$56:$B$205,MATCH($K130,DONATEURS!$A$56:$A$205,0)),""))</f>
        <v/>
      </c>
      <c r="M130" s="170"/>
      <c r="N130" s="170"/>
      <c r="O130" s="169"/>
      <c r="P130" s="169"/>
      <c r="Q130" s="169"/>
      <c r="R130" s="170"/>
      <c r="S130" s="169"/>
      <c r="T130" s="169"/>
      <c r="U130" s="170"/>
      <c r="V130" s="170"/>
      <c r="W130" s="170"/>
      <c r="X130" s="171"/>
      <c r="Y130" s="169"/>
      <c r="Z130" s="171"/>
      <c r="AA130" s="166" t="str">
        <f aca="false">IF(OR($X130="",$Z130=""),"",$X130*$Z130)</f>
        <v/>
      </c>
      <c r="AB130" s="171"/>
      <c r="AC130" s="171"/>
      <c r="AD130" s="166" t="str">
        <f aca="false">IF($AA130="","",$AA130+IF($AB130="",0,$AB130)+IF($AC130="",0,$AC130))</f>
        <v/>
      </c>
      <c r="AE130" s="169"/>
      <c r="AF130" s="172"/>
      <c r="AG130" s="166" t="str">
        <f aca="false">IF($AD130="","",IF(OR($AE130="FCFA",$AE130=""),$AD130,$AD130*IF($AF130="",1,$AF130)))</f>
        <v/>
      </c>
      <c r="AH130" s="169"/>
      <c r="AI130" s="170"/>
      <c r="AJ130" s="170"/>
      <c r="AK130" s="169"/>
      <c r="AL130" s="170"/>
      <c r="AM130" s="170"/>
      <c r="AN130" s="173"/>
      <c r="AO130" s="170"/>
      <c r="AP130" s="170"/>
      <c r="AQ130" s="173"/>
      <c r="AR130" s="169"/>
      <c r="AS130" s="169"/>
      <c r="AT130" s="173"/>
      <c r="AU130" s="171"/>
      <c r="AV130" s="170"/>
      <c r="AW130" s="169"/>
      <c r="AX130" s="173"/>
      <c r="AY130" s="171"/>
      <c r="AZ130" s="166" t="str">
        <f aca="false">IF($AG130="","",MAX($AG130-IF($AY130="",0,$AY130),0))</f>
        <v/>
      </c>
      <c r="BA130" s="169"/>
      <c r="BB130" s="170"/>
      <c r="BC130" s="173"/>
      <c r="BD130" s="169"/>
      <c r="BE130" s="170"/>
      <c r="BF130" s="164" t="str">
        <f aca="false">IF($V130="","",IF($BD130="Oui","Oui","Non"))</f>
        <v/>
      </c>
      <c r="BG130" s="169"/>
      <c r="BH130" s="173"/>
      <c r="BI130" s="170"/>
      <c r="BJ130" s="170"/>
      <c r="BK130" s="170"/>
      <c r="BL130" s="173"/>
      <c r="BM130" s="164" t="str">
        <f aca="false">IF($BL130="","",YEAR($BL130))</f>
        <v/>
      </c>
      <c r="BN130" s="174" t="str">
        <f aca="false">IF($BL130="","",INDEX(PARAMETRES!$C$53:$C$65,MONTH($BL130)))</f>
        <v/>
      </c>
      <c r="BO130" s="111" t="str">
        <f aca="false">IF($BL130="","",INDEX(PARAMETRES!$B$53:$B$65,MONTH($BL130)))</f>
        <v/>
      </c>
      <c r="BP130" s="166" t="n">
        <f aca="false">IFERROR(INDEX(BUDGET!$AL$28:$AL$67,MATCH($B130,BUDGET!$A$28:$A$67,0)),"")</f>
        <v>0</v>
      </c>
      <c r="BQ130" s="166" t="str">
        <f aca="false">IF(OR($BP130="",$AG130=""),"",$BP130-$AG130)</f>
        <v/>
      </c>
      <c r="BR130" s="168" t="str">
        <f aca="false">IFERROR($AG130/INDEX(BUDGET!$AK$28:$AK$67,MATCH($B130,BUDGET!$A$28:$A$67,0)),"")</f>
        <v/>
      </c>
      <c r="BS130" s="164" t="str">
        <f aca="false">IF($V130="","",IF(AND($BP130&lt;&gt;"",$AG130&lt;&gt;"",$AG130&gt;$BP130),"Depassement budgetaire",IF(AND($AK130&lt;&gt;"Brouillon",$AK130&lt;&gt;"Annulee",$AK130&lt;&gt;"Rejetee",OR($BD130="Non",$BD130="")),"Pieces manquantes",IF(AND($AK130&lt;&gt;"Brouillon",OR($AR130="",$AR130="En attente")),"Depense non validee",IF(AND($AS130="Oui",$AW130&lt;&gt;"Oui"),"Engagement non paye",IF(AND($AW130="Non",$AK130="Validee"),"Paiement en attente",IF(AND($AY130&lt;&gt;"",$AZ130&gt;0),"Paiement partiel",IF(AND($AW130="Oui",$BG130&lt;&gt;"Oui"),"Rapprochement manquant",IF(AND($BF130="Oui",$AW130="Oui",$BG130="Oui"),"Dossier complet et paye","Normal")))))))))</f>
        <v/>
      </c>
      <c r="BT130" s="170"/>
      <c r="BU130" s="164" t="str">
        <f aca="false">IF($E130="","",COUNTIFS($E$119:E130,$E130))</f>
        <v/>
      </c>
      <c r="BV130" s="164" t="str">
        <f aca="false">IF($D130="","",COUNTIFS($D$119:D130,$D130))</f>
        <v/>
      </c>
    </row>
    <row r="131" customFormat="false" ht="15" hidden="false" customHeight="true" outlineLevel="0" collapsed="false">
      <c r="A131" s="164" t="str">
        <f aca="false">IF($V131="","","DEP"&amp;TEXT(ROW()-118,"00000"))</f>
        <v/>
      </c>
      <c r="B131" s="169"/>
      <c r="C131" s="167" t="str">
        <f aca="false">IF($B131="","",IFERROR(INDEX(BUDGET!$T$28:$T$67,MATCH($B131,BUDGET!$A$28:$A$67,0)),""))</f>
        <v/>
      </c>
      <c r="D131" s="167" t="str">
        <f aca="false">IF($B131="","",IFERROR(INDEX(BUDGET!$S$28:$S$67,MATCH($B131,BUDGET!$A$28:$A$67,0)),""))</f>
        <v/>
      </c>
      <c r="E131" s="169"/>
      <c r="F131" s="167" t="str">
        <f aca="false">IF($E131="","",IFERROR(INDEX(PROJETS!$C$56:$C$95,MATCH($E131,PROJETS!$A$56:$A$95,0)),""))</f>
        <v/>
      </c>
      <c r="G131" s="167" t="str">
        <f aca="false">IF($E131="","",IFERROR(INDEX(PROJETS!$J$56:$J$95,MATCH($E131,PROJETS!$A$56:$A$95,0)),""))</f>
        <v/>
      </c>
      <c r="H131" s="167" t="str">
        <f aca="false">IF($E131="","",IFERROR(INDEX(PROJETS!$N$56:$N$95,MATCH($E131,PROJETS!$A$56:$A$95,0)),""))</f>
        <v/>
      </c>
      <c r="I131" s="169"/>
      <c r="J131" s="167" t="str">
        <f aca="false">IF($I131="","",IFERROR(INDEX(ACTIVITES!$G$56:$G$105,MATCH($I131,ACTIVITES!$A$56:$A$105,0)),""))</f>
        <v/>
      </c>
      <c r="K131" s="169"/>
      <c r="L131" s="167" t="str">
        <f aca="false">IF($K131="","",IFERROR(INDEX(DONATEURS!$B$56:$B$205,MATCH($K131,DONATEURS!$A$56:$A$205,0)),""))</f>
        <v/>
      </c>
      <c r="M131" s="170"/>
      <c r="N131" s="170"/>
      <c r="O131" s="169"/>
      <c r="P131" s="169"/>
      <c r="Q131" s="169"/>
      <c r="R131" s="170"/>
      <c r="S131" s="169"/>
      <c r="T131" s="169"/>
      <c r="U131" s="170"/>
      <c r="V131" s="170"/>
      <c r="W131" s="170"/>
      <c r="X131" s="171"/>
      <c r="Y131" s="169"/>
      <c r="Z131" s="171"/>
      <c r="AA131" s="166" t="str">
        <f aca="false">IF(OR($X131="",$Z131=""),"",$X131*$Z131)</f>
        <v/>
      </c>
      <c r="AB131" s="171"/>
      <c r="AC131" s="171"/>
      <c r="AD131" s="166" t="str">
        <f aca="false">IF($AA131="","",$AA131+IF($AB131="",0,$AB131)+IF($AC131="",0,$AC131))</f>
        <v/>
      </c>
      <c r="AE131" s="169"/>
      <c r="AF131" s="172"/>
      <c r="AG131" s="166" t="str">
        <f aca="false">IF($AD131="","",IF(OR($AE131="FCFA",$AE131=""),$AD131,$AD131*IF($AF131="",1,$AF131)))</f>
        <v/>
      </c>
      <c r="AH131" s="169"/>
      <c r="AI131" s="170"/>
      <c r="AJ131" s="170"/>
      <c r="AK131" s="169"/>
      <c r="AL131" s="170"/>
      <c r="AM131" s="170"/>
      <c r="AN131" s="173"/>
      <c r="AO131" s="170"/>
      <c r="AP131" s="170"/>
      <c r="AQ131" s="173"/>
      <c r="AR131" s="169"/>
      <c r="AS131" s="169"/>
      <c r="AT131" s="173"/>
      <c r="AU131" s="171"/>
      <c r="AV131" s="170"/>
      <c r="AW131" s="169"/>
      <c r="AX131" s="173"/>
      <c r="AY131" s="171"/>
      <c r="AZ131" s="166" t="str">
        <f aca="false">IF($AG131="","",MAX($AG131-IF($AY131="",0,$AY131),0))</f>
        <v/>
      </c>
      <c r="BA131" s="169"/>
      <c r="BB131" s="170"/>
      <c r="BC131" s="173"/>
      <c r="BD131" s="169"/>
      <c r="BE131" s="170"/>
      <c r="BF131" s="164" t="str">
        <f aca="false">IF($V131="","",IF($BD131="Oui","Oui","Non"))</f>
        <v/>
      </c>
      <c r="BG131" s="169"/>
      <c r="BH131" s="173"/>
      <c r="BI131" s="170"/>
      <c r="BJ131" s="170"/>
      <c r="BK131" s="170"/>
      <c r="BL131" s="173"/>
      <c r="BM131" s="164" t="str">
        <f aca="false">IF($BL131="","",YEAR($BL131))</f>
        <v/>
      </c>
      <c r="BN131" s="174" t="str">
        <f aca="false">IF($BL131="","",INDEX(PARAMETRES!$C$53:$C$65,MONTH($BL131)))</f>
        <v/>
      </c>
      <c r="BO131" s="111" t="str">
        <f aca="false">IF($BL131="","",INDEX(PARAMETRES!$B$53:$B$65,MONTH($BL131)))</f>
        <v/>
      </c>
      <c r="BP131" s="166" t="n">
        <f aca="false">IFERROR(INDEX(BUDGET!$AL$28:$AL$67,MATCH($B131,BUDGET!$A$28:$A$67,0)),"")</f>
        <v>0</v>
      </c>
      <c r="BQ131" s="166" t="str">
        <f aca="false">IF(OR($BP131="",$AG131=""),"",$BP131-$AG131)</f>
        <v/>
      </c>
      <c r="BR131" s="168" t="str">
        <f aca="false">IFERROR($AG131/INDEX(BUDGET!$AK$28:$AK$67,MATCH($B131,BUDGET!$A$28:$A$67,0)),"")</f>
        <v/>
      </c>
      <c r="BS131" s="164" t="str">
        <f aca="false">IF($V131="","",IF(AND($BP131&lt;&gt;"",$AG131&lt;&gt;"",$AG131&gt;$BP131),"Depassement budgetaire",IF(AND($AK131&lt;&gt;"Brouillon",$AK131&lt;&gt;"Annulee",$AK131&lt;&gt;"Rejetee",OR($BD131="Non",$BD131="")),"Pieces manquantes",IF(AND($AK131&lt;&gt;"Brouillon",OR($AR131="",$AR131="En attente")),"Depense non validee",IF(AND($AS131="Oui",$AW131&lt;&gt;"Oui"),"Engagement non paye",IF(AND($AW131="Non",$AK131="Validee"),"Paiement en attente",IF(AND($AY131&lt;&gt;"",$AZ131&gt;0),"Paiement partiel",IF(AND($AW131="Oui",$BG131&lt;&gt;"Oui"),"Rapprochement manquant",IF(AND($BF131="Oui",$AW131="Oui",$BG131="Oui"),"Dossier complet et paye","Normal")))))))))</f>
        <v/>
      </c>
      <c r="BT131" s="170"/>
      <c r="BU131" s="164" t="str">
        <f aca="false">IF($E131="","",COUNTIFS($E$119:E131,$E131))</f>
        <v/>
      </c>
      <c r="BV131" s="164" t="str">
        <f aca="false">IF($D131="","",COUNTIFS($D$119:D131,$D131))</f>
        <v/>
      </c>
    </row>
    <row r="132" customFormat="false" ht="15" hidden="false" customHeight="true" outlineLevel="0" collapsed="false">
      <c r="A132" s="164" t="str">
        <f aca="false">IF($V132="","","DEP"&amp;TEXT(ROW()-118,"00000"))</f>
        <v/>
      </c>
      <c r="B132" s="169"/>
      <c r="C132" s="167" t="str">
        <f aca="false">IF($B132="","",IFERROR(INDEX(BUDGET!$T$28:$T$67,MATCH($B132,BUDGET!$A$28:$A$67,0)),""))</f>
        <v/>
      </c>
      <c r="D132" s="167" t="str">
        <f aca="false">IF($B132="","",IFERROR(INDEX(BUDGET!$S$28:$S$67,MATCH($B132,BUDGET!$A$28:$A$67,0)),""))</f>
        <v/>
      </c>
      <c r="E132" s="169"/>
      <c r="F132" s="167" t="str">
        <f aca="false">IF($E132="","",IFERROR(INDEX(PROJETS!$C$56:$C$95,MATCH($E132,PROJETS!$A$56:$A$95,0)),""))</f>
        <v/>
      </c>
      <c r="G132" s="167" t="str">
        <f aca="false">IF($E132="","",IFERROR(INDEX(PROJETS!$J$56:$J$95,MATCH($E132,PROJETS!$A$56:$A$95,0)),""))</f>
        <v/>
      </c>
      <c r="H132" s="167" t="str">
        <f aca="false">IF($E132="","",IFERROR(INDEX(PROJETS!$N$56:$N$95,MATCH($E132,PROJETS!$A$56:$A$95,0)),""))</f>
        <v/>
      </c>
      <c r="I132" s="169"/>
      <c r="J132" s="167" t="str">
        <f aca="false">IF($I132="","",IFERROR(INDEX(ACTIVITES!$G$56:$G$105,MATCH($I132,ACTIVITES!$A$56:$A$105,0)),""))</f>
        <v/>
      </c>
      <c r="K132" s="169"/>
      <c r="L132" s="167" t="str">
        <f aca="false">IF($K132="","",IFERROR(INDEX(DONATEURS!$B$56:$B$205,MATCH($K132,DONATEURS!$A$56:$A$205,0)),""))</f>
        <v/>
      </c>
      <c r="M132" s="170"/>
      <c r="N132" s="170"/>
      <c r="O132" s="169"/>
      <c r="P132" s="169"/>
      <c r="Q132" s="169"/>
      <c r="R132" s="170"/>
      <c r="S132" s="169"/>
      <c r="T132" s="169"/>
      <c r="U132" s="170"/>
      <c r="V132" s="170"/>
      <c r="W132" s="170"/>
      <c r="X132" s="171"/>
      <c r="Y132" s="169"/>
      <c r="Z132" s="171"/>
      <c r="AA132" s="166" t="str">
        <f aca="false">IF(OR($X132="",$Z132=""),"",$X132*$Z132)</f>
        <v/>
      </c>
      <c r="AB132" s="171"/>
      <c r="AC132" s="171"/>
      <c r="AD132" s="166" t="str">
        <f aca="false">IF($AA132="","",$AA132+IF($AB132="",0,$AB132)+IF($AC132="",0,$AC132))</f>
        <v/>
      </c>
      <c r="AE132" s="169"/>
      <c r="AF132" s="172"/>
      <c r="AG132" s="166" t="str">
        <f aca="false">IF($AD132="","",IF(OR($AE132="FCFA",$AE132=""),$AD132,$AD132*IF($AF132="",1,$AF132)))</f>
        <v/>
      </c>
      <c r="AH132" s="169"/>
      <c r="AI132" s="170"/>
      <c r="AJ132" s="170"/>
      <c r="AK132" s="169"/>
      <c r="AL132" s="170"/>
      <c r="AM132" s="170"/>
      <c r="AN132" s="173"/>
      <c r="AO132" s="170"/>
      <c r="AP132" s="170"/>
      <c r="AQ132" s="173"/>
      <c r="AR132" s="169"/>
      <c r="AS132" s="169"/>
      <c r="AT132" s="173"/>
      <c r="AU132" s="171"/>
      <c r="AV132" s="170"/>
      <c r="AW132" s="169"/>
      <c r="AX132" s="173"/>
      <c r="AY132" s="171"/>
      <c r="AZ132" s="166" t="str">
        <f aca="false">IF($AG132="","",MAX($AG132-IF($AY132="",0,$AY132),0))</f>
        <v/>
      </c>
      <c r="BA132" s="169"/>
      <c r="BB132" s="170"/>
      <c r="BC132" s="173"/>
      <c r="BD132" s="169"/>
      <c r="BE132" s="170"/>
      <c r="BF132" s="164" t="str">
        <f aca="false">IF($V132="","",IF($BD132="Oui","Oui","Non"))</f>
        <v/>
      </c>
      <c r="BG132" s="169"/>
      <c r="BH132" s="173"/>
      <c r="BI132" s="170"/>
      <c r="BJ132" s="170"/>
      <c r="BK132" s="170"/>
      <c r="BL132" s="173"/>
      <c r="BM132" s="164" t="str">
        <f aca="false">IF($BL132="","",YEAR($BL132))</f>
        <v/>
      </c>
      <c r="BN132" s="174" t="str">
        <f aca="false">IF($BL132="","",INDEX(PARAMETRES!$C$53:$C$65,MONTH($BL132)))</f>
        <v/>
      </c>
      <c r="BO132" s="111" t="str">
        <f aca="false">IF($BL132="","",INDEX(PARAMETRES!$B$53:$B$65,MONTH($BL132)))</f>
        <v/>
      </c>
      <c r="BP132" s="166" t="n">
        <f aca="false">IFERROR(INDEX(BUDGET!$AL$28:$AL$67,MATCH($B132,BUDGET!$A$28:$A$67,0)),"")</f>
        <v>0</v>
      </c>
      <c r="BQ132" s="166" t="str">
        <f aca="false">IF(OR($BP132="",$AG132=""),"",$BP132-$AG132)</f>
        <v/>
      </c>
      <c r="BR132" s="168" t="str">
        <f aca="false">IFERROR($AG132/INDEX(BUDGET!$AK$28:$AK$67,MATCH($B132,BUDGET!$A$28:$A$67,0)),"")</f>
        <v/>
      </c>
      <c r="BS132" s="164" t="str">
        <f aca="false">IF($V132="","",IF(AND($BP132&lt;&gt;"",$AG132&lt;&gt;"",$AG132&gt;$BP132),"Depassement budgetaire",IF(AND($AK132&lt;&gt;"Brouillon",$AK132&lt;&gt;"Annulee",$AK132&lt;&gt;"Rejetee",OR($BD132="Non",$BD132="")),"Pieces manquantes",IF(AND($AK132&lt;&gt;"Brouillon",OR($AR132="",$AR132="En attente")),"Depense non validee",IF(AND($AS132="Oui",$AW132&lt;&gt;"Oui"),"Engagement non paye",IF(AND($AW132="Non",$AK132="Validee"),"Paiement en attente",IF(AND($AY132&lt;&gt;"",$AZ132&gt;0),"Paiement partiel",IF(AND($AW132="Oui",$BG132&lt;&gt;"Oui"),"Rapprochement manquant",IF(AND($BF132="Oui",$AW132="Oui",$BG132="Oui"),"Dossier complet et paye","Normal")))))))))</f>
        <v/>
      </c>
      <c r="BT132" s="170"/>
      <c r="BU132" s="164" t="str">
        <f aca="false">IF($E132="","",COUNTIFS($E$119:E132,$E132))</f>
        <v/>
      </c>
      <c r="BV132" s="164" t="str">
        <f aca="false">IF($D132="","",COUNTIFS($D$119:D132,$D132))</f>
        <v/>
      </c>
    </row>
    <row r="133" customFormat="false" ht="15" hidden="false" customHeight="true" outlineLevel="0" collapsed="false">
      <c r="A133" s="164" t="str">
        <f aca="false">IF($V133="","","DEP"&amp;TEXT(ROW()-118,"00000"))</f>
        <v/>
      </c>
      <c r="B133" s="169"/>
      <c r="C133" s="167" t="str">
        <f aca="false">IF($B133="","",IFERROR(INDEX(BUDGET!$T$28:$T$67,MATCH($B133,BUDGET!$A$28:$A$67,0)),""))</f>
        <v/>
      </c>
      <c r="D133" s="167" t="str">
        <f aca="false">IF($B133="","",IFERROR(INDEX(BUDGET!$S$28:$S$67,MATCH($B133,BUDGET!$A$28:$A$67,0)),""))</f>
        <v/>
      </c>
      <c r="E133" s="169"/>
      <c r="F133" s="167" t="str">
        <f aca="false">IF($E133="","",IFERROR(INDEX(PROJETS!$C$56:$C$95,MATCH($E133,PROJETS!$A$56:$A$95,0)),""))</f>
        <v/>
      </c>
      <c r="G133" s="167" t="str">
        <f aca="false">IF($E133="","",IFERROR(INDEX(PROJETS!$J$56:$J$95,MATCH($E133,PROJETS!$A$56:$A$95,0)),""))</f>
        <v/>
      </c>
      <c r="H133" s="167" t="str">
        <f aca="false">IF($E133="","",IFERROR(INDEX(PROJETS!$N$56:$N$95,MATCH($E133,PROJETS!$A$56:$A$95,0)),""))</f>
        <v/>
      </c>
      <c r="I133" s="169"/>
      <c r="J133" s="167" t="str">
        <f aca="false">IF($I133="","",IFERROR(INDEX(ACTIVITES!$G$56:$G$105,MATCH($I133,ACTIVITES!$A$56:$A$105,0)),""))</f>
        <v/>
      </c>
      <c r="K133" s="169"/>
      <c r="L133" s="167" t="str">
        <f aca="false">IF($K133="","",IFERROR(INDEX(DONATEURS!$B$56:$B$205,MATCH($K133,DONATEURS!$A$56:$A$205,0)),""))</f>
        <v/>
      </c>
      <c r="M133" s="170"/>
      <c r="N133" s="170"/>
      <c r="O133" s="169"/>
      <c r="P133" s="169"/>
      <c r="Q133" s="169"/>
      <c r="R133" s="170"/>
      <c r="S133" s="169"/>
      <c r="T133" s="169"/>
      <c r="U133" s="170"/>
      <c r="V133" s="170"/>
      <c r="W133" s="170"/>
      <c r="X133" s="171"/>
      <c r="Y133" s="169"/>
      <c r="Z133" s="171"/>
      <c r="AA133" s="166" t="str">
        <f aca="false">IF(OR($X133="",$Z133=""),"",$X133*$Z133)</f>
        <v/>
      </c>
      <c r="AB133" s="171"/>
      <c r="AC133" s="171"/>
      <c r="AD133" s="166" t="str">
        <f aca="false">IF($AA133="","",$AA133+IF($AB133="",0,$AB133)+IF($AC133="",0,$AC133))</f>
        <v/>
      </c>
      <c r="AE133" s="169"/>
      <c r="AF133" s="172"/>
      <c r="AG133" s="166" t="str">
        <f aca="false">IF($AD133="","",IF(OR($AE133="FCFA",$AE133=""),$AD133,$AD133*IF($AF133="",1,$AF133)))</f>
        <v/>
      </c>
      <c r="AH133" s="169"/>
      <c r="AI133" s="170"/>
      <c r="AJ133" s="170"/>
      <c r="AK133" s="169"/>
      <c r="AL133" s="170"/>
      <c r="AM133" s="170"/>
      <c r="AN133" s="173"/>
      <c r="AO133" s="170"/>
      <c r="AP133" s="170"/>
      <c r="AQ133" s="173"/>
      <c r="AR133" s="169"/>
      <c r="AS133" s="169"/>
      <c r="AT133" s="173"/>
      <c r="AU133" s="171"/>
      <c r="AV133" s="170"/>
      <c r="AW133" s="169"/>
      <c r="AX133" s="173"/>
      <c r="AY133" s="171"/>
      <c r="AZ133" s="166" t="str">
        <f aca="false">IF($AG133="","",MAX($AG133-IF($AY133="",0,$AY133),0))</f>
        <v/>
      </c>
      <c r="BA133" s="169"/>
      <c r="BB133" s="170"/>
      <c r="BC133" s="173"/>
      <c r="BD133" s="169"/>
      <c r="BE133" s="170"/>
      <c r="BF133" s="164" t="str">
        <f aca="false">IF($V133="","",IF($BD133="Oui","Oui","Non"))</f>
        <v/>
      </c>
      <c r="BG133" s="169"/>
      <c r="BH133" s="173"/>
      <c r="BI133" s="170"/>
      <c r="BJ133" s="170"/>
      <c r="BK133" s="170"/>
      <c r="BL133" s="173"/>
      <c r="BM133" s="164" t="str">
        <f aca="false">IF($BL133="","",YEAR($BL133))</f>
        <v/>
      </c>
      <c r="BN133" s="174" t="str">
        <f aca="false">IF($BL133="","",INDEX(PARAMETRES!$C$53:$C$65,MONTH($BL133)))</f>
        <v/>
      </c>
      <c r="BO133" s="111" t="str">
        <f aca="false">IF($BL133="","",INDEX(PARAMETRES!$B$53:$B$65,MONTH($BL133)))</f>
        <v/>
      </c>
      <c r="BP133" s="166" t="n">
        <f aca="false">IFERROR(INDEX(BUDGET!$AL$28:$AL$67,MATCH($B133,BUDGET!$A$28:$A$67,0)),"")</f>
        <v>0</v>
      </c>
      <c r="BQ133" s="166" t="str">
        <f aca="false">IF(OR($BP133="",$AG133=""),"",$BP133-$AG133)</f>
        <v/>
      </c>
      <c r="BR133" s="168" t="str">
        <f aca="false">IFERROR($AG133/INDEX(BUDGET!$AK$28:$AK$67,MATCH($B133,BUDGET!$A$28:$A$67,0)),"")</f>
        <v/>
      </c>
      <c r="BS133" s="164" t="str">
        <f aca="false">IF($V133="","",IF(AND($BP133&lt;&gt;"",$AG133&lt;&gt;"",$AG133&gt;$BP133),"Depassement budgetaire",IF(AND($AK133&lt;&gt;"Brouillon",$AK133&lt;&gt;"Annulee",$AK133&lt;&gt;"Rejetee",OR($BD133="Non",$BD133="")),"Pieces manquantes",IF(AND($AK133&lt;&gt;"Brouillon",OR($AR133="",$AR133="En attente")),"Depense non validee",IF(AND($AS133="Oui",$AW133&lt;&gt;"Oui"),"Engagement non paye",IF(AND($AW133="Non",$AK133="Validee"),"Paiement en attente",IF(AND($AY133&lt;&gt;"",$AZ133&gt;0),"Paiement partiel",IF(AND($AW133="Oui",$BG133&lt;&gt;"Oui"),"Rapprochement manquant",IF(AND($BF133="Oui",$AW133="Oui",$BG133="Oui"),"Dossier complet et paye","Normal")))))))))</f>
        <v/>
      </c>
      <c r="BT133" s="170"/>
      <c r="BU133" s="164" t="str">
        <f aca="false">IF($E133="","",COUNTIFS($E$119:E133,$E133))</f>
        <v/>
      </c>
      <c r="BV133" s="164" t="str">
        <f aca="false">IF($D133="","",COUNTIFS($D$119:D133,$D133))</f>
        <v/>
      </c>
    </row>
    <row r="134" customFormat="false" ht="15" hidden="false" customHeight="true" outlineLevel="0" collapsed="false">
      <c r="A134" s="164" t="str">
        <f aca="false">IF($V134="","","DEP"&amp;TEXT(ROW()-118,"00000"))</f>
        <v/>
      </c>
      <c r="B134" s="169"/>
      <c r="C134" s="167" t="str">
        <f aca="false">IF($B134="","",IFERROR(INDEX(BUDGET!$T$28:$T$67,MATCH($B134,BUDGET!$A$28:$A$67,0)),""))</f>
        <v/>
      </c>
      <c r="D134" s="167" t="str">
        <f aca="false">IF($B134="","",IFERROR(INDEX(BUDGET!$S$28:$S$67,MATCH($B134,BUDGET!$A$28:$A$67,0)),""))</f>
        <v/>
      </c>
      <c r="E134" s="169"/>
      <c r="F134" s="167" t="str">
        <f aca="false">IF($E134="","",IFERROR(INDEX(PROJETS!$C$56:$C$95,MATCH($E134,PROJETS!$A$56:$A$95,0)),""))</f>
        <v/>
      </c>
      <c r="G134" s="167" t="str">
        <f aca="false">IF($E134="","",IFERROR(INDEX(PROJETS!$J$56:$J$95,MATCH($E134,PROJETS!$A$56:$A$95,0)),""))</f>
        <v/>
      </c>
      <c r="H134" s="167" t="str">
        <f aca="false">IF($E134="","",IFERROR(INDEX(PROJETS!$N$56:$N$95,MATCH($E134,PROJETS!$A$56:$A$95,0)),""))</f>
        <v/>
      </c>
      <c r="I134" s="169"/>
      <c r="J134" s="167" t="str">
        <f aca="false">IF($I134="","",IFERROR(INDEX(ACTIVITES!$G$56:$G$105,MATCH($I134,ACTIVITES!$A$56:$A$105,0)),""))</f>
        <v/>
      </c>
      <c r="K134" s="169"/>
      <c r="L134" s="167" t="str">
        <f aca="false">IF($K134="","",IFERROR(INDEX(DONATEURS!$B$56:$B$205,MATCH($K134,DONATEURS!$A$56:$A$205,0)),""))</f>
        <v/>
      </c>
      <c r="M134" s="170"/>
      <c r="N134" s="170"/>
      <c r="O134" s="169"/>
      <c r="P134" s="169"/>
      <c r="Q134" s="169"/>
      <c r="R134" s="170"/>
      <c r="S134" s="169"/>
      <c r="T134" s="169"/>
      <c r="U134" s="170"/>
      <c r="V134" s="170"/>
      <c r="W134" s="170"/>
      <c r="X134" s="171"/>
      <c r="Y134" s="169"/>
      <c r="Z134" s="171"/>
      <c r="AA134" s="166" t="str">
        <f aca="false">IF(OR($X134="",$Z134=""),"",$X134*$Z134)</f>
        <v/>
      </c>
      <c r="AB134" s="171"/>
      <c r="AC134" s="171"/>
      <c r="AD134" s="166" t="str">
        <f aca="false">IF($AA134="","",$AA134+IF($AB134="",0,$AB134)+IF($AC134="",0,$AC134))</f>
        <v/>
      </c>
      <c r="AE134" s="169"/>
      <c r="AF134" s="172"/>
      <c r="AG134" s="166" t="str">
        <f aca="false">IF($AD134="","",IF(OR($AE134="FCFA",$AE134=""),$AD134,$AD134*IF($AF134="",1,$AF134)))</f>
        <v/>
      </c>
      <c r="AH134" s="169"/>
      <c r="AI134" s="170"/>
      <c r="AJ134" s="170"/>
      <c r="AK134" s="169"/>
      <c r="AL134" s="170"/>
      <c r="AM134" s="170"/>
      <c r="AN134" s="173"/>
      <c r="AO134" s="170"/>
      <c r="AP134" s="170"/>
      <c r="AQ134" s="173"/>
      <c r="AR134" s="169"/>
      <c r="AS134" s="169"/>
      <c r="AT134" s="173"/>
      <c r="AU134" s="171"/>
      <c r="AV134" s="170"/>
      <c r="AW134" s="169"/>
      <c r="AX134" s="173"/>
      <c r="AY134" s="171"/>
      <c r="AZ134" s="166" t="str">
        <f aca="false">IF($AG134="","",MAX($AG134-IF($AY134="",0,$AY134),0))</f>
        <v/>
      </c>
      <c r="BA134" s="169"/>
      <c r="BB134" s="170"/>
      <c r="BC134" s="173"/>
      <c r="BD134" s="169"/>
      <c r="BE134" s="170"/>
      <c r="BF134" s="164" t="str">
        <f aca="false">IF($V134="","",IF($BD134="Oui","Oui","Non"))</f>
        <v/>
      </c>
      <c r="BG134" s="169"/>
      <c r="BH134" s="173"/>
      <c r="BI134" s="170"/>
      <c r="BJ134" s="170"/>
      <c r="BK134" s="170"/>
      <c r="BL134" s="173"/>
      <c r="BM134" s="164" t="str">
        <f aca="false">IF($BL134="","",YEAR($BL134))</f>
        <v/>
      </c>
      <c r="BN134" s="174" t="str">
        <f aca="false">IF($BL134="","",INDEX(PARAMETRES!$C$53:$C$65,MONTH($BL134)))</f>
        <v/>
      </c>
      <c r="BO134" s="111" t="str">
        <f aca="false">IF($BL134="","",INDEX(PARAMETRES!$B$53:$B$65,MONTH($BL134)))</f>
        <v/>
      </c>
      <c r="BP134" s="166" t="n">
        <f aca="false">IFERROR(INDEX(BUDGET!$AL$28:$AL$67,MATCH($B134,BUDGET!$A$28:$A$67,0)),"")</f>
        <v>0</v>
      </c>
      <c r="BQ134" s="166" t="str">
        <f aca="false">IF(OR($BP134="",$AG134=""),"",$BP134-$AG134)</f>
        <v/>
      </c>
      <c r="BR134" s="168" t="str">
        <f aca="false">IFERROR($AG134/INDEX(BUDGET!$AK$28:$AK$67,MATCH($B134,BUDGET!$A$28:$A$67,0)),"")</f>
        <v/>
      </c>
      <c r="BS134" s="164" t="str">
        <f aca="false">IF($V134="","",IF(AND($BP134&lt;&gt;"",$AG134&lt;&gt;"",$AG134&gt;$BP134),"Depassement budgetaire",IF(AND($AK134&lt;&gt;"Brouillon",$AK134&lt;&gt;"Annulee",$AK134&lt;&gt;"Rejetee",OR($BD134="Non",$BD134="")),"Pieces manquantes",IF(AND($AK134&lt;&gt;"Brouillon",OR($AR134="",$AR134="En attente")),"Depense non validee",IF(AND($AS134="Oui",$AW134&lt;&gt;"Oui"),"Engagement non paye",IF(AND($AW134="Non",$AK134="Validee"),"Paiement en attente",IF(AND($AY134&lt;&gt;"",$AZ134&gt;0),"Paiement partiel",IF(AND($AW134="Oui",$BG134&lt;&gt;"Oui"),"Rapprochement manquant",IF(AND($BF134="Oui",$AW134="Oui",$BG134="Oui"),"Dossier complet et paye","Normal")))))))))</f>
        <v/>
      </c>
      <c r="BT134" s="170"/>
      <c r="BU134" s="164" t="str">
        <f aca="false">IF($E134="","",COUNTIFS($E$119:E134,$E134))</f>
        <v/>
      </c>
      <c r="BV134" s="164" t="str">
        <f aca="false">IF($D134="","",COUNTIFS($D$119:D134,$D134))</f>
        <v/>
      </c>
    </row>
    <row r="135" customFormat="false" ht="15" hidden="false" customHeight="true" outlineLevel="0" collapsed="false">
      <c r="A135" s="164" t="str">
        <f aca="false">IF($V135="","","DEP"&amp;TEXT(ROW()-118,"00000"))</f>
        <v/>
      </c>
      <c r="B135" s="169"/>
      <c r="C135" s="167" t="str">
        <f aca="false">IF($B135="","",IFERROR(INDEX(BUDGET!$T$28:$T$67,MATCH($B135,BUDGET!$A$28:$A$67,0)),""))</f>
        <v/>
      </c>
      <c r="D135" s="167" t="str">
        <f aca="false">IF($B135="","",IFERROR(INDEX(BUDGET!$S$28:$S$67,MATCH($B135,BUDGET!$A$28:$A$67,0)),""))</f>
        <v/>
      </c>
      <c r="E135" s="169"/>
      <c r="F135" s="167" t="str">
        <f aca="false">IF($E135="","",IFERROR(INDEX(PROJETS!$C$56:$C$95,MATCH($E135,PROJETS!$A$56:$A$95,0)),""))</f>
        <v/>
      </c>
      <c r="G135" s="167" t="str">
        <f aca="false">IF($E135="","",IFERROR(INDEX(PROJETS!$J$56:$J$95,MATCH($E135,PROJETS!$A$56:$A$95,0)),""))</f>
        <v/>
      </c>
      <c r="H135" s="167" t="str">
        <f aca="false">IF($E135="","",IFERROR(INDEX(PROJETS!$N$56:$N$95,MATCH($E135,PROJETS!$A$56:$A$95,0)),""))</f>
        <v/>
      </c>
      <c r="I135" s="169"/>
      <c r="J135" s="167" t="str">
        <f aca="false">IF($I135="","",IFERROR(INDEX(ACTIVITES!$G$56:$G$105,MATCH($I135,ACTIVITES!$A$56:$A$105,0)),""))</f>
        <v/>
      </c>
      <c r="K135" s="169"/>
      <c r="L135" s="167" t="str">
        <f aca="false">IF($K135="","",IFERROR(INDEX(DONATEURS!$B$56:$B$205,MATCH($K135,DONATEURS!$A$56:$A$205,0)),""))</f>
        <v/>
      </c>
      <c r="M135" s="170"/>
      <c r="N135" s="170"/>
      <c r="O135" s="169"/>
      <c r="P135" s="169"/>
      <c r="Q135" s="169"/>
      <c r="R135" s="170"/>
      <c r="S135" s="169"/>
      <c r="T135" s="169"/>
      <c r="U135" s="170"/>
      <c r="V135" s="170"/>
      <c r="W135" s="170"/>
      <c r="X135" s="171"/>
      <c r="Y135" s="169"/>
      <c r="Z135" s="171"/>
      <c r="AA135" s="166" t="str">
        <f aca="false">IF(OR($X135="",$Z135=""),"",$X135*$Z135)</f>
        <v/>
      </c>
      <c r="AB135" s="171"/>
      <c r="AC135" s="171"/>
      <c r="AD135" s="166" t="str">
        <f aca="false">IF($AA135="","",$AA135+IF($AB135="",0,$AB135)+IF($AC135="",0,$AC135))</f>
        <v/>
      </c>
      <c r="AE135" s="169"/>
      <c r="AF135" s="172"/>
      <c r="AG135" s="166" t="str">
        <f aca="false">IF($AD135="","",IF(OR($AE135="FCFA",$AE135=""),$AD135,$AD135*IF($AF135="",1,$AF135)))</f>
        <v/>
      </c>
      <c r="AH135" s="169"/>
      <c r="AI135" s="170"/>
      <c r="AJ135" s="170"/>
      <c r="AK135" s="169"/>
      <c r="AL135" s="170"/>
      <c r="AM135" s="170"/>
      <c r="AN135" s="173"/>
      <c r="AO135" s="170"/>
      <c r="AP135" s="170"/>
      <c r="AQ135" s="173"/>
      <c r="AR135" s="169"/>
      <c r="AS135" s="169"/>
      <c r="AT135" s="173"/>
      <c r="AU135" s="171"/>
      <c r="AV135" s="170"/>
      <c r="AW135" s="169"/>
      <c r="AX135" s="173"/>
      <c r="AY135" s="171"/>
      <c r="AZ135" s="166" t="str">
        <f aca="false">IF($AG135="","",MAX($AG135-IF($AY135="",0,$AY135),0))</f>
        <v/>
      </c>
      <c r="BA135" s="169"/>
      <c r="BB135" s="170"/>
      <c r="BC135" s="173"/>
      <c r="BD135" s="169"/>
      <c r="BE135" s="170"/>
      <c r="BF135" s="164" t="str">
        <f aca="false">IF($V135="","",IF($BD135="Oui","Oui","Non"))</f>
        <v/>
      </c>
      <c r="BG135" s="169"/>
      <c r="BH135" s="173"/>
      <c r="BI135" s="170"/>
      <c r="BJ135" s="170"/>
      <c r="BK135" s="170"/>
      <c r="BL135" s="173"/>
      <c r="BM135" s="164" t="str">
        <f aca="false">IF($BL135="","",YEAR($BL135))</f>
        <v/>
      </c>
      <c r="BN135" s="174" t="str">
        <f aca="false">IF($BL135="","",INDEX(PARAMETRES!$C$53:$C$65,MONTH($BL135)))</f>
        <v/>
      </c>
      <c r="BO135" s="111" t="str">
        <f aca="false">IF($BL135="","",INDEX(PARAMETRES!$B$53:$B$65,MONTH($BL135)))</f>
        <v/>
      </c>
      <c r="BP135" s="166" t="n">
        <f aca="false">IFERROR(INDEX(BUDGET!$AL$28:$AL$67,MATCH($B135,BUDGET!$A$28:$A$67,0)),"")</f>
        <v>0</v>
      </c>
      <c r="BQ135" s="166" t="str">
        <f aca="false">IF(OR($BP135="",$AG135=""),"",$BP135-$AG135)</f>
        <v/>
      </c>
      <c r="BR135" s="168" t="str">
        <f aca="false">IFERROR($AG135/INDEX(BUDGET!$AK$28:$AK$67,MATCH($B135,BUDGET!$A$28:$A$67,0)),"")</f>
        <v/>
      </c>
      <c r="BS135" s="164" t="str">
        <f aca="false">IF($V135="","",IF(AND($BP135&lt;&gt;"",$AG135&lt;&gt;"",$AG135&gt;$BP135),"Depassement budgetaire",IF(AND($AK135&lt;&gt;"Brouillon",$AK135&lt;&gt;"Annulee",$AK135&lt;&gt;"Rejetee",OR($BD135="Non",$BD135="")),"Pieces manquantes",IF(AND($AK135&lt;&gt;"Brouillon",OR($AR135="",$AR135="En attente")),"Depense non validee",IF(AND($AS135="Oui",$AW135&lt;&gt;"Oui"),"Engagement non paye",IF(AND($AW135="Non",$AK135="Validee"),"Paiement en attente",IF(AND($AY135&lt;&gt;"",$AZ135&gt;0),"Paiement partiel",IF(AND($AW135="Oui",$BG135&lt;&gt;"Oui"),"Rapprochement manquant",IF(AND($BF135="Oui",$AW135="Oui",$BG135="Oui"),"Dossier complet et paye","Normal")))))))))</f>
        <v/>
      </c>
      <c r="BT135" s="170"/>
      <c r="BU135" s="164" t="str">
        <f aca="false">IF($E135="","",COUNTIFS($E$119:E135,$E135))</f>
        <v/>
      </c>
      <c r="BV135" s="164" t="str">
        <f aca="false">IF($D135="","",COUNTIFS($D$119:D135,$D135))</f>
        <v/>
      </c>
    </row>
    <row r="136" customFormat="false" ht="15" hidden="false" customHeight="true" outlineLevel="0" collapsed="false">
      <c r="A136" s="164" t="str">
        <f aca="false">IF($V136="","","DEP"&amp;TEXT(ROW()-118,"00000"))</f>
        <v/>
      </c>
      <c r="B136" s="169"/>
      <c r="C136" s="167" t="str">
        <f aca="false">IF($B136="","",IFERROR(INDEX(BUDGET!$T$28:$T$67,MATCH($B136,BUDGET!$A$28:$A$67,0)),""))</f>
        <v/>
      </c>
      <c r="D136" s="167" t="str">
        <f aca="false">IF($B136="","",IFERROR(INDEX(BUDGET!$S$28:$S$67,MATCH($B136,BUDGET!$A$28:$A$67,0)),""))</f>
        <v/>
      </c>
      <c r="E136" s="169"/>
      <c r="F136" s="167" t="str">
        <f aca="false">IF($E136="","",IFERROR(INDEX(PROJETS!$C$56:$C$95,MATCH($E136,PROJETS!$A$56:$A$95,0)),""))</f>
        <v/>
      </c>
      <c r="G136" s="167" t="str">
        <f aca="false">IF($E136="","",IFERROR(INDEX(PROJETS!$J$56:$J$95,MATCH($E136,PROJETS!$A$56:$A$95,0)),""))</f>
        <v/>
      </c>
      <c r="H136" s="167" t="str">
        <f aca="false">IF($E136="","",IFERROR(INDEX(PROJETS!$N$56:$N$95,MATCH($E136,PROJETS!$A$56:$A$95,0)),""))</f>
        <v/>
      </c>
      <c r="I136" s="169"/>
      <c r="J136" s="167" t="str">
        <f aca="false">IF($I136="","",IFERROR(INDEX(ACTIVITES!$G$56:$G$105,MATCH($I136,ACTIVITES!$A$56:$A$105,0)),""))</f>
        <v/>
      </c>
      <c r="K136" s="169"/>
      <c r="L136" s="167" t="str">
        <f aca="false">IF($K136="","",IFERROR(INDEX(DONATEURS!$B$56:$B$205,MATCH($K136,DONATEURS!$A$56:$A$205,0)),""))</f>
        <v/>
      </c>
      <c r="M136" s="170"/>
      <c r="N136" s="170"/>
      <c r="O136" s="169"/>
      <c r="P136" s="169"/>
      <c r="Q136" s="169"/>
      <c r="R136" s="170"/>
      <c r="S136" s="169"/>
      <c r="T136" s="169"/>
      <c r="U136" s="170"/>
      <c r="V136" s="170"/>
      <c r="W136" s="170"/>
      <c r="X136" s="171"/>
      <c r="Y136" s="169"/>
      <c r="Z136" s="171"/>
      <c r="AA136" s="166" t="str">
        <f aca="false">IF(OR($X136="",$Z136=""),"",$X136*$Z136)</f>
        <v/>
      </c>
      <c r="AB136" s="171"/>
      <c r="AC136" s="171"/>
      <c r="AD136" s="166" t="str">
        <f aca="false">IF($AA136="","",$AA136+IF($AB136="",0,$AB136)+IF($AC136="",0,$AC136))</f>
        <v/>
      </c>
      <c r="AE136" s="169"/>
      <c r="AF136" s="172"/>
      <c r="AG136" s="166" t="str">
        <f aca="false">IF($AD136="","",IF(OR($AE136="FCFA",$AE136=""),$AD136,$AD136*IF($AF136="",1,$AF136)))</f>
        <v/>
      </c>
      <c r="AH136" s="169"/>
      <c r="AI136" s="170"/>
      <c r="AJ136" s="170"/>
      <c r="AK136" s="169"/>
      <c r="AL136" s="170"/>
      <c r="AM136" s="170"/>
      <c r="AN136" s="173"/>
      <c r="AO136" s="170"/>
      <c r="AP136" s="170"/>
      <c r="AQ136" s="173"/>
      <c r="AR136" s="169"/>
      <c r="AS136" s="169"/>
      <c r="AT136" s="173"/>
      <c r="AU136" s="171"/>
      <c r="AV136" s="170"/>
      <c r="AW136" s="169"/>
      <c r="AX136" s="173"/>
      <c r="AY136" s="171"/>
      <c r="AZ136" s="166" t="str">
        <f aca="false">IF($AG136="","",MAX($AG136-IF($AY136="",0,$AY136),0))</f>
        <v/>
      </c>
      <c r="BA136" s="169"/>
      <c r="BB136" s="170"/>
      <c r="BC136" s="173"/>
      <c r="BD136" s="169"/>
      <c r="BE136" s="170"/>
      <c r="BF136" s="164" t="str">
        <f aca="false">IF($V136="","",IF($BD136="Oui","Oui","Non"))</f>
        <v/>
      </c>
      <c r="BG136" s="169"/>
      <c r="BH136" s="173"/>
      <c r="BI136" s="170"/>
      <c r="BJ136" s="170"/>
      <c r="BK136" s="170"/>
      <c r="BL136" s="173"/>
      <c r="BM136" s="164" t="str">
        <f aca="false">IF($BL136="","",YEAR($BL136))</f>
        <v/>
      </c>
      <c r="BN136" s="174" t="str">
        <f aca="false">IF($BL136="","",INDEX(PARAMETRES!$C$53:$C$65,MONTH($BL136)))</f>
        <v/>
      </c>
      <c r="BO136" s="111" t="str">
        <f aca="false">IF($BL136="","",INDEX(PARAMETRES!$B$53:$B$65,MONTH($BL136)))</f>
        <v/>
      </c>
      <c r="BP136" s="166" t="n">
        <f aca="false">IFERROR(INDEX(BUDGET!$AL$28:$AL$67,MATCH($B136,BUDGET!$A$28:$A$67,0)),"")</f>
        <v>0</v>
      </c>
      <c r="BQ136" s="166" t="str">
        <f aca="false">IF(OR($BP136="",$AG136=""),"",$BP136-$AG136)</f>
        <v/>
      </c>
      <c r="BR136" s="168" t="str">
        <f aca="false">IFERROR($AG136/INDEX(BUDGET!$AK$28:$AK$67,MATCH($B136,BUDGET!$A$28:$A$67,0)),"")</f>
        <v/>
      </c>
      <c r="BS136" s="164" t="str">
        <f aca="false">IF($V136="","",IF(AND($BP136&lt;&gt;"",$AG136&lt;&gt;"",$AG136&gt;$BP136),"Depassement budgetaire",IF(AND($AK136&lt;&gt;"Brouillon",$AK136&lt;&gt;"Annulee",$AK136&lt;&gt;"Rejetee",OR($BD136="Non",$BD136="")),"Pieces manquantes",IF(AND($AK136&lt;&gt;"Brouillon",OR($AR136="",$AR136="En attente")),"Depense non validee",IF(AND($AS136="Oui",$AW136&lt;&gt;"Oui"),"Engagement non paye",IF(AND($AW136="Non",$AK136="Validee"),"Paiement en attente",IF(AND($AY136&lt;&gt;"",$AZ136&gt;0),"Paiement partiel",IF(AND($AW136="Oui",$BG136&lt;&gt;"Oui"),"Rapprochement manquant",IF(AND($BF136="Oui",$AW136="Oui",$BG136="Oui"),"Dossier complet et paye","Normal")))))))))</f>
        <v/>
      </c>
      <c r="BT136" s="170"/>
      <c r="BU136" s="164" t="str">
        <f aca="false">IF($E136="","",COUNTIFS($E$119:E136,$E136))</f>
        <v/>
      </c>
      <c r="BV136" s="164" t="str">
        <f aca="false">IF($D136="","",COUNTIFS($D$119:D136,$D136))</f>
        <v/>
      </c>
    </row>
    <row r="137" customFormat="false" ht="15" hidden="false" customHeight="true" outlineLevel="0" collapsed="false">
      <c r="A137" s="164" t="str">
        <f aca="false">IF($V137="","","DEP"&amp;TEXT(ROW()-118,"00000"))</f>
        <v/>
      </c>
      <c r="B137" s="169"/>
      <c r="C137" s="167" t="str">
        <f aca="false">IF($B137="","",IFERROR(INDEX(BUDGET!$T$28:$T$67,MATCH($B137,BUDGET!$A$28:$A$67,0)),""))</f>
        <v/>
      </c>
      <c r="D137" s="167" t="str">
        <f aca="false">IF($B137="","",IFERROR(INDEX(BUDGET!$S$28:$S$67,MATCH($B137,BUDGET!$A$28:$A$67,0)),""))</f>
        <v/>
      </c>
      <c r="E137" s="169"/>
      <c r="F137" s="167" t="str">
        <f aca="false">IF($E137="","",IFERROR(INDEX(PROJETS!$C$56:$C$95,MATCH($E137,PROJETS!$A$56:$A$95,0)),""))</f>
        <v/>
      </c>
      <c r="G137" s="167" t="str">
        <f aca="false">IF($E137="","",IFERROR(INDEX(PROJETS!$J$56:$J$95,MATCH($E137,PROJETS!$A$56:$A$95,0)),""))</f>
        <v/>
      </c>
      <c r="H137" s="167" t="str">
        <f aca="false">IF($E137="","",IFERROR(INDEX(PROJETS!$N$56:$N$95,MATCH($E137,PROJETS!$A$56:$A$95,0)),""))</f>
        <v/>
      </c>
      <c r="I137" s="169"/>
      <c r="J137" s="167" t="str">
        <f aca="false">IF($I137="","",IFERROR(INDEX(ACTIVITES!$G$56:$G$105,MATCH($I137,ACTIVITES!$A$56:$A$105,0)),""))</f>
        <v/>
      </c>
      <c r="K137" s="169"/>
      <c r="L137" s="167" t="str">
        <f aca="false">IF($K137="","",IFERROR(INDEX(DONATEURS!$B$56:$B$205,MATCH($K137,DONATEURS!$A$56:$A$205,0)),""))</f>
        <v/>
      </c>
      <c r="M137" s="170"/>
      <c r="N137" s="170"/>
      <c r="O137" s="169"/>
      <c r="P137" s="169"/>
      <c r="Q137" s="169"/>
      <c r="R137" s="170"/>
      <c r="S137" s="169"/>
      <c r="T137" s="169"/>
      <c r="U137" s="170"/>
      <c r="V137" s="170"/>
      <c r="W137" s="170"/>
      <c r="X137" s="171"/>
      <c r="Y137" s="169"/>
      <c r="Z137" s="171"/>
      <c r="AA137" s="166" t="str">
        <f aca="false">IF(OR($X137="",$Z137=""),"",$X137*$Z137)</f>
        <v/>
      </c>
      <c r="AB137" s="171"/>
      <c r="AC137" s="171"/>
      <c r="AD137" s="166" t="str">
        <f aca="false">IF($AA137="","",$AA137+IF($AB137="",0,$AB137)+IF($AC137="",0,$AC137))</f>
        <v/>
      </c>
      <c r="AE137" s="169"/>
      <c r="AF137" s="172"/>
      <c r="AG137" s="166" t="str">
        <f aca="false">IF($AD137="","",IF(OR($AE137="FCFA",$AE137=""),$AD137,$AD137*IF($AF137="",1,$AF137)))</f>
        <v/>
      </c>
      <c r="AH137" s="169"/>
      <c r="AI137" s="170"/>
      <c r="AJ137" s="170"/>
      <c r="AK137" s="169"/>
      <c r="AL137" s="170"/>
      <c r="AM137" s="170"/>
      <c r="AN137" s="173"/>
      <c r="AO137" s="170"/>
      <c r="AP137" s="170"/>
      <c r="AQ137" s="173"/>
      <c r="AR137" s="169"/>
      <c r="AS137" s="169"/>
      <c r="AT137" s="173"/>
      <c r="AU137" s="171"/>
      <c r="AV137" s="170"/>
      <c r="AW137" s="169"/>
      <c r="AX137" s="173"/>
      <c r="AY137" s="171"/>
      <c r="AZ137" s="166" t="str">
        <f aca="false">IF($AG137="","",MAX($AG137-IF($AY137="",0,$AY137),0))</f>
        <v/>
      </c>
      <c r="BA137" s="169"/>
      <c r="BB137" s="170"/>
      <c r="BC137" s="173"/>
      <c r="BD137" s="169"/>
      <c r="BE137" s="170"/>
      <c r="BF137" s="164" t="str">
        <f aca="false">IF($V137="","",IF($BD137="Oui","Oui","Non"))</f>
        <v/>
      </c>
      <c r="BG137" s="169"/>
      <c r="BH137" s="173"/>
      <c r="BI137" s="170"/>
      <c r="BJ137" s="170"/>
      <c r="BK137" s="170"/>
      <c r="BL137" s="173"/>
      <c r="BM137" s="164" t="str">
        <f aca="false">IF($BL137="","",YEAR($BL137))</f>
        <v/>
      </c>
      <c r="BN137" s="174" t="str">
        <f aca="false">IF($BL137="","",INDEX(PARAMETRES!$C$53:$C$65,MONTH($BL137)))</f>
        <v/>
      </c>
      <c r="BO137" s="111" t="str">
        <f aca="false">IF($BL137="","",INDEX(PARAMETRES!$B$53:$B$65,MONTH($BL137)))</f>
        <v/>
      </c>
      <c r="BP137" s="166" t="n">
        <f aca="false">IFERROR(INDEX(BUDGET!$AL$28:$AL$67,MATCH($B137,BUDGET!$A$28:$A$67,0)),"")</f>
        <v>0</v>
      </c>
      <c r="BQ137" s="166" t="str">
        <f aca="false">IF(OR($BP137="",$AG137=""),"",$BP137-$AG137)</f>
        <v/>
      </c>
      <c r="BR137" s="168" t="str">
        <f aca="false">IFERROR($AG137/INDEX(BUDGET!$AK$28:$AK$67,MATCH($B137,BUDGET!$A$28:$A$67,0)),"")</f>
        <v/>
      </c>
      <c r="BS137" s="164" t="str">
        <f aca="false">IF($V137="","",IF(AND($BP137&lt;&gt;"",$AG137&lt;&gt;"",$AG137&gt;$BP137),"Depassement budgetaire",IF(AND($AK137&lt;&gt;"Brouillon",$AK137&lt;&gt;"Annulee",$AK137&lt;&gt;"Rejetee",OR($BD137="Non",$BD137="")),"Pieces manquantes",IF(AND($AK137&lt;&gt;"Brouillon",OR($AR137="",$AR137="En attente")),"Depense non validee",IF(AND($AS137="Oui",$AW137&lt;&gt;"Oui"),"Engagement non paye",IF(AND($AW137="Non",$AK137="Validee"),"Paiement en attente",IF(AND($AY137&lt;&gt;"",$AZ137&gt;0),"Paiement partiel",IF(AND($AW137="Oui",$BG137&lt;&gt;"Oui"),"Rapprochement manquant",IF(AND($BF137="Oui",$AW137="Oui",$BG137="Oui"),"Dossier complet et paye","Normal")))))))))</f>
        <v/>
      </c>
      <c r="BT137" s="170"/>
      <c r="BU137" s="164" t="str">
        <f aca="false">IF($E137="","",COUNTIFS($E$119:E137,$E137))</f>
        <v/>
      </c>
      <c r="BV137" s="164" t="str">
        <f aca="false">IF($D137="","",COUNTIFS($D$119:D137,$D137))</f>
        <v/>
      </c>
    </row>
    <row r="138" customFormat="false" ht="15" hidden="false" customHeight="true" outlineLevel="0" collapsed="false">
      <c r="A138" s="164" t="str">
        <f aca="false">IF($V138="","","DEP"&amp;TEXT(ROW()-118,"00000"))</f>
        <v/>
      </c>
      <c r="B138" s="169"/>
      <c r="C138" s="167" t="str">
        <f aca="false">IF($B138="","",IFERROR(INDEX(BUDGET!$T$28:$T$67,MATCH($B138,BUDGET!$A$28:$A$67,0)),""))</f>
        <v/>
      </c>
      <c r="D138" s="167" t="str">
        <f aca="false">IF($B138="","",IFERROR(INDEX(BUDGET!$S$28:$S$67,MATCH($B138,BUDGET!$A$28:$A$67,0)),""))</f>
        <v/>
      </c>
      <c r="E138" s="169"/>
      <c r="F138" s="167" t="str">
        <f aca="false">IF($E138="","",IFERROR(INDEX(PROJETS!$C$56:$C$95,MATCH($E138,PROJETS!$A$56:$A$95,0)),""))</f>
        <v/>
      </c>
      <c r="G138" s="167" t="str">
        <f aca="false">IF($E138="","",IFERROR(INDEX(PROJETS!$J$56:$J$95,MATCH($E138,PROJETS!$A$56:$A$95,0)),""))</f>
        <v/>
      </c>
      <c r="H138" s="167" t="str">
        <f aca="false">IF($E138="","",IFERROR(INDEX(PROJETS!$N$56:$N$95,MATCH($E138,PROJETS!$A$56:$A$95,0)),""))</f>
        <v/>
      </c>
      <c r="I138" s="169"/>
      <c r="J138" s="167" t="str">
        <f aca="false">IF($I138="","",IFERROR(INDEX(ACTIVITES!$G$56:$G$105,MATCH($I138,ACTIVITES!$A$56:$A$105,0)),""))</f>
        <v/>
      </c>
      <c r="K138" s="169"/>
      <c r="L138" s="167" t="str">
        <f aca="false">IF($K138="","",IFERROR(INDEX(DONATEURS!$B$56:$B$205,MATCH($K138,DONATEURS!$A$56:$A$205,0)),""))</f>
        <v/>
      </c>
      <c r="M138" s="170"/>
      <c r="N138" s="170"/>
      <c r="O138" s="169"/>
      <c r="P138" s="169"/>
      <c r="Q138" s="169"/>
      <c r="R138" s="170"/>
      <c r="S138" s="169"/>
      <c r="T138" s="169"/>
      <c r="U138" s="170"/>
      <c r="V138" s="170"/>
      <c r="W138" s="170"/>
      <c r="X138" s="171"/>
      <c r="Y138" s="169"/>
      <c r="Z138" s="171"/>
      <c r="AA138" s="166" t="str">
        <f aca="false">IF(OR($X138="",$Z138=""),"",$X138*$Z138)</f>
        <v/>
      </c>
      <c r="AB138" s="171"/>
      <c r="AC138" s="171"/>
      <c r="AD138" s="166" t="str">
        <f aca="false">IF($AA138="","",$AA138+IF($AB138="",0,$AB138)+IF($AC138="",0,$AC138))</f>
        <v/>
      </c>
      <c r="AE138" s="169"/>
      <c r="AF138" s="172"/>
      <c r="AG138" s="166" t="str">
        <f aca="false">IF($AD138="","",IF(OR($AE138="FCFA",$AE138=""),$AD138,$AD138*IF($AF138="",1,$AF138)))</f>
        <v/>
      </c>
      <c r="AH138" s="169"/>
      <c r="AI138" s="170"/>
      <c r="AJ138" s="170"/>
      <c r="AK138" s="169"/>
      <c r="AL138" s="170"/>
      <c r="AM138" s="170"/>
      <c r="AN138" s="173"/>
      <c r="AO138" s="170"/>
      <c r="AP138" s="170"/>
      <c r="AQ138" s="173"/>
      <c r="AR138" s="169"/>
      <c r="AS138" s="169"/>
      <c r="AT138" s="173"/>
      <c r="AU138" s="171"/>
      <c r="AV138" s="170"/>
      <c r="AW138" s="169"/>
      <c r="AX138" s="173"/>
      <c r="AY138" s="171"/>
      <c r="AZ138" s="166" t="str">
        <f aca="false">IF($AG138="","",MAX($AG138-IF($AY138="",0,$AY138),0))</f>
        <v/>
      </c>
      <c r="BA138" s="169"/>
      <c r="BB138" s="170"/>
      <c r="BC138" s="173"/>
      <c r="BD138" s="169"/>
      <c r="BE138" s="170"/>
      <c r="BF138" s="164" t="str">
        <f aca="false">IF($V138="","",IF($BD138="Oui","Oui","Non"))</f>
        <v/>
      </c>
      <c r="BG138" s="169"/>
      <c r="BH138" s="173"/>
      <c r="BI138" s="170"/>
      <c r="BJ138" s="170"/>
      <c r="BK138" s="170"/>
      <c r="BL138" s="173"/>
      <c r="BM138" s="164" t="str">
        <f aca="false">IF($BL138="","",YEAR($BL138))</f>
        <v/>
      </c>
      <c r="BN138" s="174" t="str">
        <f aca="false">IF($BL138="","",INDEX(PARAMETRES!$C$53:$C$65,MONTH($BL138)))</f>
        <v/>
      </c>
      <c r="BO138" s="111" t="str">
        <f aca="false">IF($BL138="","",INDEX(PARAMETRES!$B$53:$B$65,MONTH($BL138)))</f>
        <v/>
      </c>
      <c r="BP138" s="166" t="n">
        <f aca="false">IFERROR(INDEX(BUDGET!$AL$28:$AL$67,MATCH($B138,BUDGET!$A$28:$A$67,0)),"")</f>
        <v>0</v>
      </c>
      <c r="BQ138" s="166" t="str">
        <f aca="false">IF(OR($BP138="",$AG138=""),"",$BP138-$AG138)</f>
        <v/>
      </c>
      <c r="BR138" s="168" t="str">
        <f aca="false">IFERROR($AG138/INDEX(BUDGET!$AK$28:$AK$67,MATCH($B138,BUDGET!$A$28:$A$67,0)),"")</f>
        <v/>
      </c>
      <c r="BS138" s="164" t="str">
        <f aca="false">IF($V138="","",IF(AND($BP138&lt;&gt;"",$AG138&lt;&gt;"",$AG138&gt;$BP138),"Depassement budgetaire",IF(AND($AK138&lt;&gt;"Brouillon",$AK138&lt;&gt;"Annulee",$AK138&lt;&gt;"Rejetee",OR($BD138="Non",$BD138="")),"Pieces manquantes",IF(AND($AK138&lt;&gt;"Brouillon",OR($AR138="",$AR138="En attente")),"Depense non validee",IF(AND($AS138="Oui",$AW138&lt;&gt;"Oui"),"Engagement non paye",IF(AND($AW138="Non",$AK138="Validee"),"Paiement en attente",IF(AND($AY138&lt;&gt;"",$AZ138&gt;0),"Paiement partiel",IF(AND($AW138="Oui",$BG138&lt;&gt;"Oui"),"Rapprochement manquant",IF(AND($BF138="Oui",$AW138="Oui",$BG138="Oui"),"Dossier complet et paye","Normal")))))))))</f>
        <v/>
      </c>
      <c r="BT138" s="170"/>
      <c r="BU138" s="164" t="str">
        <f aca="false">IF($E138="","",COUNTIFS($E$119:E138,$E138))</f>
        <v/>
      </c>
      <c r="BV138" s="164" t="str">
        <f aca="false">IF($D138="","",COUNTIFS($D$119:D138,$D138))</f>
        <v/>
      </c>
    </row>
    <row r="139" customFormat="false" ht="15" hidden="false" customHeight="true" outlineLevel="0" collapsed="false">
      <c r="A139" s="164" t="str">
        <f aca="false">IF($V139="","","DEP"&amp;TEXT(ROW()-118,"00000"))</f>
        <v/>
      </c>
      <c r="B139" s="169"/>
      <c r="C139" s="167" t="str">
        <f aca="false">IF($B139="","",IFERROR(INDEX(BUDGET!$T$28:$T$67,MATCH($B139,BUDGET!$A$28:$A$67,0)),""))</f>
        <v/>
      </c>
      <c r="D139" s="167" t="str">
        <f aca="false">IF($B139="","",IFERROR(INDEX(BUDGET!$S$28:$S$67,MATCH($B139,BUDGET!$A$28:$A$67,0)),""))</f>
        <v/>
      </c>
      <c r="E139" s="169"/>
      <c r="F139" s="167" t="str">
        <f aca="false">IF($E139="","",IFERROR(INDEX(PROJETS!$C$56:$C$95,MATCH($E139,PROJETS!$A$56:$A$95,0)),""))</f>
        <v/>
      </c>
      <c r="G139" s="167" t="str">
        <f aca="false">IF($E139="","",IFERROR(INDEX(PROJETS!$J$56:$J$95,MATCH($E139,PROJETS!$A$56:$A$95,0)),""))</f>
        <v/>
      </c>
      <c r="H139" s="167" t="str">
        <f aca="false">IF($E139="","",IFERROR(INDEX(PROJETS!$N$56:$N$95,MATCH($E139,PROJETS!$A$56:$A$95,0)),""))</f>
        <v/>
      </c>
      <c r="I139" s="169"/>
      <c r="J139" s="167" t="str">
        <f aca="false">IF($I139="","",IFERROR(INDEX(ACTIVITES!$G$56:$G$105,MATCH($I139,ACTIVITES!$A$56:$A$105,0)),""))</f>
        <v/>
      </c>
      <c r="K139" s="169"/>
      <c r="L139" s="167" t="str">
        <f aca="false">IF($K139="","",IFERROR(INDEX(DONATEURS!$B$56:$B$205,MATCH($K139,DONATEURS!$A$56:$A$205,0)),""))</f>
        <v/>
      </c>
      <c r="M139" s="170"/>
      <c r="N139" s="170"/>
      <c r="O139" s="169"/>
      <c r="P139" s="169"/>
      <c r="Q139" s="169"/>
      <c r="R139" s="170"/>
      <c r="S139" s="169"/>
      <c r="T139" s="169"/>
      <c r="U139" s="170"/>
      <c r="V139" s="170"/>
      <c r="W139" s="170"/>
      <c r="X139" s="171"/>
      <c r="Y139" s="169"/>
      <c r="Z139" s="171"/>
      <c r="AA139" s="166" t="str">
        <f aca="false">IF(OR($X139="",$Z139=""),"",$X139*$Z139)</f>
        <v/>
      </c>
      <c r="AB139" s="171"/>
      <c r="AC139" s="171"/>
      <c r="AD139" s="166" t="str">
        <f aca="false">IF($AA139="","",$AA139+IF($AB139="",0,$AB139)+IF($AC139="",0,$AC139))</f>
        <v/>
      </c>
      <c r="AE139" s="169"/>
      <c r="AF139" s="172"/>
      <c r="AG139" s="166" t="str">
        <f aca="false">IF($AD139="","",IF(OR($AE139="FCFA",$AE139=""),$AD139,$AD139*IF($AF139="",1,$AF139)))</f>
        <v/>
      </c>
      <c r="AH139" s="169"/>
      <c r="AI139" s="170"/>
      <c r="AJ139" s="170"/>
      <c r="AK139" s="169"/>
      <c r="AL139" s="170"/>
      <c r="AM139" s="170"/>
      <c r="AN139" s="173"/>
      <c r="AO139" s="170"/>
      <c r="AP139" s="170"/>
      <c r="AQ139" s="173"/>
      <c r="AR139" s="169"/>
      <c r="AS139" s="169"/>
      <c r="AT139" s="173"/>
      <c r="AU139" s="171"/>
      <c r="AV139" s="170"/>
      <c r="AW139" s="169"/>
      <c r="AX139" s="173"/>
      <c r="AY139" s="171"/>
      <c r="AZ139" s="166" t="str">
        <f aca="false">IF($AG139="","",MAX($AG139-IF($AY139="",0,$AY139),0))</f>
        <v/>
      </c>
      <c r="BA139" s="169"/>
      <c r="BB139" s="170"/>
      <c r="BC139" s="173"/>
      <c r="BD139" s="169"/>
      <c r="BE139" s="170"/>
      <c r="BF139" s="164" t="str">
        <f aca="false">IF($V139="","",IF($BD139="Oui","Oui","Non"))</f>
        <v/>
      </c>
      <c r="BG139" s="169"/>
      <c r="BH139" s="173"/>
      <c r="BI139" s="170"/>
      <c r="BJ139" s="170"/>
      <c r="BK139" s="170"/>
      <c r="BL139" s="173"/>
      <c r="BM139" s="164" t="str">
        <f aca="false">IF($BL139="","",YEAR($BL139))</f>
        <v/>
      </c>
      <c r="BN139" s="174" t="str">
        <f aca="false">IF($BL139="","",INDEX(PARAMETRES!$C$53:$C$65,MONTH($BL139)))</f>
        <v/>
      </c>
      <c r="BO139" s="111" t="str">
        <f aca="false">IF($BL139="","",INDEX(PARAMETRES!$B$53:$B$65,MONTH($BL139)))</f>
        <v/>
      </c>
      <c r="BP139" s="166" t="n">
        <f aca="false">IFERROR(INDEX(BUDGET!$AL$28:$AL$67,MATCH($B139,BUDGET!$A$28:$A$67,0)),"")</f>
        <v>0</v>
      </c>
      <c r="BQ139" s="166" t="str">
        <f aca="false">IF(OR($BP139="",$AG139=""),"",$BP139-$AG139)</f>
        <v/>
      </c>
      <c r="BR139" s="168" t="str">
        <f aca="false">IFERROR($AG139/INDEX(BUDGET!$AK$28:$AK$67,MATCH($B139,BUDGET!$A$28:$A$67,0)),"")</f>
        <v/>
      </c>
      <c r="BS139" s="164" t="str">
        <f aca="false">IF($V139="","",IF(AND($BP139&lt;&gt;"",$AG139&lt;&gt;"",$AG139&gt;$BP139),"Depassement budgetaire",IF(AND($AK139&lt;&gt;"Brouillon",$AK139&lt;&gt;"Annulee",$AK139&lt;&gt;"Rejetee",OR($BD139="Non",$BD139="")),"Pieces manquantes",IF(AND($AK139&lt;&gt;"Brouillon",OR($AR139="",$AR139="En attente")),"Depense non validee",IF(AND($AS139="Oui",$AW139&lt;&gt;"Oui"),"Engagement non paye",IF(AND($AW139="Non",$AK139="Validee"),"Paiement en attente",IF(AND($AY139&lt;&gt;"",$AZ139&gt;0),"Paiement partiel",IF(AND($AW139="Oui",$BG139&lt;&gt;"Oui"),"Rapprochement manquant",IF(AND($BF139="Oui",$AW139="Oui",$BG139="Oui"),"Dossier complet et paye","Normal")))))))))</f>
        <v/>
      </c>
      <c r="BT139" s="170"/>
      <c r="BU139" s="164" t="str">
        <f aca="false">IF($E139="","",COUNTIFS($E$119:E139,$E139))</f>
        <v/>
      </c>
      <c r="BV139" s="164" t="str">
        <f aca="false">IF($D139="","",COUNTIFS($D$119:D139,$D139))</f>
        <v/>
      </c>
    </row>
    <row r="140" customFormat="false" ht="15" hidden="false" customHeight="true" outlineLevel="0" collapsed="false">
      <c r="A140" s="164" t="str">
        <f aca="false">IF($V140="","","DEP"&amp;TEXT(ROW()-118,"00000"))</f>
        <v/>
      </c>
      <c r="B140" s="169"/>
      <c r="C140" s="167" t="str">
        <f aca="false">IF($B140="","",IFERROR(INDEX(BUDGET!$T$28:$T$67,MATCH($B140,BUDGET!$A$28:$A$67,0)),""))</f>
        <v/>
      </c>
      <c r="D140" s="167" t="str">
        <f aca="false">IF($B140="","",IFERROR(INDEX(BUDGET!$S$28:$S$67,MATCH($B140,BUDGET!$A$28:$A$67,0)),""))</f>
        <v/>
      </c>
      <c r="E140" s="169"/>
      <c r="F140" s="167" t="str">
        <f aca="false">IF($E140="","",IFERROR(INDEX(PROJETS!$C$56:$C$95,MATCH($E140,PROJETS!$A$56:$A$95,0)),""))</f>
        <v/>
      </c>
      <c r="G140" s="167" t="str">
        <f aca="false">IF($E140="","",IFERROR(INDEX(PROJETS!$J$56:$J$95,MATCH($E140,PROJETS!$A$56:$A$95,0)),""))</f>
        <v/>
      </c>
      <c r="H140" s="167" t="str">
        <f aca="false">IF($E140="","",IFERROR(INDEX(PROJETS!$N$56:$N$95,MATCH($E140,PROJETS!$A$56:$A$95,0)),""))</f>
        <v/>
      </c>
      <c r="I140" s="169"/>
      <c r="J140" s="167" t="str">
        <f aca="false">IF($I140="","",IFERROR(INDEX(ACTIVITES!$G$56:$G$105,MATCH($I140,ACTIVITES!$A$56:$A$105,0)),""))</f>
        <v/>
      </c>
      <c r="K140" s="169"/>
      <c r="L140" s="167" t="str">
        <f aca="false">IF($K140="","",IFERROR(INDEX(DONATEURS!$B$56:$B$205,MATCH($K140,DONATEURS!$A$56:$A$205,0)),""))</f>
        <v/>
      </c>
      <c r="M140" s="170"/>
      <c r="N140" s="170"/>
      <c r="O140" s="169"/>
      <c r="P140" s="169"/>
      <c r="Q140" s="169"/>
      <c r="R140" s="170"/>
      <c r="S140" s="169"/>
      <c r="T140" s="169"/>
      <c r="U140" s="170"/>
      <c r="V140" s="170"/>
      <c r="W140" s="170"/>
      <c r="X140" s="171"/>
      <c r="Y140" s="169"/>
      <c r="Z140" s="171"/>
      <c r="AA140" s="166" t="str">
        <f aca="false">IF(OR($X140="",$Z140=""),"",$X140*$Z140)</f>
        <v/>
      </c>
      <c r="AB140" s="171"/>
      <c r="AC140" s="171"/>
      <c r="AD140" s="166" t="str">
        <f aca="false">IF($AA140="","",$AA140+IF($AB140="",0,$AB140)+IF($AC140="",0,$AC140))</f>
        <v/>
      </c>
      <c r="AE140" s="169"/>
      <c r="AF140" s="172"/>
      <c r="AG140" s="166" t="str">
        <f aca="false">IF($AD140="","",IF(OR($AE140="FCFA",$AE140=""),$AD140,$AD140*IF($AF140="",1,$AF140)))</f>
        <v/>
      </c>
      <c r="AH140" s="169"/>
      <c r="AI140" s="170"/>
      <c r="AJ140" s="170"/>
      <c r="AK140" s="169"/>
      <c r="AL140" s="170"/>
      <c r="AM140" s="170"/>
      <c r="AN140" s="173"/>
      <c r="AO140" s="170"/>
      <c r="AP140" s="170"/>
      <c r="AQ140" s="173"/>
      <c r="AR140" s="169"/>
      <c r="AS140" s="169"/>
      <c r="AT140" s="173"/>
      <c r="AU140" s="171"/>
      <c r="AV140" s="170"/>
      <c r="AW140" s="169"/>
      <c r="AX140" s="173"/>
      <c r="AY140" s="171"/>
      <c r="AZ140" s="166" t="str">
        <f aca="false">IF($AG140="","",MAX($AG140-IF($AY140="",0,$AY140),0))</f>
        <v/>
      </c>
      <c r="BA140" s="169"/>
      <c r="BB140" s="170"/>
      <c r="BC140" s="173"/>
      <c r="BD140" s="169"/>
      <c r="BE140" s="170"/>
      <c r="BF140" s="164" t="str">
        <f aca="false">IF($V140="","",IF($BD140="Oui","Oui","Non"))</f>
        <v/>
      </c>
      <c r="BG140" s="169"/>
      <c r="BH140" s="173"/>
      <c r="BI140" s="170"/>
      <c r="BJ140" s="170"/>
      <c r="BK140" s="170"/>
      <c r="BL140" s="173"/>
      <c r="BM140" s="164" t="str">
        <f aca="false">IF($BL140="","",YEAR($BL140))</f>
        <v/>
      </c>
      <c r="BN140" s="174" t="str">
        <f aca="false">IF($BL140="","",INDEX(PARAMETRES!$C$53:$C$65,MONTH($BL140)))</f>
        <v/>
      </c>
      <c r="BO140" s="111" t="str">
        <f aca="false">IF($BL140="","",INDEX(PARAMETRES!$B$53:$B$65,MONTH($BL140)))</f>
        <v/>
      </c>
      <c r="BP140" s="166" t="n">
        <f aca="false">IFERROR(INDEX(BUDGET!$AL$28:$AL$67,MATCH($B140,BUDGET!$A$28:$A$67,0)),"")</f>
        <v>0</v>
      </c>
      <c r="BQ140" s="166" t="str">
        <f aca="false">IF(OR($BP140="",$AG140=""),"",$BP140-$AG140)</f>
        <v/>
      </c>
      <c r="BR140" s="168" t="str">
        <f aca="false">IFERROR($AG140/INDEX(BUDGET!$AK$28:$AK$67,MATCH($B140,BUDGET!$A$28:$A$67,0)),"")</f>
        <v/>
      </c>
      <c r="BS140" s="164" t="str">
        <f aca="false">IF($V140="","",IF(AND($BP140&lt;&gt;"",$AG140&lt;&gt;"",$AG140&gt;$BP140),"Depassement budgetaire",IF(AND($AK140&lt;&gt;"Brouillon",$AK140&lt;&gt;"Annulee",$AK140&lt;&gt;"Rejetee",OR($BD140="Non",$BD140="")),"Pieces manquantes",IF(AND($AK140&lt;&gt;"Brouillon",OR($AR140="",$AR140="En attente")),"Depense non validee",IF(AND($AS140="Oui",$AW140&lt;&gt;"Oui"),"Engagement non paye",IF(AND($AW140="Non",$AK140="Validee"),"Paiement en attente",IF(AND($AY140&lt;&gt;"",$AZ140&gt;0),"Paiement partiel",IF(AND($AW140="Oui",$BG140&lt;&gt;"Oui"),"Rapprochement manquant",IF(AND($BF140="Oui",$AW140="Oui",$BG140="Oui"),"Dossier complet et paye","Normal")))))))))</f>
        <v/>
      </c>
      <c r="BT140" s="170"/>
      <c r="BU140" s="164" t="str">
        <f aca="false">IF($E140="","",COUNTIFS($E$119:E140,$E140))</f>
        <v/>
      </c>
      <c r="BV140" s="164" t="str">
        <f aca="false">IF($D140="","",COUNTIFS($D$119:D140,$D140))</f>
        <v/>
      </c>
    </row>
    <row r="141" customFormat="false" ht="15" hidden="false" customHeight="true" outlineLevel="0" collapsed="false">
      <c r="A141" s="164" t="str">
        <f aca="false">IF($V141="","","DEP"&amp;TEXT(ROW()-118,"00000"))</f>
        <v/>
      </c>
      <c r="B141" s="169"/>
      <c r="C141" s="167" t="str">
        <f aca="false">IF($B141="","",IFERROR(INDEX(BUDGET!$T$28:$T$67,MATCH($B141,BUDGET!$A$28:$A$67,0)),""))</f>
        <v/>
      </c>
      <c r="D141" s="167" t="str">
        <f aca="false">IF($B141="","",IFERROR(INDEX(BUDGET!$S$28:$S$67,MATCH($B141,BUDGET!$A$28:$A$67,0)),""))</f>
        <v/>
      </c>
      <c r="E141" s="169"/>
      <c r="F141" s="167" t="str">
        <f aca="false">IF($E141="","",IFERROR(INDEX(PROJETS!$C$56:$C$95,MATCH($E141,PROJETS!$A$56:$A$95,0)),""))</f>
        <v/>
      </c>
      <c r="G141" s="167" t="str">
        <f aca="false">IF($E141="","",IFERROR(INDEX(PROJETS!$J$56:$J$95,MATCH($E141,PROJETS!$A$56:$A$95,0)),""))</f>
        <v/>
      </c>
      <c r="H141" s="167" t="str">
        <f aca="false">IF($E141="","",IFERROR(INDEX(PROJETS!$N$56:$N$95,MATCH($E141,PROJETS!$A$56:$A$95,0)),""))</f>
        <v/>
      </c>
      <c r="I141" s="169"/>
      <c r="J141" s="167" t="str">
        <f aca="false">IF($I141="","",IFERROR(INDEX(ACTIVITES!$G$56:$G$105,MATCH($I141,ACTIVITES!$A$56:$A$105,0)),""))</f>
        <v/>
      </c>
      <c r="K141" s="169"/>
      <c r="L141" s="167" t="str">
        <f aca="false">IF($K141="","",IFERROR(INDEX(DONATEURS!$B$56:$B$205,MATCH($K141,DONATEURS!$A$56:$A$205,0)),""))</f>
        <v/>
      </c>
      <c r="M141" s="170"/>
      <c r="N141" s="170"/>
      <c r="O141" s="169"/>
      <c r="P141" s="169"/>
      <c r="Q141" s="169"/>
      <c r="R141" s="170"/>
      <c r="S141" s="169"/>
      <c r="T141" s="169"/>
      <c r="U141" s="170"/>
      <c r="V141" s="170"/>
      <c r="W141" s="170"/>
      <c r="X141" s="171"/>
      <c r="Y141" s="169"/>
      <c r="Z141" s="171"/>
      <c r="AA141" s="166" t="str">
        <f aca="false">IF(OR($X141="",$Z141=""),"",$X141*$Z141)</f>
        <v/>
      </c>
      <c r="AB141" s="171"/>
      <c r="AC141" s="171"/>
      <c r="AD141" s="166" t="str">
        <f aca="false">IF($AA141="","",$AA141+IF($AB141="",0,$AB141)+IF($AC141="",0,$AC141))</f>
        <v/>
      </c>
      <c r="AE141" s="169"/>
      <c r="AF141" s="172"/>
      <c r="AG141" s="166" t="str">
        <f aca="false">IF($AD141="","",IF(OR($AE141="FCFA",$AE141=""),$AD141,$AD141*IF($AF141="",1,$AF141)))</f>
        <v/>
      </c>
      <c r="AH141" s="169"/>
      <c r="AI141" s="170"/>
      <c r="AJ141" s="170"/>
      <c r="AK141" s="169"/>
      <c r="AL141" s="170"/>
      <c r="AM141" s="170"/>
      <c r="AN141" s="173"/>
      <c r="AO141" s="170"/>
      <c r="AP141" s="170"/>
      <c r="AQ141" s="173"/>
      <c r="AR141" s="169"/>
      <c r="AS141" s="169"/>
      <c r="AT141" s="173"/>
      <c r="AU141" s="171"/>
      <c r="AV141" s="170"/>
      <c r="AW141" s="169"/>
      <c r="AX141" s="173"/>
      <c r="AY141" s="171"/>
      <c r="AZ141" s="166" t="str">
        <f aca="false">IF($AG141="","",MAX($AG141-IF($AY141="",0,$AY141),0))</f>
        <v/>
      </c>
      <c r="BA141" s="169"/>
      <c r="BB141" s="170"/>
      <c r="BC141" s="173"/>
      <c r="BD141" s="169"/>
      <c r="BE141" s="170"/>
      <c r="BF141" s="164" t="str">
        <f aca="false">IF($V141="","",IF($BD141="Oui","Oui","Non"))</f>
        <v/>
      </c>
      <c r="BG141" s="169"/>
      <c r="BH141" s="173"/>
      <c r="BI141" s="170"/>
      <c r="BJ141" s="170"/>
      <c r="BK141" s="170"/>
      <c r="BL141" s="173"/>
      <c r="BM141" s="164" t="str">
        <f aca="false">IF($BL141="","",YEAR($BL141))</f>
        <v/>
      </c>
      <c r="BN141" s="174" t="str">
        <f aca="false">IF($BL141="","",INDEX(PARAMETRES!$C$53:$C$65,MONTH($BL141)))</f>
        <v/>
      </c>
      <c r="BO141" s="111" t="str">
        <f aca="false">IF($BL141="","",INDEX(PARAMETRES!$B$53:$B$65,MONTH($BL141)))</f>
        <v/>
      </c>
      <c r="BP141" s="166" t="n">
        <f aca="false">IFERROR(INDEX(BUDGET!$AL$28:$AL$67,MATCH($B141,BUDGET!$A$28:$A$67,0)),"")</f>
        <v>0</v>
      </c>
      <c r="BQ141" s="166" t="str">
        <f aca="false">IF(OR($BP141="",$AG141=""),"",$BP141-$AG141)</f>
        <v/>
      </c>
      <c r="BR141" s="168" t="str">
        <f aca="false">IFERROR($AG141/INDEX(BUDGET!$AK$28:$AK$67,MATCH($B141,BUDGET!$A$28:$A$67,0)),"")</f>
        <v/>
      </c>
      <c r="BS141" s="164" t="str">
        <f aca="false">IF($V141="","",IF(AND($BP141&lt;&gt;"",$AG141&lt;&gt;"",$AG141&gt;$BP141),"Depassement budgetaire",IF(AND($AK141&lt;&gt;"Brouillon",$AK141&lt;&gt;"Annulee",$AK141&lt;&gt;"Rejetee",OR($BD141="Non",$BD141="")),"Pieces manquantes",IF(AND($AK141&lt;&gt;"Brouillon",OR($AR141="",$AR141="En attente")),"Depense non validee",IF(AND($AS141="Oui",$AW141&lt;&gt;"Oui"),"Engagement non paye",IF(AND($AW141="Non",$AK141="Validee"),"Paiement en attente",IF(AND($AY141&lt;&gt;"",$AZ141&gt;0),"Paiement partiel",IF(AND($AW141="Oui",$BG141&lt;&gt;"Oui"),"Rapprochement manquant",IF(AND($BF141="Oui",$AW141="Oui",$BG141="Oui"),"Dossier complet et paye","Normal")))))))))</f>
        <v/>
      </c>
      <c r="BT141" s="170"/>
      <c r="BU141" s="164" t="str">
        <f aca="false">IF($E141="","",COUNTIFS($E$119:E141,$E141))</f>
        <v/>
      </c>
      <c r="BV141" s="164" t="str">
        <f aca="false">IF($D141="","",COUNTIFS($D$119:D141,$D141))</f>
        <v/>
      </c>
    </row>
    <row r="142" customFormat="false" ht="15" hidden="false" customHeight="true" outlineLevel="0" collapsed="false">
      <c r="A142" s="164" t="str">
        <f aca="false">IF($V142="","","DEP"&amp;TEXT(ROW()-118,"00000"))</f>
        <v/>
      </c>
      <c r="B142" s="169"/>
      <c r="C142" s="167" t="str">
        <f aca="false">IF($B142="","",IFERROR(INDEX(BUDGET!$T$28:$T$67,MATCH($B142,BUDGET!$A$28:$A$67,0)),""))</f>
        <v/>
      </c>
      <c r="D142" s="167" t="str">
        <f aca="false">IF($B142="","",IFERROR(INDEX(BUDGET!$S$28:$S$67,MATCH($B142,BUDGET!$A$28:$A$67,0)),""))</f>
        <v/>
      </c>
      <c r="E142" s="169"/>
      <c r="F142" s="167" t="str">
        <f aca="false">IF($E142="","",IFERROR(INDEX(PROJETS!$C$56:$C$95,MATCH($E142,PROJETS!$A$56:$A$95,0)),""))</f>
        <v/>
      </c>
      <c r="G142" s="167" t="str">
        <f aca="false">IF($E142="","",IFERROR(INDEX(PROJETS!$J$56:$J$95,MATCH($E142,PROJETS!$A$56:$A$95,0)),""))</f>
        <v/>
      </c>
      <c r="H142" s="167" t="str">
        <f aca="false">IF($E142="","",IFERROR(INDEX(PROJETS!$N$56:$N$95,MATCH($E142,PROJETS!$A$56:$A$95,0)),""))</f>
        <v/>
      </c>
      <c r="I142" s="169"/>
      <c r="J142" s="167" t="str">
        <f aca="false">IF($I142="","",IFERROR(INDEX(ACTIVITES!$G$56:$G$105,MATCH($I142,ACTIVITES!$A$56:$A$105,0)),""))</f>
        <v/>
      </c>
      <c r="K142" s="169"/>
      <c r="L142" s="167" t="str">
        <f aca="false">IF($K142="","",IFERROR(INDEX(DONATEURS!$B$56:$B$205,MATCH($K142,DONATEURS!$A$56:$A$205,0)),""))</f>
        <v/>
      </c>
      <c r="M142" s="170"/>
      <c r="N142" s="170"/>
      <c r="O142" s="169"/>
      <c r="P142" s="169"/>
      <c r="Q142" s="169"/>
      <c r="R142" s="170"/>
      <c r="S142" s="169"/>
      <c r="T142" s="169"/>
      <c r="U142" s="170"/>
      <c r="V142" s="170"/>
      <c r="W142" s="170"/>
      <c r="X142" s="171"/>
      <c r="Y142" s="169"/>
      <c r="Z142" s="171"/>
      <c r="AA142" s="166" t="str">
        <f aca="false">IF(OR($X142="",$Z142=""),"",$X142*$Z142)</f>
        <v/>
      </c>
      <c r="AB142" s="171"/>
      <c r="AC142" s="171"/>
      <c r="AD142" s="166" t="str">
        <f aca="false">IF($AA142="","",$AA142+IF($AB142="",0,$AB142)+IF($AC142="",0,$AC142))</f>
        <v/>
      </c>
      <c r="AE142" s="169"/>
      <c r="AF142" s="172"/>
      <c r="AG142" s="166" t="str">
        <f aca="false">IF($AD142="","",IF(OR($AE142="FCFA",$AE142=""),$AD142,$AD142*IF($AF142="",1,$AF142)))</f>
        <v/>
      </c>
      <c r="AH142" s="169"/>
      <c r="AI142" s="170"/>
      <c r="AJ142" s="170"/>
      <c r="AK142" s="169"/>
      <c r="AL142" s="170"/>
      <c r="AM142" s="170"/>
      <c r="AN142" s="173"/>
      <c r="AO142" s="170"/>
      <c r="AP142" s="170"/>
      <c r="AQ142" s="173"/>
      <c r="AR142" s="169"/>
      <c r="AS142" s="169"/>
      <c r="AT142" s="173"/>
      <c r="AU142" s="171"/>
      <c r="AV142" s="170"/>
      <c r="AW142" s="169"/>
      <c r="AX142" s="173"/>
      <c r="AY142" s="171"/>
      <c r="AZ142" s="166" t="str">
        <f aca="false">IF($AG142="","",MAX($AG142-IF($AY142="",0,$AY142),0))</f>
        <v/>
      </c>
      <c r="BA142" s="169"/>
      <c r="BB142" s="170"/>
      <c r="BC142" s="173"/>
      <c r="BD142" s="169"/>
      <c r="BE142" s="170"/>
      <c r="BF142" s="164" t="str">
        <f aca="false">IF($V142="","",IF($BD142="Oui","Oui","Non"))</f>
        <v/>
      </c>
      <c r="BG142" s="169"/>
      <c r="BH142" s="173"/>
      <c r="BI142" s="170"/>
      <c r="BJ142" s="170"/>
      <c r="BK142" s="170"/>
      <c r="BL142" s="173"/>
      <c r="BM142" s="164" t="str">
        <f aca="false">IF($BL142="","",YEAR($BL142))</f>
        <v/>
      </c>
      <c r="BN142" s="174" t="str">
        <f aca="false">IF($BL142="","",INDEX(PARAMETRES!$C$53:$C$65,MONTH($BL142)))</f>
        <v/>
      </c>
      <c r="BO142" s="111" t="str">
        <f aca="false">IF($BL142="","",INDEX(PARAMETRES!$B$53:$B$65,MONTH($BL142)))</f>
        <v/>
      </c>
      <c r="BP142" s="166" t="n">
        <f aca="false">IFERROR(INDEX(BUDGET!$AL$28:$AL$67,MATCH($B142,BUDGET!$A$28:$A$67,0)),"")</f>
        <v>0</v>
      </c>
      <c r="BQ142" s="166" t="str">
        <f aca="false">IF(OR($BP142="",$AG142=""),"",$BP142-$AG142)</f>
        <v/>
      </c>
      <c r="BR142" s="168" t="str">
        <f aca="false">IFERROR($AG142/INDEX(BUDGET!$AK$28:$AK$67,MATCH($B142,BUDGET!$A$28:$A$67,0)),"")</f>
        <v/>
      </c>
      <c r="BS142" s="164" t="str">
        <f aca="false">IF($V142="","",IF(AND($BP142&lt;&gt;"",$AG142&lt;&gt;"",$AG142&gt;$BP142),"Depassement budgetaire",IF(AND($AK142&lt;&gt;"Brouillon",$AK142&lt;&gt;"Annulee",$AK142&lt;&gt;"Rejetee",OR($BD142="Non",$BD142="")),"Pieces manquantes",IF(AND($AK142&lt;&gt;"Brouillon",OR($AR142="",$AR142="En attente")),"Depense non validee",IF(AND($AS142="Oui",$AW142&lt;&gt;"Oui"),"Engagement non paye",IF(AND($AW142="Non",$AK142="Validee"),"Paiement en attente",IF(AND($AY142&lt;&gt;"",$AZ142&gt;0),"Paiement partiel",IF(AND($AW142="Oui",$BG142&lt;&gt;"Oui"),"Rapprochement manquant",IF(AND($BF142="Oui",$AW142="Oui",$BG142="Oui"),"Dossier complet et paye","Normal")))))))))</f>
        <v/>
      </c>
      <c r="BT142" s="170"/>
      <c r="BU142" s="164" t="str">
        <f aca="false">IF($E142="","",COUNTIFS($E$119:E142,$E142))</f>
        <v/>
      </c>
      <c r="BV142" s="164" t="str">
        <f aca="false">IF($D142="","",COUNTIFS($D$119:D142,$D142))</f>
        <v/>
      </c>
    </row>
    <row r="143" customFormat="false" ht="15" hidden="false" customHeight="true" outlineLevel="0" collapsed="false">
      <c r="A143" s="164" t="str">
        <f aca="false">IF($V143="","","DEP"&amp;TEXT(ROW()-118,"00000"))</f>
        <v/>
      </c>
      <c r="B143" s="169"/>
      <c r="C143" s="167" t="str">
        <f aca="false">IF($B143="","",IFERROR(INDEX(BUDGET!$T$28:$T$67,MATCH($B143,BUDGET!$A$28:$A$67,0)),""))</f>
        <v/>
      </c>
      <c r="D143" s="167" t="str">
        <f aca="false">IF($B143="","",IFERROR(INDEX(BUDGET!$S$28:$S$67,MATCH($B143,BUDGET!$A$28:$A$67,0)),""))</f>
        <v/>
      </c>
      <c r="E143" s="169"/>
      <c r="F143" s="167" t="str">
        <f aca="false">IF($E143="","",IFERROR(INDEX(PROJETS!$C$56:$C$95,MATCH($E143,PROJETS!$A$56:$A$95,0)),""))</f>
        <v/>
      </c>
      <c r="G143" s="167" t="str">
        <f aca="false">IF($E143="","",IFERROR(INDEX(PROJETS!$J$56:$J$95,MATCH($E143,PROJETS!$A$56:$A$95,0)),""))</f>
        <v/>
      </c>
      <c r="H143" s="167" t="str">
        <f aca="false">IF($E143="","",IFERROR(INDEX(PROJETS!$N$56:$N$95,MATCH($E143,PROJETS!$A$56:$A$95,0)),""))</f>
        <v/>
      </c>
      <c r="I143" s="169"/>
      <c r="J143" s="167" t="str">
        <f aca="false">IF($I143="","",IFERROR(INDEX(ACTIVITES!$G$56:$G$105,MATCH($I143,ACTIVITES!$A$56:$A$105,0)),""))</f>
        <v/>
      </c>
      <c r="K143" s="169"/>
      <c r="L143" s="167" t="str">
        <f aca="false">IF($K143="","",IFERROR(INDEX(DONATEURS!$B$56:$B$205,MATCH($K143,DONATEURS!$A$56:$A$205,0)),""))</f>
        <v/>
      </c>
      <c r="M143" s="170"/>
      <c r="N143" s="170"/>
      <c r="O143" s="169"/>
      <c r="P143" s="169"/>
      <c r="Q143" s="169"/>
      <c r="R143" s="170"/>
      <c r="S143" s="169"/>
      <c r="T143" s="169"/>
      <c r="U143" s="170"/>
      <c r="V143" s="170"/>
      <c r="W143" s="170"/>
      <c r="X143" s="171"/>
      <c r="Y143" s="169"/>
      <c r="Z143" s="171"/>
      <c r="AA143" s="166" t="str">
        <f aca="false">IF(OR($X143="",$Z143=""),"",$X143*$Z143)</f>
        <v/>
      </c>
      <c r="AB143" s="171"/>
      <c r="AC143" s="171"/>
      <c r="AD143" s="166" t="str">
        <f aca="false">IF($AA143="","",$AA143+IF($AB143="",0,$AB143)+IF($AC143="",0,$AC143))</f>
        <v/>
      </c>
      <c r="AE143" s="169"/>
      <c r="AF143" s="172"/>
      <c r="AG143" s="166" t="str">
        <f aca="false">IF($AD143="","",IF(OR($AE143="FCFA",$AE143=""),$AD143,$AD143*IF($AF143="",1,$AF143)))</f>
        <v/>
      </c>
      <c r="AH143" s="169"/>
      <c r="AI143" s="170"/>
      <c r="AJ143" s="170"/>
      <c r="AK143" s="169"/>
      <c r="AL143" s="170"/>
      <c r="AM143" s="170"/>
      <c r="AN143" s="173"/>
      <c r="AO143" s="170"/>
      <c r="AP143" s="170"/>
      <c r="AQ143" s="173"/>
      <c r="AR143" s="169"/>
      <c r="AS143" s="169"/>
      <c r="AT143" s="173"/>
      <c r="AU143" s="171"/>
      <c r="AV143" s="170"/>
      <c r="AW143" s="169"/>
      <c r="AX143" s="173"/>
      <c r="AY143" s="171"/>
      <c r="AZ143" s="166" t="str">
        <f aca="false">IF($AG143="","",MAX($AG143-IF($AY143="",0,$AY143),0))</f>
        <v/>
      </c>
      <c r="BA143" s="169"/>
      <c r="BB143" s="170"/>
      <c r="BC143" s="173"/>
      <c r="BD143" s="169"/>
      <c r="BE143" s="170"/>
      <c r="BF143" s="164" t="str">
        <f aca="false">IF($V143="","",IF($BD143="Oui","Oui","Non"))</f>
        <v/>
      </c>
      <c r="BG143" s="169"/>
      <c r="BH143" s="173"/>
      <c r="BI143" s="170"/>
      <c r="BJ143" s="170"/>
      <c r="BK143" s="170"/>
      <c r="BL143" s="173"/>
      <c r="BM143" s="164" t="str">
        <f aca="false">IF($BL143="","",YEAR($BL143))</f>
        <v/>
      </c>
      <c r="BN143" s="174" t="str">
        <f aca="false">IF($BL143="","",INDEX(PARAMETRES!$C$53:$C$65,MONTH($BL143)))</f>
        <v/>
      </c>
      <c r="BO143" s="111" t="str">
        <f aca="false">IF($BL143="","",INDEX(PARAMETRES!$B$53:$B$65,MONTH($BL143)))</f>
        <v/>
      </c>
      <c r="BP143" s="166" t="n">
        <f aca="false">IFERROR(INDEX(BUDGET!$AL$28:$AL$67,MATCH($B143,BUDGET!$A$28:$A$67,0)),"")</f>
        <v>0</v>
      </c>
      <c r="BQ143" s="166" t="str">
        <f aca="false">IF(OR($BP143="",$AG143=""),"",$BP143-$AG143)</f>
        <v/>
      </c>
      <c r="BR143" s="168" t="str">
        <f aca="false">IFERROR($AG143/INDEX(BUDGET!$AK$28:$AK$67,MATCH($B143,BUDGET!$A$28:$A$67,0)),"")</f>
        <v/>
      </c>
      <c r="BS143" s="164" t="str">
        <f aca="false">IF($V143="","",IF(AND($BP143&lt;&gt;"",$AG143&lt;&gt;"",$AG143&gt;$BP143),"Depassement budgetaire",IF(AND($AK143&lt;&gt;"Brouillon",$AK143&lt;&gt;"Annulee",$AK143&lt;&gt;"Rejetee",OR($BD143="Non",$BD143="")),"Pieces manquantes",IF(AND($AK143&lt;&gt;"Brouillon",OR($AR143="",$AR143="En attente")),"Depense non validee",IF(AND($AS143="Oui",$AW143&lt;&gt;"Oui"),"Engagement non paye",IF(AND($AW143="Non",$AK143="Validee"),"Paiement en attente",IF(AND($AY143&lt;&gt;"",$AZ143&gt;0),"Paiement partiel",IF(AND($AW143="Oui",$BG143&lt;&gt;"Oui"),"Rapprochement manquant",IF(AND($BF143="Oui",$AW143="Oui",$BG143="Oui"),"Dossier complet et paye","Normal")))))))))</f>
        <v/>
      </c>
      <c r="BT143" s="170"/>
      <c r="BU143" s="164" t="str">
        <f aca="false">IF($E143="","",COUNTIFS($E$119:E143,$E143))</f>
        <v/>
      </c>
      <c r="BV143" s="164" t="str">
        <f aca="false">IF($D143="","",COUNTIFS($D$119:D143,$D143))</f>
        <v/>
      </c>
    </row>
    <row r="144" customFormat="false" ht="15" hidden="false" customHeight="true" outlineLevel="0" collapsed="false">
      <c r="A144" s="164" t="str">
        <f aca="false">IF($V144="","","DEP"&amp;TEXT(ROW()-118,"00000"))</f>
        <v/>
      </c>
      <c r="B144" s="169"/>
      <c r="C144" s="167" t="str">
        <f aca="false">IF($B144="","",IFERROR(INDEX(BUDGET!$T$28:$T$67,MATCH($B144,BUDGET!$A$28:$A$67,0)),""))</f>
        <v/>
      </c>
      <c r="D144" s="167" t="str">
        <f aca="false">IF($B144="","",IFERROR(INDEX(BUDGET!$S$28:$S$67,MATCH($B144,BUDGET!$A$28:$A$67,0)),""))</f>
        <v/>
      </c>
      <c r="E144" s="169"/>
      <c r="F144" s="167" t="str">
        <f aca="false">IF($E144="","",IFERROR(INDEX(PROJETS!$C$56:$C$95,MATCH($E144,PROJETS!$A$56:$A$95,0)),""))</f>
        <v/>
      </c>
      <c r="G144" s="167" t="str">
        <f aca="false">IF($E144="","",IFERROR(INDEX(PROJETS!$J$56:$J$95,MATCH($E144,PROJETS!$A$56:$A$95,0)),""))</f>
        <v/>
      </c>
      <c r="H144" s="167" t="str">
        <f aca="false">IF($E144="","",IFERROR(INDEX(PROJETS!$N$56:$N$95,MATCH($E144,PROJETS!$A$56:$A$95,0)),""))</f>
        <v/>
      </c>
      <c r="I144" s="169"/>
      <c r="J144" s="167" t="str">
        <f aca="false">IF($I144="","",IFERROR(INDEX(ACTIVITES!$G$56:$G$105,MATCH($I144,ACTIVITES!$A$56:$A$105,0)),""))</f>
        <v/>
      </c>
      <c r="K144" s="169"/>
      <c r="L144" s="167" t="str">
        <f aca="false">IF($K144="","",IFERROR(INDEX(DONATEURS!$B$56:$B$205,MATCH($K144,DONATEURS!$A$56:$A$205,0)),""))</f>
        <v/>
      </c>
      <c r="M144" s="170"/>
      <c r="N144" s="170"/>
      <c r="O144" s="169"/>
      <c r="P144" s="169"/>
      <c r="Q144" s="169"/>
      <c r="R144" s="170"/>
      <c r="S144" s="169"/>
      <c r="T144" s="169"/>
      <c r="U144" s="170"/>
      <c r="V144" s="170"/>
      <c r="W144" s="170"/>
      <c r="X144" s="171"/>
      <c r="Y144" s="169"/>
      <c r="Z144" s="171"/>
      <c r="AA144" s="166" t="str">
        <f aca="false">IF(OR($X144="",$Z144=""),"",$X144*$Z144)</f>
        <v/>
      </c>
      <c r="AB144" s="171"/>
      <c r="AC144" s="171"/>
      <c r="AD144" s="166" t="str">
        <f aca="false">IF($AA144="","",$AA144+IF($AB144="",0,$AB144)+IF($AC144="",0,$AC144))</f>
        <v/>
      </c>
      <c r="AE144" s="169"/>
      <c r="AF144" s="172"/>
      <c r="AG144" s="166" t="str">
        <f aca="false">IF($AD144="","",IF(OR($AE144="FCFA",$AE144=""),$AD144,$AD144*IF($AF144="",1,$AF144)))</f>
        <v/>
      </c>
      <c r="AH144" s="169"/>
      <c r="AI144" s="170"/>
      <c r="AJ144" s="170"/>
      <c r="AK144" s="169"/>
      <c r="AL144" s="170"/>
      <c r="AM144" s="170"/>
      <c r="AN144" s="173"/>
      <c r="AO144" s="170"/>
      <c r="AP144" s="170"/>
      <c r="AQ144" s="173"/>
      <c r="AR144" s="169"/>
      <c r="AS144" s="169"/>
      <c r="AT144" s="173"/>
      <c r="AU144" s="171"/>
      <c r="AV144" s="170"/>
      <c r="AW144" s="169"/>
      <c r="AX144" s="173"/>
      <c r="AY144" s="171"/>
      <c r="AZ144" s="166" t="str">
        <f aca="false">IF($AG144="","",MAX($AG144-IF($AY144="",0,$AY144),0))</f>
        <v/>
      </c>
      <c r="BA144" s="169"/>
      <c r="BB144" s="170"/>
      <c r="BC144" s="173"/>
      <c r="BD144" s="169"/>
      <c r="BE144" s="170"/>
      <c r="BF144" s="164" t="str">
        <f aca="false">IF($V144="","",IF($BD144="Oui","Oui","Non"))</f>
        <v/>
      </c>
      <c r="BG144" s="169"/>
      <c r="BH144" s="173"/>
      <c r="BI144" s="170"/>
      <c r="BJ144" s="170"/>
      <c r="BK144" s="170"/>
      <c r="BL144" s="173"/>
      <c r="BM144" s="164" t="str">
        <f aca="false">IF($BL144="","",YEAR($BL144))</f>
        <v/>
      </c>
      <c r="BN144" s="174" t="str">
        <f aca="false">IF($BL144="","",INDEX(PARAMETRES!$C$53:$C$65,MONTH($BL144)))</f>
        <v/>
      </c>
      <c r="BO144" s="111" t="str">
        <f aca="false">IF($BL144="","",INDEX(PARAMETRES!$B$53:$B$65,MONTH($BL144)))</f>
        <v/>
      </c>
      <c r="BP144" s="166" t="n">
        <f aca="false">IFERROR(INDEX(BUDGET!$AL$28:$AL$67,MATCH($B144,BUDGET!$A$28:$A$67,0)),"")</f>
        <v>0</v>
      </c>
      <c r="BQ144" s="166" t="str">
        <f aca="false">IF(OR($BP144="",$AG144=""),"",$BP144-$AG144)</f>
        <v/>
      </c>
      <c r="BR144" s="168" t="str">
        <f aca="false">IFERROR($AG144/INDEX(BUDGET!$AK$28:$AK$67,MATCH($B144,BUDGET!$A$28:$A$67,0)),"")</f>
        <v/>
      </c>
      <c r="BS144" s="164" t="str">
        <f aca="false">IF($V144="","",IF(AND($BP144&lt;&gt;"",$AG144&lt;&gt;"",$AG144&gt;$BP144),"Depassement budgetaire",IF(AND($AK144&lt;&gt;"Brouillon",$AK144&lt;&gt;"Annulee",$AK144&lt;&gt;"Rejetee",OR($BD144="Non",$BD144="")),"Pieces manquantes",IF(AND($AK144&lt;&gt;"Brouillon",OR($AR144="",$AR144="En attente")),"Depense non validee",IF(AND($AS144="Oui",$AW144&lt;&gt;"Oui"),"Engagement non paye",IF(AND($AW144="Non",$AK144="Validee"),"Paiement en attente",IF(AND($AY144&lt;&gt;"",$AZ144&gt;0),"Paiement partiel",IF(AND($AW144="Oui",$BG144&lt;&gt;"Oui"),"Rapprochement manquant",IF(AND($BF144="Oui",$AW144="Oui",$BG144="Oui"),"Dossier complet et paye","Normal")))))))))</f>
        <v/>
      </c>
      <c r="BT144" s="170"/>
      <c r="BU144" s="164" t="str">
        <f aca="false">IF($E144="","",COUNTIFS($E$119:E144,$E144))</f>
        <v/>
      </c>
      <c r="BV144" s="164" t="str">
        <f aca="false">IF($D144="","",COUNTIFS($D$119:D144,$D144))</f>
        <v/>
      </c>
    </row>
    <row r="145" customFormat="false" ht="15" hidden="false" customHeight="true" outlineLevel="0" collapsed="false">
      <c r="A145" s="164" t="str">
        <f aca="false">IF($V145="","","DEP"&amp;TEXT(ROW()-118,"00000"))</f>
        <v/>
      </c>
      <c r="B145" s="169"/>
      <c r="C145" s="167" t="str">
        <f aca="false">IF($B145="","",IFERROR(INDEX(BUDGET!$T$28:$T$67,MATCH($B145,BUDGET!$A$28:$A$67,0)),""))</f>
        <v/>
      </c>
      <c r="D145" s="167" t="str">
        <f aca="false">IF($B145="","",IFERROR(INDEX(BUDGET!$S$28:$S$67,MATCH($B145,BUDGET!$A$28:$A$67,0)),""))</f>
        <v/>
      </c>
      <c r="E145" s="169"/>
      <c r="F145" s="167" t="str">
        <f aca="false">IF($E145="","",IFERROR(INDEX(PROJETS!$C$56:$C$95,MATCH($E145,PROJETS!$A$56:$A$95,0)),""))</f>
        <v/>
      </c>
      <c r="G145" s="167" t="str">
        <f aca="false">IF($E145="","",IFERROR(INDEX(PROJETS!$J$56:$J$95,MATCH($E145,PROJETS!$A$56:$A$95,0)),""))</f>
        <v/>
      </c>
      <c r="H145" s="167" t="str">
        <f aca="false">IF($E145="","",IFERROR(INDEX(PROJETS!$N$56:$N$95,MATCH($E145,PROJETS!$A$56:$A$95,0)),""))</f>
        <v/>
      </c>
      <c r="I145" s="169"/>
      <c r="J145" s="167" t="str">
        <f aca="false">IF($I145="","",IFERROR(INDEX(ACTIVITES!$G$56:$G$105,MATCH($I145,ACTIVITES!$A$56:$A$105,0)),""))</f>
        <v/>
      </c>
      <c r="K145" s="169"/>
      <c r="L145" s="167" t="str">
        <f aca="false">IF($K145="","",IFERROR(INDEX(DONATEURS!$B$56:$B$205,MATCH($K145,DONATEURS!$A$56:$A$205,0)),""))</f>
        <v/>
      </c>
      <c r="M145" s="170"/>
      <c r="N145" s="170"/>
      <c r="O145" s="169"/>
      <c r="P145" s="169"/>
      <c r="Q145" s="169"/>
      <c r="R145" s="170"/>
      <c r="S145" s="169"/>
      <c r="T145" s="169"/>
      <c r="U145" s="170"/>
      <c r="V145" s="170"/>
      <c r="W145" s="170"/>
      <c r="X145" s="171"/>
      <c r="Y145" s="169"/>
      <c r="Z145" s="171"/>
      <c r="AA145" s="166" t="str">
        <f aca="false">IF(OR($X145="",$Z145=""),"",$X145*$Z145)</f>
        <v/>
      </c>
      <c r="AB145" s="171"/>
      <c r="AC145" s="171"/>
      <c r="AD145" s="166" t="str">
        <f aca="false">IF($AA145="","",$AA145+IF($AB145="",0,$AB145)+IF($AC145="",0,$AC145))</f>
        <v/>
      </c>
      <c r="AE145" s="169"/>
      <c r="AF145" s="172"/>
      <c r="AG145" s="166" t="str">
        <f aca="false">IF($AD145="","",IF(OR($AE145="FCFA",$AE145=""),$AD145,$AD145*IF($AF145="",1,$AF145)))</f>
        <v/>
      </c>
      <c r="AH145" s="169"/>
      <c r="AI145" s="170"/>
      <c r="AJ145" s="170"/>
      <c r="AK145" s="169"/>
      <c r="AL145" s="170"/>
      <c r="AM145" s="170"/>
      <c r="AN145" s="173"/>
      <c r="AO145" s="170"/>
      <c r="AP145" s="170"/>
      <c r="AQ145" s="173"/>
      <c r="AR145" s="169"/>
      <c r="AS145" s="169"/>
      <c r="AT145" s="173"/>
      <c r="AU145" s="171"/>
      <c r="AV145" s="170"/>
      <c r="AW145" s="169"/>
      <c r="AX145" s="173"/>
      <c r="AY145" s="171"/>
      <c r="AZ145" s="166" t="str">
        <f aca="false">IF($AG145="","",MAX($AG145-IF($AY145="",0,$AY145),0))</f>
        <v/>
      </c>
      <c r="BA145" s="169"/>
      <c r="BB145" s="170"/>
      <c r="BC145" s="173"/>
      <c r="BD145" s="169"/>
      <c r="BE145" s="170"/>
      <c r="BF145" s="164" t="str">
        <f aca="false">IF($V145="","",IF($BD145="Oui","Oui","Non"))</f>
        <v/>
      </c>
      <c r="BG145" s="169"/>
      <c r="BH145" s="173"/>
      <c r="BI145" s="170"/>
      <c r="BJ145" s="170"/>
      <c r="BK145" s="170"/>
      <c r="BL145" s="173"/>
      <c r="BM145" s="164" t="str">
        <f aca="false">IF($BL145="","",YEAR($BL145))</f>
        <v/>
      </c>
      <c r="BN145" s="174" t="str">
        <f aca="false">IF($BL145="","",INDEX(PARAMETRES!$C$53:$C$65,MONTH($BL145)))</f>
        <v/>
      </c>
      <c r="BO145" s="111" t="str">
        <f aca="false">IF($BL145="","",INDEX(PARAMETRES!$B$53:$B$65,MONTH($BL145)))</f>
        <v/>
      </c>
      <c r="BP145" s="166" t="n">
        <f aca="false">IFERROR(INDEX(BUDGET!$AL$28:$AL$67,MATCH($B145,BUDGET!$A$28:$A$67,0)),"")</f>
        <v>0</v>
      </c>
      <c r="BQ145" s="166" t="str">
        <f aca="false">IF(OR($BP145="",$AG145=""),"",$BP145-$AG145)</f>
        <v/>
      </c>
      <c r="BR145" s="168" t="str">
        <f aca="false">IFERROR($AG145/INDEX(BUDGET!$AK$28:$AK$67,MATCH($B145,BUDGET!$A$28:$A$67,0)),"")</f>
        <v/>
      </c>
      <c r="BS145" s="164" t="str">
        <f aca="false">IF($V145="","",IF(AND($BP145&lt;&gt;"",$AG145&lt;&gt;"",$AG145&gt;$BP145),"Depassement budgetaire",IF(AND($AK145&lt;&gt;"Brouillon",$AK145&lt;&gt;"Annulee",$AK145&lt;&gt;"Rejetee",OR($BD145="Non",$BD145="")),"Pieces manquantes",IF(AND($AK145&lt;&gt;"Brouillon",OR($AR145="",$AR145="En attente")),"Depense non validee",IF(AND($AS145="Oui",$AW145&lt;&gt;"Oui"),"Engagement non paye",IF(AND($AW145="Non",$AK145="Validee"),"Paiement en attente",IF(AND($AY145&lt;&gt;"",$AZ145&gt;0),"Paiement partiel",IF(AND($AW145="Oui",$BG145&lt;&gt;"Oui"),"Rapprochement manquant",IF(AND($BF145="Oui",$AW145="Oui",$BG145="Oui"),"Dossier complet et paye","Normal")))))))))</f>
        <v/>
      </c>
      <c r="BT145" s="170"/>
      <c r="BU145" s="164" t="str">
        <f aca="false">IF($E145="","",COUNTIFS($E$119:E145,$E145))</f>
        <v/>
      </c>
      <c r="BV145" s="164" t="str">
        <f aca="false">IF($D145="","",COUNTIFS($D$119:D145,$D145))</f>
        <v/>
      </c>
    </row>
    <row r="146" customFormat="false" ht="15" hidden="false" customHeight="true" outlineLevel="0" collapsed="false">
      <c r="A146" s="164" t="str">
        <f aca="false">IF($V146="","","DEP"&amp;TEXT(ROW()-118,"00000"))</f>
        <v/>
      </c>
      <c r="B146" s="169"/>
      <c r="C146" s="167" t="str">
        <f aca="false">IF($B146="","",IFERROR(INDEX(BUDGET!$T$28:$T$67,MATCH($B146,BUDGET!$A$28:$A$67,0)),""))</f>
        <v/>
      </c>
      <c r="D146" s="167" t="str">
        <f aca="false">IF($B146="","",IFERROR(INDEX(BUDGET!$S$28:$S$67,MATCH($B146,BUDGET!$A$28:$A$67,0)),""))</f>
        <v/>
      </c>
      <c r="E146" s="169"/>
      <c r="F146" s="167" t="str">
        <f aca="false">IF($E146="","",IFERROR(INDEX(PROJETS!$C$56:$C$95,MATCH($E146,PROJETS!$A$56:$A$95,0)),""))</f>
        <v/>
      </c>
      <c r="G146" s="167" t="str">
        <f aca="false">IF($E146="","",IFERROR(INDEX(PROJETS!$J$56:$J$95,MATCH($E146,PROJETS!$A$56:$A$95,0)),""))</f>
        <v/>
      </c>
      <c r="H146" s="167" t="str">
        <f aca="false">IF($E146="","",IFERROR(INDEX(PROJETS!$N$56:$N$95,MATCH($E146,PROJETS!$A$56:$A$95,0)),""))</f>
        <v/>
      </c>
      <c r="I146" s="169"/>
      <c r="J146" s="167" t="str">
        <f aca="false">IF($I146="","",IFERROR(INDEX(ACTIVITES!$G$56:$G$105,MATCH($I146,ACTIVITES!$A$56:$A$105,0)),""))</f>
        <v/>
      </c>
      <c r="K146" s="169"/>
      <c r="L146" s="167" t="str">
        <f aca="false">IF($K146="","",IFERROR(INDEX(DONATEURS!$B$56:$B$205,MATCH($K146,DONATEURS!$A$56:$A$205,0)),""))</f>
        <v/>
      </c>
      <c r="M146" s="170"/>
      <c r="N146" s="170"/>
      <c r="O146" s="169"/>
      <c r="P146" s="169"/>
      <c r="Q146" s="169"/>
      <c r="R146" s="170"/>
      <c r="S146" s="169"/>
      <c r="T146" s="169"/>
      <c r="U146" s="170"/>
      <c r="V146" s="170"/>
      <c r="W146" s="170"/>
      <c r="X146" s="171"/>
      <c r="Y146" s="169"/>
      <c r="Z146" s="171"/>
      <c r="AA146" s="166" t="str">
        <f aca="false">IF(OR($X146="",$Z146=""),"",$X146*$Z146)</f>
        <v/>
      </c>
      <c r="AB146" s="171"/>
      <c r="AC146" s="171"/>
      <c r="AD146" s="166" t="str">
        <f aca="false">IF($AA146="","",$AA146+IF($AB146="",0,$AB146)+IF($AC146="",0,$AC146))</f>
        <v/>
      </c>
      <c r="AE146" s="169"/>
      <c r="AF146" s="172"/>
      <c r="AG146" s="166" t="str">
        <f aca="false">IF($AD146="","",IF(OR($AE146="FCFA",$AE146=""),$AD146,$AD146*IF($AF146="",1,$AF146)))</f>
        <v/>
      </c>
      <c r="AH146" s="169"/>
      <c r="AI146" s="170"/>
      <c r="AJ146" s="170"/>
      <c r="AK146" s="169"/>
      <c r="AL146" s="170"/>
      <c r="AM146" s="170"/>
      <c r="AN146" s="173"/>
      <c r="AO146" s="170"/>
      <c r="AP146" s="170"/>
      <c r="AQ146" s="173"/>
      <c r="AR146" s="169"/>
      <c r="AS146" s="169"/>
      <c r="AT146" s="173"/>
      <c r="AU146" s="171"/>
      <c r="AV146" s="170"/>
      <c r="AW146" s="169"/>
      <c r="AX146" s="173"/>
      <c r="AY146" s="171"/>
      <c r="AZ146" s="166" t="str">
        <f aca="false">IF($AG146="","",MAX($AG146-IF($AY146="",0,$AY146),0))</f>
        <v/>
      </c>
      <c r="BA146" s="169"/>
      <c r="BB146" s="170"/>
      <c r="BC146" s="173"/>
      <c r="BD146" s="169"/>
      <c r="BE146" s="170"/>
      <c r="BF146" s="164" t="str">
        <f aca="false">IF($V146="","",IF($BD146="Oui","Oui","Non"))</f>
        <v/>
      </c>
      <c r="BG146" s="169"/>
      <c r="BH146" s="173"/>
      <c r="BI146" s="170"/>
      <c r="BJ146" s="170"/>
      <c r="BK146" s="170"/>
      <c r="BL146" s="173"/>
      <c r="BM146" s="164" t="str">
        <f aca="false">IF($BL146="","",YEAR($BL146))</f>
        <v/>
      </c>
      <c r="BN146" s="174" t="str">
        <f aca="false">IF($BL146="","",INDEX(PARAMETRES!$C$53:$C$65,MONTH($BL146)))</f>
        <v/>
      </c>
      <c r="BO146" s="111" t="str">
        <f aca="false">IF($BL146="","",INDEX(PARAMETRES!$B$53:$B$65,MONTH($BL146)))</f>
        <v/>
      </c>
      <c r="BP146" s="166" t="n">
        <f aca="false">IFERROR(INDEX(BUDGET!$AL$28:$AL$67,MATCH($B146,BUDGET!$A$28:$A$67,0)),"")</f>
        <v>0</v>
      </c>
      <c r="BQ146" s="166" t="str">
        <f aca="false">IF(OR($BP146="",$AG146=""),"",$BP146-$AG146)</f>
        <v/>
      </c>
      <c r="BR146" s="168" t="str">
        <f aca="false">IFERROR($AG146/INDEX(BUDGET!$AK$28:$AK$67,MATCH($B146,BUDGET!$A$28:$A$67,0)),"")</f>
        <v/>
      </c>
      <c r="BS146" s="164" t="str">
        <f aca="false">IF($V146="","",IF(AND($BP146&lt;&gt;"",$AG146&lt;&gt;"",$AG146&gt;$BP146),"Depassement budgetaire",IF(AND($AK146&lt;&gt;"Brouillon",$AK146&lt;&gt;"Annulee",$AK146&lt;&gt;"Rejetee",OR($BD146="Non",$BD146="")),"Pieces manquantes",IF(AND($AK146&lt;&gt;"Brouillon",OR($AR146="",$AR146="En attente")),"Depense non validee",IF(AND($AS146="Oui",$AW146&lt;&gt;"Oui"),"Engagement non paye",IF(AND($AW146="Non",$AK146="Validee"),"Paiement en attente",IF(AND($AY146&lt;&gt;"",$AZ146&gt;0),"Paiement partiel",IF(AND($AW146="Oui",$BG146&lt;&gt;"Oui"),"Rapprochement manquant",IF(AND($BF146="Oui",$AW146="Oui",$BG146="Oui"),"Dossier complet et paye","Normal")))))))))</f>
        <v/>
      </c>
      <c r="BT146" s="170"/>
      <c r="BU146" s="164" t="str">
        <f aca="false">IF($E146="","",COUNTIFS($E$119:E146,$E146))</f>
        <v/>
      </c>
      <c r="BV146" s="164" t="str">
        <f aca="false">IF($D146="","",COUNTIFS($D$119:D146,$D146))</f>
        <v/>
      </c>
    </row>
    <row r="147" customFormat="false" ht="15" hidden="false" customHeight="true" outlineLevel="0" collapsed="false">
      <c r="A147" s="164" t="str">
        <f aca="false">IF($V147="","","DEP"&amp;TEXT(ROW()-118,"00000"))</f>
        <v/>
      </c>
      <c r="B147" s="169"/>
      <c r="C147" s="167" t="str">
        <f aca="false">IF($B147="","",IFERROR(INDEX(BUDGET!$T$28:$T$67,MATCH($B147,BUDGET!$A$28:$A$67,0)),""))</f>
        <v/>
      </c>
      <c r="D147" s="167" t="str">
        <f aca="false">IF($B147="","",IFERROR(INDEX(BUDGET!$S$28:$S$67,MATCH($B147,BUDGET!$A$28:$A$67,0)),""))</f>
        <v/>
      </c>
      <c r="E147" s="169"/>
      <c r="F147" s="167" t="str">
        <f aca="false">IF($E147="","",IFERROR(INDEX(PROJETS!$C$56:$C$95,MATCH($E147,PROJETS!$A$56:$A$95,0)),""))</f>
        <v/>
      </c>
      <c r="G147" s="167" t="str">
        <f aca="false">IF($E147="","",IFERROR(INDEX(PROJETS!$J$56:$J$95,MATCH($E147,PROJETS!$A$56:$A$95,0)),""))</f>
        <v/>
      </c>
      <c r="H147" s="167" t="str">
        <f aca="false">IF($E147="","",IFERROR(INDEX(PROJETS!$N$56:$N$95,MATCH($E147,PROJETS!$A$56:$A$95,0)),""))</f>
        <v/>
      </c>
      <c r="I147" s="169"/>
      <c r="J147" s="167" t="str">
        <f aca="false">IF($I147="","",IFERROR(INDEX(ACTIVITES!$G$56:$G$105,MATCH($I147,ACTIVITES!$A$56:$A$105,0)),""))</f>
        <v/>
      </c>
      <c r="K147" s="169"/>
      <c r="L147" s="167" t="str">
        <f aca="false">IF($K147="","",IFERROR(INDEX(DONATEURS!$B$56:$B$205,MATCH($K147,DONATEURS!$A$56:$A$205,0)),""))</f>
        <v/>
      </c>
      <c r="M147" s="170"/>
      <c r="N147" s="170"/>
      <c r="O147" s="169"/>
      <c r="P147" s="169"/>
      <c r="Q147" s="169"/>
      <c r="R147" s="170"/>
      <c r="S147" s="169"/>
      <c r="T147" s="169"/>
      <c r="U147" s="170"/>
      <c r="V147" s="170"/>
      <c r="W147" s="170"/>
      <c r="X147" s="171"/>
      <c r="Y147" s="169"/>
      <c r="Z147" s="171"/>
      <c r="AA147" s="166" t="str">
        <f aca="false">IF(OR($X147="",$Z147=""),"",$X147*$Z147)</f>
        <v/>
      </c>
      <c r="AB147" s="171"/>
      <c r="AC147" s="171"/>
      <c r="AD147" s="166" t="str">
        <f aca="false">IF($AA147="","",$AA147+IF($AB147="",0,$AB147)+IF($AC147="",0,$AC147))</f>
        <v/>
      </c>
      <c r="AE147" s="169"/>
      <c r="AF147" s="172"/>
      <c r="AG147" s="166" t="str">
        <f aca="false">IF($AD147="","",IF(OR($AE147="FCFA",$AE147=""),$AD147,$AD147*IF($AF147="",1,$AF147)))</f>
        <v/>
      </c>
      <c r="AH147" s="169"/>
      <c r="AI147" s="170"/>
      <c r="AJ147" s="170"/>
      <c r="AK147" s="169"/>
      <c r="AL147" s="170"/>
      <c r="AM147" s="170"/>
      <c r="AN147" s="173"/>
      <c r="AO147" s="170"/>
      <c r="AP147" s="170"/>
      <c r="AQ147" s="173"/>
      <c r="AR147" s="169"/>
      <c r="AS147" s="169"/>
      <c r="AT147" s="173"/>
      <c r="AU147" s="171"/>
      <c r="AV147" s="170"/>
      <c r="AW147" s="169"/>
      <c r="AX147" s="173"/>
      <c r="AY147" s="171"/>
      <c r="AZ147" s="166" t="str">
        <f aca="false">IF($AG147="","",MAX($AG147-IF($AY147="",0,$AY147),0))</f>
        <v/>
      </c>
      <c r="BA147" s="169"/>
      <c r="BB147" s="170"/>
      <c r="BC147" s="173"/>
      <c r="BD147" s="169"/>
      <c r="BE147" s="170"/>
      <c r="BF147" s="164" t="str">
        <f aca="false">IF($V147="","",IF($BD147="Oui","Oui","Non"))</f>
        <v/>
      </c>
      <c r="BG147" s="169"/>
      <c r="BH147" s="173"/>
      <c r="BI147" s="170"/>
      <c r="BJ147" s="170"/>
      <c r="BK147" s="170"/>
      <c r="BL147" s="173"/>
      <c r="BM147" s="164" t="str">
        <f aca="false">IF($BL147="","",YEAR($BL147))</f>
        <v/>
      </c>
      <c r="BN147" s="174" t="str">
        <f aca="false">IF($BL147="","",INDEX(PARAMETRES!$C$53:$C$65,MONTH($BL147)))</f>
        <v/>
      </c>
      <c r="BO147" s="111" t="str">
        <f aca="false">IF($BL147="","",INDEX(PARAMETRES!$B$53:$B$65,MONTH($BL147)))</f>
        <v/>
      </c>
      <c r="BP147" s="166" t="n">
        <f aca="false">IFERROR(INDEX(BUDGET!$AL$28:$AL$67,MATCH($B147,BUDGET!$A$28:$A$67,0)),"")</f>
        <v>0</v>
      </c>
      <c r="BQ147" s="166" t="str">
        <f aca="false">IF(OR($BP147="",$AG147=""),"",$BP147-$AG147)</f>
        <v/>
      </c>
      <c r="BR147" s="168" t="str">
        <f aca="false">IFERROR($AG147/INDEX(BUDGET!$AK$28:$AK$67,MATCH($B147,BUDGET!$A$28:$A$67,0)),"")</f>
        <v/>
      </c>
      <c r="BS147" s="164" t="str">
        <f aca="false">IF($V147="","",IF(AND($BP147&lt;&gt;"",$AG147&lt;&gt;"",$AG147&gt;$BP147),"Depassement budgetaire",IF(AND($AK147&lt;&gt;"Brouillon",$AK147&lt;&gt;"Annulee",$AK147&lt;&gt;"Rejetee",OR($BD147="Non",$BD147="")),"Pieces manquantes",IF(AND($AK147&lt;&gt;"Brouillon",OR($AR147="",$AR147="En attente")),"Depense non validee",IF(AND($AS147="Oui",$AW147&lt;&gt;"Oui"),"Engagement non paye",IF(AND($AW147="Non",$AK147="Validee"),"Paiement en attente",IF(AND($AY147&lt;&gt;"",$AZ147&gt;0),"Paiement partiel",IF(AND($AW147="Oui",$BG147&lt;&gt;"Oui"),"Rapprochement manquant",IF(AND($BF147="Oui",$AW147="Oui",$BG147="Oui"),"Dossier complet et paye","Normal")))))))))</f>
        <v/>
      </c>
      <c r="BT147" s="170"/>
      <c r="BU147" s="164" t="str">
        <f aca="false">IF($E147="","",COUNTIFS($E$119:E147,$E147))</f>
        <v/>
      </c>
      <c r="BV147" s="164" t="str">
        <f aca="false">IF($D147="","",COUNTIFS($D$119:D147,$D147))</f>
        <v/>
      </c>
    </row>
    <row r="148" customFormat="false" ht="15" hidden="false" customHeight="true" outlineLevel="0" collapsed="false">
      <c r="A148" s="164" t="str">
        <f aca="false">IF($V148="","","DEP"&amp;TEXT(ROW()-118,"00000"))</f>
        <v/>
      </c>
      <c r="B148" s="169"/>
      <c r="C148" s="167" t="str">
        <f aca="false">IF($B148="","",IFERROR(INDEX(BUDGET!$T$28:$T$67,MATCH($B148,BUDGET!$A$28:$A$67,0)),""))</f>
        <v/>
      </c>
      <c r="D148" s="167" t="str">
        <f aca="false">IF($B148="","",IFERROR(INDEX(BUDGET!$S$28:$S$67,MATCH($B148,BUDGET!$A$28:$A$67,0)),""))</f>
        <v/>
      </c>
      <c r="E148" s="169"/>
      <c r="F148" s="167" t="str">
        <f aca="false">IF($E148="","",IFERROR(INDEX(PROJETS!$C$56:$C$95,MATCH($E148,PROJETS!$A$56:$A$95,0)),""))</f>
        <v/>
      </c>
      <c r="G148" s="167" t="str">
        <f aca="false">IF($E148="","",IFERROR(INDEX(PROJETS!$J$56:$J$95,MATCH($E148,PROJETS!$A$56:$A$95,0)),""))</f>
        <v/>
      </c>
      <c r="H148" s="167" t="str">
        <f aca="false">IF($E148="","",IFERROR(INDEX(PROJETS!$N$56:$N$95,MATCH($E148,PROJETS!$A$56:$A$95,0)),""))</f>
        <v/>
      </c>
      <c r="I148" s="169"/>
      <c r="J148" s="167" t="str">
        <f aca="false">IF($I148="","",IFERROR(INDEX(ACTIVITES!$G$56:$G$105,MATCH($I148,ACTIVITES!$A$56:$A$105,0)),""))</f>
        <v/>
      </c>
      <c r="K148" s="169"/>
      <c r="L148" s="167" t="str">
        <f aca="false">IF($K148="","",IFERROR(INDEX(DONATEURS!$B$56:$B$205,MATCH($K148,DONATEURS!$A$56:$A$205,0)),""))</f>
        <v/>
      </c>
      <c r="M148" s="170"/>
      <c r="N148" s="170"/>
      <c r="O148" s="169"/>
      <c r="P148" s="169"/>
      <c r="Q148" s="169"/>
      <c r="R148" s="170"/>
      <c r="S148" s="169"/>
      <c r="T148" s="169"/>
      <c r="U148" s="170"/>
      <c r="V148" s="170"/>
      <c r="W148" s="170"/>
      <c r="X148" s="171"/>
      <c r="Y148" s="169"/>
      <c r="Z148" s="171"/>
      <c r="AA148" s="166" t="str">
        <f aca="false">IF(OR($X148="",$Z148=""),"",$X148*$Z148)</f>
        <v/>
      </c>
      <c r="AB148" s="171"/>
      <c r="AC148" s="171"/>
      <c r="AD148" s="166" t="str">
        <f aca="false">IF($AA148="","",$AA148+IF($AB148="",0,$AB148)+IF($AC148="",0,$AC148))</f>
        <v/>
      </c>
      <c r="AE148" s="169"/>
      <c r="AF148" s="172"/>
      <c r="AG148" s="166" t="str">
        <f aca="false">IF($AD148="","",IF(OR($AE148="FCFA",$AE148=""),$AD148,$AD148*IF($AF148="",1,$AF148)))</f>
        <v/>
      </c>
      <c r="AH148" s="169"/>
      <c r="AI148" s="170"/>
      <c r="AJ148" s="170"/>
      <c r="AK148" s="169"/>
      <c r="AL148" s="170"/>
      <c r="AM148" s="170"/>
      <c r="AN148" s="173"/>
      <c r="AO148" s="170"/>
      <c r="AP148" s="170"/>
      <c r="AQ148" s="173"/>
      <c r="AR148" s="169"/>
      <c r="AS148" s="169"/>
      <c r="AT148" s="173"/>
      <c r="AU148" s="171"/>
      <c r="AV148" s="170"/>
      <c r="AW148" s="169"/>
      <c r="AX148" s="173"/>
      <c r="AY148" s="171"/>
      <c r="AZ148" s="166" t="str">
        <f aca="false">IF($AG148="","",MAX($AG148-IF($AY148="",0,$AY148),0))</f>
        <v/>
      </c>
      <c r="BA148" s="169"/>
      <c r="BB148" s="170"/>
      <c r="BC148" s="173"/>
      <c r="BD148" s="169"/>
      <c r="BE148" s="170"/>
      <c r="BF148" s="164" t="str">
        <f aca="false">IF($V148="","",IF($BD148="Oui","Oui","Non"))</f>
        <v/>
      </c>
      <c r="BG148" s="169"/>
      <c r="BH148" s="173"/>
      <c r="BI148" s="170"/>
      <c r="BJ148" s="170"/>
      <c r="BK148" s="170"/>
      <c r="BL148" s="173"/>
      <c r="BM148" s="164" t="str">
        <f aca="false">IF($BL148="","",YEAR($BL148))</f>
        <v/>
      </c>
      <c r="BN148" s="174" t="str">
        <f aca="false">IF($BL148="","",INDEX(PARAMETRES!$C$53:$C$65,MONTH($BL148)))</f>
        <v/>
      </c>
      <c r="BO148" s="111" t="str">
        <f aca="false">IF($BL148="","",INDEX(PARAMETRES!$B$53:$B$65,MONTH($BL148)))</f>
        <v/>
      </c>
      <c r="BP148" s="166" t="n">
        <f aca="false">IFERROR(INDEX(BUDGET!$AL$28:$AL$67,MATCH($B148,BUDGET!$A$28:$A$67,0)),"")</f>
        <v>0</v>
      </c>
      <c r="BQ148" s="166" t="str">
        <f aca="false">IF(OR($BP148="",$AG148=""),"",$BP148-$AG148)</f>
        <v/>
      </c>
      <c r="BR148" s="168" t="str">
        <f aca="false">IFERROR($AG148/INDEX(BUDGET!$AK$28:$AK$67,MATCH($B148,BUDGET!$A$28:$A$67,0)),"")</f>
        <v/>
      </c>
      <c r="BS148" s="164" t="str">
        <f aca="false">IF($V148="","",IF(AND($BP148&lt;&gt;"",$AG148&lt;&gt;"",$AG148&gt;$BP148),"Depassement budgetaire",IF(AND($AK148&lt;&gt;"Brouillon",$AK148&lt;&gt;"Annulee",$AK148&lt;&gt;"Rejetee",OR($BD148="Non",$BD148="")),"Pieces manquantes",IF(AND($AK148&lt;&gt;"Brouillon",OR($AR148="",$AR148="En attente")),"Depense non validee",IF(AND($AS148="Oui",$AW148&lt;&gt;"Oui"),"Engagement non paye",IF(AND($AW148="Non",$AK148="Validee"),"Paiement en attente",IF(AND($AY148&lt;&gt;"",$AZ148&gt;0),"Paiement partiel",IF(AND($AW148="Oui",$BG148&lt;&gt;"Oui"),"Rapprochement manquant",IF(AND($BF148="Oui",$AW148="Oui",$BG148="Oui"),"Dossier complet et paye","Normal")))))))))</f>
        <v/>
      </c>
      <c r="BT148" s="170"/>
      <c r="BU148" s="164" t="str">
        <f aca="false">IF($E148="","",COUNTIFS($E$119:E148,$E148))</f>
        <v/>
      </c>
      <c r="BV148" s="164" t="str">
        <f aca="false">IF($D148="","",COUNTIFS($D$119:D148,$D148))</f>
        <v/>
      </c>
    </row>
    <row r="149" customFormat="false" ht="15" hidden="false" customHeight="true" outlineLevel="0" collapsed="false">
      <c r="A149" s="164" t="str">
        <f aca="false">IF($V149="","","DEP"&amp;TEXT(ROW()-118,"00000"))</f>
        <v/>
      </c>
      <c r="B149" s="169"/>
      <c r="C149" s="167" t="str">
        <f aca="false">IF($B149="","",IFERROR(INDEX(BUDGET!$T$28:$T$67,MATCH($B149,BUDGET!$A$28:$A$67,0)),""))</f>
        <v/>
      </c>
      <c r="D149" s="167" t="str">
        <f aca="false">IF($B149="","",IFERROR(INDEX(BUDGET!$S$28:$S$67,MATCH($B149,BUDGET!$A$28:$A$67,0)),""))</f>
        <v/>
      </c>
      <c r="E149" s="169"/>
      <c r="F149" s="167" t="str">
        <f aca="false">IF($E149="","",IFERROR(INDEX(PROJETS!$C$56:$C$95,MATCH($E149,PROJETS!$A$56:$A$95,0)),""))</f>
        <v/>
      </c>
      <c r="G149" s="167" t="str">
        <f aca="false">IF($E149="","",IFERROR(INDEX(PROJETS!$J$56:$J$95,MATCH($E149,PROJETS!$A$56:$A$95,0)),""))</f>
        <v/>
      </c>
      <c r="H149" s="167" t="str">
        <f aca="false">IF($E149="","",IFERROR(INDEX(PROJETS!$N$56:$N$95,MATCH($E149,PROJETS!$A$56:$A$95,0)),""))</f>
        <v/>
      </c>
      <c r="I149" s="169"/>
      <c r="J149" s="167" t="str">
        <f aca="false">IF($I149="","",IFERROR(INDEX(ACTIVITES!$G$56:$G$105,MATCH($I149,ACTIVITES!$A$56:$A$105,0)),""))</f>
        <v/>
      </c>
      <c r="K149" s="169"/>
      <c r="L149" s="167" t="str">
        <f aca="false">IF($K149="","",IFERROR(INDEX(DONATEURS!$B$56:$B$205,MATCH($K149,DONATEURS!$A$56:$A$205,0)),""))</f>
        <v/>
      </c>
      <c r="M149" s="170"/>
      <c r="N149" s="170"/>
      <c r="O149" s="169"/>
      <c r="P149" s="169"/>
      <c r="Q149" s="169"/>
      <c r="R149" s="170"/>
      <c r="S149" s="169"/>
      <c r="T149" s="169"/>
      <c r="U149" s="170"/>
      <c r="V149" s="170"/>
      <c r="W149" s="170"/>
      <c r="X149" s="171"/>
      <c r="Y149" s="169"/>
      <c r="Z149" s="171"/>
      <c r="AA149" s="166" t="str">
        <f aca="false">IF(OR($X149="",$Z149=""),"",$X149*$Z149)</f>
        <v/>
      </c>
      <c r="AB149" s="171"/>
      <c r="AC149" s="171"/>
      <c r="AD149" s="166" t="str">
        <f aca="false">IF($AA149="","",$AA149+IF($AB149="",0,$AB149)+IF($AC149="",0,$AC149))</f>
        <v/>
      </c>
      <c r="AE149" s="169"/>
      <c r="AF149" s="172"/>
      <c r="AG149" s="166" t="str">
        <f aca="false">IF($AD149="","",IF(OR($AE149="FCFA",$AE149=""),$AD149,$AD149*IF($AF149="",1,$AF149)))</f>
        <v/>
      </c>
      <c r="AH149" s="169"/>
      <c r="AI149" s="170"/>
      <c r="AJ149" s="170"/>
      <c r="AK149" s="169"/>
      <c r="AL149" s="170"/>
      <c r="AM149" s="170"/>
      <c r="AN149" s="173"/>
      <c r="AO149" s="170"/>
      <c r="AP149" s="170"/>
      <c r="AQ149" s="173"/>
      <c r="AR149" s="169"/>
      <c r="AS149" s="169"/>
      <c r="AT149" s="173"/>
      <c r="AU149" s="171"/>
      <c r="AV149" s="170"/>
      <c r="AW149" s="169"/>
      <c r="AX149" s="173"/>
      <c r="AY149" s="171"/>
      <c r="AZ149" s="166" t="str">
        <f aca="false">IF($AG149="","",MAX($AG149-IF($AY149="",0,$AY149),0))</f>
        <v/>
      </c>
      <c r="BA149" s="169"/>
      <c r="BB149" s="170"/>
      <c r="BC149" s="173"/>
      <c r="BD149" s="169"/>
      <c r="BE149" s="170"/>
      <c r="BF149" s="164" t="str">
        <f aca="false">IF($V149="","",IF($BD149="Oui","Oui","Non"))</f>
        <v/>
      </c>
      <c r="BG149" s="169"/>
      <c r="BH149" s="173"/>
      <c r="BI149" s="170"/>
      <c r="BJ149" s="170"/>
      <c r="BK149" s="170"/>
      <c r="BL149" s="173"/>
      <c r="BM149" s="164" t="str">
        <f aca="false">IF($BL149="","",YEAR($BL149))</f>
        <v/>
      </c>
      <c r="BN149" s="174" t="str">
        <f aca="false">IF($BL149="","",INDEX(PARAMETRES!$C$53:$C$65,MONTH($BL149)))</f>
        <v/>
      </c>
      <c r="BO149" s="111" t="str">
        <f aca="false">IF($BL149="","",INDEX(PARAMETRES!$B$53:$B$65,MONTH($BL149)))</f>
        <v/>
      </c>
      <c r="BP149" s="166" t="n">
        <f aca="false">IFERROR(INDEX(BUDGET!$AL$28:$AL$67,MATCH($B149,BUDGET!$A$28:$A$67,0)),"")</f>
        <v>0</v>
      </c>
      <c r="BQ149" s="166" t="str">
        <f aca="false">IF(OR($BP149="",$AG149=""),"",$BP149-$AG149)</f>
        <v/>
      </c>
      <c r="BR149" s="168" t="str">
        <f aca="false">IFERROR($AG149/INDEX(BUDGET!$AK$28:$AK$67,MATCH($B149,BUDGET!$A$28:$A$67,0)),"")</f>
        <v/>
      </c>
      <c r="BS149" s="164" t="str">
        <f aca="false">IF($V149="","",IF(AND($BP149&lt;&gt;"",$AG149&lt;&gt;"",$AG149&gt;$BP149),"Depassement budgetaire",IF(AND($AK149&lt;&gt;"Brouillon",$AK149&lt;&gt;"Annulee",$AK149&lt;&gt;"Rejetee",OR($BD149="Non",$BD149="")),"Pieces manquantes",IF(AND($AK149&lt;&gt;"Brouillon",OR($AR149="",$AR149="En attente")),"Depense non validee",IF(AND($AS149="Oui",$AW149&lt;&gt;"Oui"),"Engagement non paye",IF(AND($AW149="Non",$AK149="Validee"),"Paiement en attente",IF(AND($AY149&lt;&gt;"",$AZ149&gt;0),"Paiement partiel",IF(AND($AW149="Oui",$BG149&lt;&gt;"Oui"),"Rapprochement manquant",IF(AND($BF149="Oui",$AW149="Oui",$BG149="Oui"),"Dossier complet et paye","Normal")))))))))</f>
        <v/>
      </c>
      <c r="BT149" s="170"/>
      <c r="BU149" s="164" t="str">
        <f aca="false">IF($E149="","",COUNTIFS($E$119:E149,$E149))</f>
        <v/>
      </c>
      <c r="BV149" s="164" t="str">
        <f aca="false">IF($D149="","",COUNTIFS($D$119:D149,$D149))</f>
        <v/>
      </c>
    </row>
    <row r="150" customFormat="false" ht="15" hidden="false" customHeight="true" outlineLevel="0" collapsed="false">
      <c r="A150" s="164" t="str">
        <f aca="false">IF($V150="","","DEP"&amp;TEXT(ROW()-118,"00000"))</f>
        <v/>
      </c>
      <c r="B150" s="169"/>
      <c r="C150" s="167" t="str">
        <f aca="false">IF($B150="","",IFERROR(INDEX(BUDGET!$T$28:$T$67,MATCH($B150,BUDGET!$A$28:$A$67,0)),""))</f>
        <v/>
      </c>
      <c r="D150" s="167" t="str">
        <f aca="false">IF($B150="","",IFERROR(INDEX(BUDGET!$S$28:$S$67,MATCH($B150,BUDGET!$A$28:$A$67,0)),""))</f>
        <v/>
      </c>
      <c r="E150" s="169"/>
      <c r="F150" s="167" t="str">
        <f aca="false">IF($E150="","",IFERROR(INDEX(PROJETS!$C$56:$C$95,MATCH($E150,PROJETS!$A$56:$A$95,0)),""))</f>
        <v/>
      </c>
      <c r="G150" s="167" t="str">
        <f aca="false">IF($E150="","",IFERROR(INDEX(PROJETS!$J$56:$J$95,MATCH($E150,PROJETS!$A$56:$A$95,0)),""))</f>
        <v/>
      </c>
      <c r="H150" s="167" t="str">
        <f aca="false">IF($E150="","",IFERROR(INDEX(PROJETS!$N$56:$N$95,MATCH($E150,PROJETS!$A$56:$A$95,0)),""))</f>
        <v/>
      </c>
      <c r="I150" s="169"/>
      <c r="J150" s="167" t="str">
        <f aca="false">IF($I150="","",IFERROR(INDEX(ACTIVITES!$G$56:$G$105,MATCH($I150,ACTIVITES!$A$56:$A$105,0)),""))</f>
        <v/>
      </c>
      <c r="K150" s="169"/>
      <c r="L150" s="167" t="str">
        <f aca="false">IF($K150="","",IFERROR(INDEX(DONATEURS!$B$56:$B$205,MATCH($K150,DONATEURS!$A$56:$A$205,0)),""))</f>
        <v/>
      </c>
      <c r="M150" s="170"/>
      <c r="N150" s="170"/>
      <c r="O150" s="169"/>
      <c r="P150" s="169"/>
      <c r="Q150" s="169"/>
      <c r="R150" s="170"/>
      <c r="S150" s="169"/>
      <c r="T150" s="169"/>
      <c r="U150" s="170"/>
      <c r="V150" s="170"/>
      <c r="W150" s="170"/>
      <c r="X150" s="171"/>
      <c r="Y150" s="169"/>
      <c r="Z150" s="171"/>
      <c r="AA150" s="166" t="str">
        <f aca="false">IF(OR($X150="",$Z150=""),"",$X150*$Z150)</f>
        <v/>
      </c>
      <c r="AB150" s="171"/>
      <c r="AC150" s="171"/>
      <c r="AD150" s="166" t="str">
        <f aca="false">IF($AA150="","",$AA150+IF($AB150="",0,$AB150)+IF($AC150="",0,$AC150))</f>
        <v/>
      </c>
      <c r="AE150" s="169"/>
      <c r="AF150" s="172"/>
      <c r="AG150" s="166" t="str">
        <f aca="false">IF($AD150="","",IF(OR($AE150="FCFA",$AE150=""),$AD150,$AD150*IF($AF150="",1,$AF150)))</f>
        <v/>
      </c>
      <c r="AH150" s="169"/>
      <c r="AI150" s="170"/>
      <c r="AJ150" s="170"/>
      <c r="AK150" s="169"/>
      <c r="AL150" s="170"/>
      <c r="AM150" s="170"/>
      <c r="AN150" s="173"/>
      <c r="AO150" s="170"/>
      <c r="AP150" s="170"/>
      <c r="AQ150" s="173"/>
      <c r="AR150" s="169"/>
      <c r="AS150" s="169"/>
      <c r="AT150" s="173"/>
      <c r="AU150" s="171"/>
      <c r="AV150" s="170"/>
      <c r="AW150" s="169"/>
      <c r="AX150" s="173"/>
      <c r="AY150" s="171"/>
      <c r="AZ150" s="166" t="str">
        <f aca="false">IF($AG150="","",MAX($AG150-IF($AY150="",0,$AY150),0))</f>
        <v/>
      </c>
      <c r="BA150" s="169"/>
      <c r="BB150" s="170"/>
      <c r="BC150" s="173"/>
      <c r="BD150" s="169"/>
      <c r="BE150" s="170"/>
      <c r="BF150" s="164" t="str">
        <f aca="false">IF($V150="","",IF($BD150="Oui","Oui","Non"))</f>
        <v/>
      </c>
      <c r="BG150" s="169"/>
      <c r="BH150" s="173"/>
      <c r="BI150" s="170"/>
      <c r="BJ150" s="170"/>
      <c r="BK150" s="170"/>
      <c r="BL150" s="173"/>
      <c r="BM150" s="164" t="str">
        <f aca="false">IF($BL150="","",YEAR($BL150))</f>
        <v/>
      </c>
      <c r="BN150" s="174" t="str">
        <f aca="false">IF($BL150="","",INDEX(PARAMETRES!$C$53:$C$65,MONTH($BL150)))</f>
        <v/>
      </c>
      <c r="BO150" s="111" t="str">
        <f aca="false">IF($BL150="","",INDEX(PARAMETRES!$B$53:$B$65,MONTH($BL150)))</f>
        <v/>
      </c>
      <c r="BP150" s="166" t="n">
        <f aca="false">IFERROR(INDEX(BUDGET!$AL$28:$AL$67,MATCH($B150,BUDGET!$A$28:$A$67,0)),"")</f>
        <v>0</v>
      </c>
      <c r="BQ150" s="166" t="str">
        <f aca="false">IF(OR($BP150="",$AG150=""),"",$BP150-$AG150)</f>
        <v/>
      </c>
      <c r="BR150" s="168" t="str">
        <f aca="false">IFERROR($AG150/INDEX(BUDGET!$AK$28:$AK$67,MATCH($B150,BUDGET!$A$28:$A$67,0)),"")</f>
        <v/>
      </c>
      <c r="BS150" s="164" t="str">
        <f aca="false">IF($V150="","",IF(AND($BP150&lt;&gt;"",$AG150&lt;&gt;"",$AG150&gt;$BP150),"Depassement budgetaire",IF(AND($AK150&lt;&gt;"Brouillon",$AK150&lt;&gt;"Annulee",$AK150&lt;&gt;"Rejetee",OR($BD150="Non",$BD150="")),"Pieces manquantes",IF(AND($AK150&lt;&gt;"Brouillon",OR($AR150="",$AR150="En attente")),"Depense non validee",IF(AND($AS150="Oui",$AW150&lt;&gt;"Oui"),"Engagement non paye",IF(AND($AW150="Non",$AK150="Validee"),"Paiement en attente",IF(AND($AY150&lt;&gt;"",$AZ150&gt;0),"Paiement partiel",IF(AND($AW150="Oui",$BG150&lt;&gt;"Oui"),"Rapprochement manquant",IF(AND($BF150="Oui",$AW150="Oui",$BG150="Oui"),"Dossier complet et paye","Normal")))))))))</f>
        <v/>
      </c>
      <c r="BT150" s="170"/>
      <c r="BU150" s="164" t="str">
        <f aca="false">IF($E150="","",COUNTIFS($E$119:E150,$E150))</f>
        <v/>
      </c>
      <c r="BV150" s="164" t="str">
        <f aca="false">IF($D150="","",COUNTIFS($D$119:D150,$D150))</f>
        <v/>
      </c>
    </row>
    <row r="151" customFormat="false" ht="15" hidden="false" customHeight="true" outlineLevel="0" collapsed="false">
      <c r="A151" s="164" t="str">
        <f aca="false">IF($V151="","","DEP"&amp;TEXT(ROW()-118,"00000"))</f>
        <v/>
      </c>
      <c r="B151" s="169"/>
      <c r="C151" s="167" t="str">
        <f aca="false">IF($B151="","",IFERROR(INDEX(BUDGET!$T$28:$T$67,MATCH($B151,BUDGET!$A$28:$A$67,0)),""))</f>
        <v/>
      </c>
      <c r="D151" s="167" t="str">
        <f aca="false">IF($B151="","",IFERROR(INDEX(BUDGET!$S$28:$S$67,MATCH($B151,BUDGET!$A$28:$A$67,0)),""))</f>
        <v/>
      </c>
      <c r="E151" s="169"/>
      <c r="F151" s="167" t="str">
        <f aca="false">IF($E151="","",IFERROR(INDEX(PROJETS!$C$56:$C$95,MATCH($E151,PROJETS!$A$56:$A$95,0)),""))</f>
        <v/>
      </c>
      <c r="G151" s="167" t="str">
        <f aca="false">IF($E151="","",IFERROR(INDEX(PROJETS!$J$56:$J$95,MATCH($E151,PROJETS!$A$56:$A$95,0)),""))</f>
        <v/>
      </c>
      <c r="H151" s="167" t="str">
        <f aca="false">IF($E151="","",IFERROR(INDEX(PROJETS!$N$56:$N$95,MATCH($E151,PROJETS!$A$56:$A$95,0)),""))</f>
        <v/>
      </c>
      <c r="I151" s="169"/>
      <c r="J151" s="167" t="str">
        <f aca="false">IF($I151="","",IFERROR(INDEX(ACTIVITES!$G$56:$G$105,MATCH($I151,ACTIVITES!$A$56:$A$105,0)),""))</f>
        <v/>
      </c>
      <c r="K151" s="169"/>
      <c r="L151" s="167" t="str">
        <f aca="false">IF($K151="","",IFERROR(INDEX(DONATEURS!$B$56:$B$205,MATCH($K151,DONATEURS!$A$56:$A$205,0)),""))</f>
        <v/>
      </c>
      <c r="M151" s="170"/>
      <c r="N151" s="170"/>
      <c r="O151" s="169"/>
      <c r="P151" s="169"/>
      <c r="Q151" s="169"/>
      <c r="R151" s="170"/>
      <c r="S151" s="169"/>
      <c r="T151" s="169"/>
      <c r="U151" s="170"/>
      <c r="V151" s="170"/>
      <c r="W151" s="170"/>
      <c r="X151" s="171"/>
      <c r="Y151" s="169"/>
      <c r="Z151" s="171"/>
      <c r="AA151" s="166" t="str">
        <f aca="false">IF(OR($X151="",$Z151=""),"",$X151*$Z151)</f>
        <v/>
      </c>
      <c r="AB151" s="171"/>
      <c r="AC151" s="171"/>
      <c r="AD151" s="166" t="str">
        <f aca="false">IF($AA151="","",$AA151+IF($AB151="",0,$AB151)+IF($AC151="",0,$AC151))</f>
        <v/>
      </c>
      <c r="AE151" s="169"/>
      <c r="AF151" s="172"/>
      <c r="AG151" s="166" t="str">
        <f aca="false">IF($AD151="","",IF(OR($AE151="FCFA",$AE151=""),$AD151,$AD151*IF($AF151="",1,$AF151)))</f>
        <v/>
      </c>
      <c r="AH151" s="169"/>
      <c r="AI151" s="170"/>
      <c r="AJ151" s="170"/>
      <c r="AK151" s="169"/>
      <c r="AL151" s="170"/>
      <c r="AM151" s="170"/>
      <c r="AN151" s="173"/>
      <c r="AO151" s="170"/>
      <c r="AP151" s="170"/>
      <c r="AQ151" s="173"/>
      <c r="AR151" s="169"/>
      <c r="AS151" s="169"/>
      <c r="AT151" s="173"/>
      <c r="AU151" s="171"/>
      <c r="AV151" s="170"/>
      <c r="AW151" s="169"/>
      <c r="AX151" s="173"/>
      <c r="AY151" s="171"/>
      <c r="AZ151" s="166" t="str">
        <f aca="false">IF($AG151="","",MAX($AG151-IF($AY151="",0,$AY151),0))</f>
        <v/>
      </c>
      <c r="BA151" s="169"/>
      <c r="BB151" s="170"/>
      <c r="BC151" s="173"/>
      <c r="BD151" s="169"/>
      <c r="BE151" s="170"/>
      <c r="BF151" s="164" t="str">
        <f aca="false">IF($V151="","",IF($BD151="Oui","Oui","Non"))</f>
        <v/>
      </c>
      <c r="BG151" s="169"/>
      <c r="BH151" s="173"/>
      <c r="BI151" s="170"/>
      <c r="BJ151" s="170"/>
      <c r="BK151" s="170"/>
      <c r="BL151" s="173"/>
      <c r="BM151" s="164" t="str">
        <f aca="false">IF($BL151="","",YEAR($BL151))</f>
        <v/>
      </c>
      <c r="BN151" s="174" t="str">
        <f aca="false">IF($BL151="","",INDEX(PARAMETRES!$C$53:$C$65,MONTH($BL151)))</f>
        <v/>
      </c>
      <c r="BO151" s="111" t="str">
        <f aca="false">IF($BL151="","",INDEX(PARAMETRES!$B$53:$B$65,MONTH($BL151)))</f>
        <v/>
      </c>
      <c r="BP151" s="166" t="n">
        <f aca="false">IFERROR(INDEX(BUDGET!$AL$28:$AL$67,MATCH($B151,BUDGET!$A$28:$A$67,0)),"")</f>
        <v>0</v>
      </c>
      <c r="BQ151" s="166" t="str">
        <f aca="false">IF(OR($BP151="",$AG151=""),"",$BP151-$AG151)</f>
        <v/>
      </c>
      <c r="BR151" s="168" t="str">
        <f aca="false">IFERROR($AG151/INDEX(BUDGET!$AK$28:$AK$67,MATCH($B151,BUDGET!$A$28:$A$67,0)),"")</f>
        <v/>
      </c>
      <c r="BS151" s="164" t="str">
        <f aca="false">IF($V151="","",IF(AND($BP151&lt;&gt;"",$AG151&lt;&gt;"",$AG151&gt;$BP151),"Depassement budgetaire",IF(AND($AK151&lt;&gt;"Brouillon",$AK151&lt;&gt;"Annulee",$AK151&lt;&gt;"Rejetee",OR($BD151="Non",$BD151="")),"Pieces manquantes",IF(AND($AK151&lt;&gt;"Brouillon",OR($AR151="",$AR151="En attente")),"Depense non validee",IF(AND($AS151="Oui",$AW151&lt;&gt;"Oui"),"Engagement non paye",IF(AND($AW151="Non",$AK151="Validee"),"Paiement en attente",IF(AND($AY151&lt;&gt;"",$AZ151&gt;0),"Paiement partiel",IF(AND($AW151="Oui",$BG151&lt;&gt;"Oui"),"Rapprochement manquant",IF(AND($BF151="Oui",$AW151="Oui",$BG151="Oui"),"Dossier complet et paye","Normal")))))))))</f>
        <v/>
      </c>
      <c r="BT151" s="170"/>
      <c r="BU151" s="164" t="str">
        <f aca="false">IF($E151="","",COUNTIFS($E$119:E151,$E151))</f>
        <v/>
      </c>
      <c r="BV151" s="164" t="str">
        <f aca="false">IF($D151="","",COUNTIFS($D$119:D151,$D151))</f>
        <v/>
      </c>
    </row>
    <row r="152" customFormat="false" ht="15" hidden="false" customHeight="true" outlineLevel="0" collapsed="false">
      <c r="A152" s="164" t="str">
        <f aca="false">IF($V152="","","DEP"&amp;TEXT(ROW()-118,"00000"))</f>
        <v/>
      </c>
      <c r="B152" s="169"/>
      <c r="C152" s="167" t="str">
        <f aca="false">IF($B152="","",IFERROR(INDEX(BUDGET!$T$28:$T$67,MATCH($B152,BUDGET!$A$28:$A$67,0)),""))</f>
        <v/>
      </c>
      <c r="D152" s="167" t="str">
        <f aca="false">IF($B152="","",IFERROR(INDEX(BUDGET!$S$28:$S$67,MATCH($B152,BUDGET!$A$28:$A$67,0)),""))</f>
        <v/>
      </c>
      <c r="E152" s="169"/>
      <c r="F152" s="167" t="str">
        <f aca="false">IF($E152="","",IFERROR(INDEX(PROJETS!$C$56:$C$95,MATCH($E152,PROJETS!$A$56:$A$95,0)),""))</f>
        <v/>
      </c>
      <c r="G152" s="167" t="str">
        <f aca="false">IF($E152="","",IFERROR(INDEX(PROJETS!$J$56:$J$95,MATCH($E152,PROJETS!$A$56:$A$95,0)),""))</f>
        <v/>
      </c>
      <c r="H152" s="167" t="str">
        <f aca="false">IF($E152="","",IFERROR(INDEX(PROJETS!$N$56:$N$95,MATCH($E152,PROJETS!$A$56:$A$95,0)),""))</f>
        <v/>
      </c>
      <c r="I152" s="169"/>
      <c r="J152" s="167" t="str">
        <f aca="false">IF($I152="","",IFERROR(INDEX(ACTIVITES!$G$56:$G$105,MATCH($I152,ACTIVITES!$A$56:$A$105,0)),""))</f>
        <v/>
      </c>
      <c r="K152" s="169"/>
      <c r="L152" s="167" t="str">
        <f aca="false">IF($K152="","",IFERROR(INDEX(DONATEURS!$B$56:$B$205,MATCH($K152,DONATEURS!$A$56:$A$205,0)),""))</f>
        <v/>
      </c>
      <c r="M152" s="170"/>
      <c r="N152" s="170"/>
      <c r="O152" s="169"/>
      <c r="P152" s="169"/>
      <c r="Q152" s="169"/>
      <c r="R152" s="170"/>
      <c r="S152" s="169"/>
      <c r="T152" s="169"/>
      <c r="U152" s="170"/>
      <c r="V152" s="170"/>
      <c r="W152" s="170"/>
      <c r="X152" s="171"/>
      <c r="Y152" s="169"/>
      <c r="Z152" s="171"/>
      <c r="AA152" s="166" t="str">
        <f aca="false">IF(OR($X152="",$Z152=""),"",$X152*$Z152)</f>
        <v/>
      </c>
      <c r="AB152" s="171"/>
      <c r="AC152" s="171"/>
      <c r="AD152" s="166" t="str">
        <f aca="false">IF($AA152="","",$AA152+IF($AB152="",0,$AB152)+IF($AC152="",0,$AC152))</f>
        <v/>
      </c>
      <c r="AE152" s="169"/>
      <c r="AF152" s="172"/>
      <c r="AG152" s="166" t="str">
        <f aca="false">IF($AD152="","",IF(OR($AE152="FCFA",$AE152=""),$AD152,$AD152*IF($AF152="",1,$AF152)))</f>
        <v/>
      </c>
      <c r="AH152" s="169"/>
      <c r="AI152" s="170"/>
      <c r="AJ152" s="170"/>
      <c r="AK152" s="169"/>
      <c r="AL152" s="170"/>
      <c r="AM152" s="170"/>
      <c r="AN152" s="173"/>
      <c r="AO152" s="170"/>
      <c r="AP152" s="170"/>
      <c r="AQ152" s="173"/>
      <c r="AR152" s="169"/>
      <c r="AS152" s="169"/>
      <c r="AT152" s="173"/>
      <c r="AU152" s="171"/>
      <c r="AV152" s="170"/>
      <c r="AW152" s="169"/>
      <c r="AX152" s="173"/>
      <c r="AY152" s="171"/>
      <c r="AZ152" s="166" t="str">
        <f aca="false">IF($AG152="","",MAX($AG152-IF($AY152="",0,$AY152),0))</f>
        <v/>
      </c>
      <c r="BA152" s="169"/>
      <c r="BB152" s="170"/>
      <c r="BC152" s="173"/>
      <c r="BD152" s="169"/>
      <c r="BE152" s="170"/>
      <c r="BF152" s="164" t="str">
        <f aca="false">IF($V152="","",IF($BD152="Oui","Oui","Non"))</f>
        <v/>
      </c>
      <c r="BG152" s="169"/>
      <c r="BH152" s="173"/>
      <c r="BI152" s="170"/>
      <c r="BJ152" s="170"/>
      <c r="BK152" s="170"/>
      <c r="BL152" s="173"/>
      <c r="BM152" s="164" t="str">
        <f aca="false">IF($BL152="","",YEAR($BL152))</f>
        <v/>
      </c>
      <c r="BN152" s="174" t="str">
        <f aca="false">IF($BL152="","",INDEX(PARAMETRES!$C$53:$C$65,MONTH($BL152)))</f>
        <v/>
      </c>
      <c r="BO152" s="111" t="str">
        <f aca="false">IF($BL152="","",INDEX(PARAMETRES!$B$53:$B$65,MONTH($BL152)))</f>
        <v/>
      </c>
      <c r="BP152" s="166" t="n">
        <f aca="false">IFERROR(INDEX(BUDGET!$AL$28:$AL$67,MATCH($B152,BUDGET!$A$28:$A$67,0)),"")</f>
        <v>0</v>
      </c>
      <c r="BQ152" s="166" t="str">
        <f aca="false">IF(OR($BP152="",$AG152=""),"",$BP152-$AG152)</f>
        <v/>
      </c>
      <c r="BR152" s="168" t="str">
        <f aca="false">IFERROR($AG152/INDEX(BUDGET!$AK$28:$AK$67,MATCH($B152,BUDGET!$A$28:$A$67,0)),"")</f>
        <v/>
      </c>
      <c r="BS152" s="164" t="str">
        <f aca="false">IF($V152="","",IF(AND($BP152&lt;&gt;"",$AG152&lt;&gt;"",$AG152&gt;$BP152),"Depassement budgetaire",IF(AND($AK152&lt;&gt;"Brouillon",$AK152&lt;&gt;"Annulee",$AK152&lt;&gt;"Rejetee",OR($BD152="Non",$BD152="")),"Pieces manquantes",IF(AND($AK152&lt;&gt;"Brouillon",OR($AR152="",$AR152="En attente")),"Depense non validee",IF(AND($AS152="Oui",$AW152&lt;&gt;"Oui"),"Engagement non paye",IF(AND($AW152="Non",$AK152="Validee"),"Paiement en attente",IF(AND($AY152&lt;&gt;"",$AZ152&gt;0),"Paiement partiel",IF(AND($AW152="Oui",$BG152&lt;&gt;"Oui"),"Rapprochement manquant",IF(AND($BF152="Oui",$AW152="Oui",$BG152="Oui"),"Dossier complet et paye","Normal")))))))))</f>
        <v/>
      </c>
      <c r="BT152" s="170"/>
      <c r="BU152" s="164" t="str">
        <f aca="false">IF($E152="","",COUNTIFS($E$119:E152,$E152))</f>
        <v/>
      </c>
      <c r="BV152" s="164" t="str">
        <f aca="false">IF($D152="","",COUNTIFS($D$119:D152,$D152))</f>
        <v/>
      </c>
    </row>
    <row r="153" customFormat="false" ht="15" hidden="false" customHeight="true" outlineLevel="0" collapsed="false">
      <c r="A153" s="164" t="str">
        <f aca="false">IF($V153="","","DEP"&amp;TEXT(ROW()-118,"00000"))</f>
        <v/>
      </c>
      <c r="B153" s="169"/>
      <c r="C153" s="167" t="str">
        <f aca="false">IF($B153="","",IFERROR(INDEX(BUDGET!$T$28:$T$67,MATCH($B153,BUDGET!$A$28:$A$67,0)),""))</f>
        <v/>
      </c>
      <c r="D153" s="167" t="str">
        <f aca="false">IF($B153="","",IFERROR(INDEX(BUDGET!$S$28:$S$67,MATCH($B153,BUDGET!$A$28:$A$67,0)),""))</f>
        <v/>
      </c>
      <c r="E153" s="169"/>
      <c r="F153" s="167" t="str">
        <f aca="false">IF($E153="","",IFERROR(INDEX(PROJETS!$C$56:$C$95,MATCH($E153,PROJETS!$A$56:$A$95,0)),""))</f>
        <v/>
      </c>
      <c r="G153" s="167" t="str">
        <f aca="false">IF($E153="","",IFERROR(INDEX(PROJETS!$J$56:$J$95,MATCH($E153,PROJETS!$A$56:$A$95,0)),""))</f>
        <v/>
      </c>
      <c r="H153" s="167" t="str">
        <f aca="false">IF($E153="","",IFERROR(INDEX(PROJETS!$N$56:$N$95,MATCH($E153,PROJETS!$A$56:$A$95,0)),""))</f>
        <v/>
      </c>
      <c r="I153" s="169"/>
      <c r="J153" s="167" t="str">
        <f aca="false">IF($I153="","",IFERROR(INDEX(ACTIVITES!$G$56:$G$105,MATCH($I153,ACTIVITES!$A$56:$A$105,0)),""))</f>
        <v/>
      </c>
      <c r="K153" s="169"/>
      <c r="L153" s="167" t="str">
        <f aca="false">IF($K153="","",IFERROR(INDEX(DONATEURS!$B$56:$B$205,MATCH($K153,DONATEURS!$A$56:$A$205,0)),""))</f>
        <v/>
      </c>
      <c r="M153" s="170"/>
      <c r="N153" s="170"/>
      <c r="O153" s="169"/>
      <c r="P153" s="169"/>
      <c r="Q153" s="169"/>
      <c r="R153" s="170"/>
      <c r="S153" s="169"/>
      <c r="T153" s="169"/>
      <c r="U153" s="170"/>
      <c r="V153" s="170"/>
      <c r="W153" s="170"/>
      <c r="X153" s="171"/>
      <c r="Y153" s="169"/>
      <c r="Z153" s="171"/>
      <c r="AA153" s="166" t="str">
        <f aca="false">IF(OR($X153="",$Z153=""),"",$X153*$Z153)</f>
        <v/>
      </c>
      <c r="AB153" s="171"/>
      <c r="AC153" s="171"/>
      <c r="AD153" s="166" t="str">
        <f aca="false">IF($AA153="","",$AA153+IF($AB153="",0,$AB153)+IF($AC153="",0,$AC153))</f>
        <v/>
      </c>
      <c r="AE153" s="169"/>
      <c r="AF153" s="172"/>
      <c r="AG153" s="166" t="str">
        <f aca="false">IF($AD153="","",IF(OR($AE153="FCFA",$AE153=""),$AD153,$AD153*IF($AF153="",1,$AF153)))</f>
        <v/>
      </c>
      <c r="AH153" s="169"/>
      <c r="AI153" s="170"/>
      <c r="AJ153" s="170"/>
      <c r="AK153" s="169"/>
      <c r="AL153" s="170"/>
      <c r="AM153" s="170"/>
      <c r="AN153" s="173"/>
      <c r="AO153" s="170"/>
      <c r="AP153" s="170"/>
      <c r="AQ153" s="173"/>
      <c r="AR153" s="169"/>
      <c r="AS153" s="169"/>
      <c r="AT153" s="173"/>
      <c r="AU153" s="171"/>
      <c r="AV153" s="170"/>
      <c r="AW153" s="169"/>
      <c r="AX153" s="173"/>
      <c r="AY153" s="171"/>
      <c r="AZ153" s="166" t="str">
        <f aca="false">IF($AG153="","",MAX($AG153-IF($AY153="",0,$AY153),0))</f>
        <v/>
      </c>
      <c r="BA153" s="169"/>
      <c r="BB153" s="170"/>
      <c r="BC153" s="173"/>
      <c r="BD153" s="169"/>
      <c r="BE153" s="170"/>
      <c r="BF153" s="164" t="str">
        <f aca="false">IF($V153="","",IF($BD153="Oui","Oui","Non"))</f>
        <v/>
      </c>
      <c r="BG153" s="169"/>
      <c r="BH153" s="173"/>
      <c r="BI153" s="170"/>
      <c r="BJ153" s="170"/>
      <c r="BK153" s="170"/>
      <c r="BL153" s="173"/>
      <c r="BM153" s="164" t="str">
        <f aca="false">IF($BL153="","",YEAR($BL153))</f>
        <v/>
      </c>
      <c r="BN153" s="174" t="str">
        <f aca="false">IF($BL153="","",INDEX(PARAMETRES!$C$53:$C$65,MONTH($BL153)))</f>
        <v/>
      </c>
      <c r="BO153" s="111" t="str">
        <f aca="false">IF($BL153="","",INDEX(PARAMETRES!$B$53:$B$65,MONTH($BL153)))</f>
        <v/>
      </c>
      <c r="BP153" s="166" t="n">
        <f aca="false">IFERROR(INDEX(BUDGET!$AL$28:$AL$67,MATCH($B153,BUDGET!$A$28:$A$67,0)),"")</f>
        <v>0</v>
      </c>
      <c r="BQ153" s="166" t="str">
        <f aca="false">IF(OR($BP153="",$AG153=""),"",$BP153-$AG153)</f>
        <v/>
      </c>
      <c r="BR153" s="168" t="str">
        <f aca="false">IFERROR($AG153/INDEX(BUDGET!$AK$28:$AK$67,MATCH($B153,BUDGET!$A$28:$A$67,0)),"")</f>
        <v/>
      </c>
      <c r="BS153" s="164" t="str">
        <f aca="false">IF($V153="","",IF(AND($BP153&lt;&gt;"",$AG153&lt;&gt;"",$AG153&gt;$BP153),"Depassement budgetaire",IF(AND($AK153&lt;&gt;"Brouillon",$AK153&lt;&gt;"Annulee",$AK153&lt;&gt;"Rejetee",OR($BD153="Non",$BD153="")),"Pieces manquantes",IF(AND($AK153&lt;&gt;"Brouillon",OR($AR153="",$AR153="En attente")),"Depense non validee",IF(AND($AS153="Oui",$AW153&lt;&gt;"Oui"),"Engagement non paye",IF(AND($AW153="Non",$AK153="Validee"),"Paiement en attente",IF(AND($AY153&lt;&gt;"",$AZ153&gt;0),"Paiement partiel",IF(AND($AW153="Oui",$BG153&lt;&gt;"Oui"),"Rapprochement manquant",IF(AND($BF153="Oui",$AW153="Oui",$BG153="Oui"),"Dossier complet et paye","Normal")))))))))</f>
        <v/>
      </c>
      <c r="BT153" s="170"/>
      <c r="BU153" s="164" t="str">
        <f aca="false">IF($E153="","",COUNTIFS($E$119:E153,$E153))</f>
        <v/>
      </c>
      <c r="BV153" s="164" t="str">
        <f aca="false">IF($D153="","",COUNTIFS($D$119:D153,$D153))</f>
        <v/>
      </c>
    </row>
    <row r="154" customFormat="false" ht="15" hidden="false" customHeight="true" outlineLevel="0" collapsed="false">
      <c r="A154" s="164" t="str">
        <f aca="false">IF($V154="","","DEP"&amp;TEXT(ROW()-118,"00000"))</f>
        <v/>
      </c>
      <c r="B154" s="169"/>
      <c r="C154" s="167" t="str">
        <f aca="false">IF($B154="","",IFERROR(INDEX(BUDGET!$T$28:$T$67,MATCH($B154,BUDGET!$A$28:$A$67,0)),""))</f>
        <v/>
      </c>
      <c r="D154" s="167" t="str">
        <f aca="false">IF($B154="","",IFERROR(INDEX(BUDGET!$S$28:$S$67,MATCH($B154,BUDGET!$A$28:$A$67,0)),""))</f>
        <v/>
      </c>
      <c r="E154" s="169"/>
      <c r="F154" s="167" t="str">
        <f aca="false">IF($E154="","",IFERROR(INDEX(PROJETS!$C$56:$C$95,MATCH($E154,PROJETS!$A$56:$A$95,0)),""))</f>
        <v/>
      </c>
      <c r="G154" s="167" t="str">
        <f aca="false">IF($E154="","",IFERROR(INDEX(PROJETS!$J$56:$J$95,MATCH($E154,PROJETS!$A$56:$A$95,0)),""))</f>
        <v/>
      </c>
      <c r="H154" s="167" t="str">
        <f aca="false">IF($E154="","",IFERROR(INDEX(PROJETS!$N$56:$N$95,MATCH($E154,PROJETS!$A$56:$A$95,0)),""))</f>
        <v/>
      </c>
      <c r="I154" s="169"/>
      <c r="J154" s="167" t="str">
        <f aca="false">IF($I154="","",IFERROR(INDEX(ACTIVITES!$G$56:$G$105,MATCH($I154,ACTIVITES!$A$56:$A$105,0)),""))</f>
        <v/>
      </c>
      <c r="K154" s="169"/>
      <c r="L154" s="167" t="str">
        <f aca="false">IF($K154="","",IFERROR(INDEX(DONATEURS!$B$56:$B$205,MATCH($K154,DONATEURS!$A$56:$A$205,0)),""))</f>
        <v/>
      </c>
      <c r="M154" s="170"/>
      <c r="N154" s="170"/>
      <c r="O154" s="169"/>
      <c r="P154" s="169"/>
      <c r="Q154" s="169"/>
      <c r="R154" s="170"/>
      <c r="S154" s="169"/>
      <c r="T154" s="169"/>
      <c r="U154" s="170"/>
      <c r="V154" s="170"/>
      <c r="W154" s="170"/>
      <c r="X154" s="171"/>
      <c r="Y154" s="169"/>
      <c r="Z154" s="171"/>
      <c r="AA154" s="166" t="str">
        <f aca="false">IF(OR($X154="",$Z154=""),"",$X154*$Z154)</f>
        <v/>
      </c>
      <c r="AB154" s="171"/>
      <c r="AC154" s="171"/>
      <c r="AD154" s="166" t="str">
        <f aca="false">IF($AA154="","",$AA154+IF($AB154="",0,$AB154)+IF($AC154="",0,$AC154))</f>
        <v/>
      </c>
      <c r="AE154" s="169"/>
      <c r="AF154" s="172"/>
      <c r="AG154" s="166" t="str">
        <f aca="false">IF($AD154="","",IF(OR($AE154="FCFA",$AE154=""),$AD154,$AD154*IF($AF154="",1,$AF154)))</f>
        <v/>
      </c>
      <c r="AH154" s="169"/>
      <c r="AI154" s="170"/>
      <c r="AJ154" s="170"/>
      <c r="AK154" s="169"/>
      <c r="AL154" s="170"/>
      <c r="AM154" s="170"/>
      <c r="AN154" s="173"/>
      <c r="AO154" s="170"/>
      <c r="AP154" s="170"/>
      <c r="AQ154" s="173"/>
      <c r="AR154" s="169"/>
      <c r="AS154" s="169"/>
      <c r="AT154" s="173"/>
      <c r="AU154" s="171"/>
      <c r="AV154" s="170"/>
      <c r="AW154" s="169"/>
      <c r="AX154" s="173"/>
      <c r="AY154" s="171"/>
      <c r="AZ154" s="166" t="str">
        <f aca="false">IF($AG154="","",MAX($AG154-IF($AY154="",0,$AY154),0))</f>
        <v/>
      </c>
      <c r="BA154" s="169"/>
      <c r="BB154" s="170"/>
      <c r="BC154" s="173"/>
      <c r="BD154" s="169"/>
      <c r="BE154" s="170"/>
      <c r="BF154" s="164" t="str">
        <f aca="false">IF($V154="","",IF($BD154="Oui","Oui","Non"))</f>
        <v/>
      </c>
      <c r="BG154" s="169"/>
      <c r="BH154" s="173"/>
      <c r="BI154" s="170"/>
      <c r="BJ154" s="170"/>
      <c r="BK154" s="170"/>
      <c r="BL154" s="173"/>
      <c r="BM154" s="164" t="str">
        <f aca="false">IF($BL154="","",YEAR($BL154))</f>
        <v/>
      </c>
      <c r="BN154" s="174" t="str">
        <f aca="false">IF($BL154="","",INDEX(PARAMETRES!$C$53:$C$65,MONTH($BL154)))</f>
        <v/>
      </c>
      <c r="BO154" s="111" t="str">
        <f aca="false">IF($BL154="","",INDEX(PARAMETRES!$B$53:$B$65,MONTH($BL154)))</f>
        <v/>
      </c>
      <c r="BP154" s="166" t="n">
        <f aca="false">IFERROR(INDEX(BUDGET!$AL$28:$AL$67,MATCH($B154,BUDGET!$A$28:$A$67,0)),"")</f>
        <v>0</v>
      </c>
      <c r="BQ154" s="166" t="str">
        <f aca="false">IF(OR($BP154="",$AG154=""),"",$BP154-$AG154)</f>
        <v/>
      </c>
      <c r="BR154" s="168" t="str">
        <f aca="false">IFERROR($AG154/INDEX(BUDGET!$AK$28:$AK$67,MATCH($B154,BUDGET!$A$28:$A$67,0)),"")</f>
        <v/>
      </c>
      <c r="BS154" s="164" t="str">
        <f aca="false">IF($V154="","",IF(AND($BP154&lt;&gt;"",$AG154&lt;&gt;"",$AG154&gt;$BP154),"Depassement budgetaire",IF(AND($AK154&lt;&gt;"Brouillon",$AK154&lt;&gt;"Annulee",$AK154&lt;&gt;"Rejetee",OR($BD154="Non",$BD154="")),"Pieces manquantes",IF(AND($AK154&lt;&gt;"Brouillon",OR($AR154="",$AR154="En attente")),"Depense non validee",IF(AND($AS154="Oui",$AW154&lt;&gt;"Oui"),"Engagement non paye",IF(AND($AW154="Non",$AK154="Validee"),"Paiement en attente",IF(AND($AY154&lt;&gt;"",$AZ154&gt;0),"Paiement partiel",IF(AND($AW154="Oui",$BG154&lt;&gt;"Oui"),"Rapprochement manquant",IF(AND($BF154="Oui",$AW154="Oui",$BG154="Oui"),"Dossier complet et paye","Normal")))))))))</f>
        <v/>
      </c>
      <c r="BT154" s="170"/>
      <c r="BU154" s="164" t="str">
        <f aca="false">IF($E154="","",COUNTIFS($E$119:E154,$E154))</f>
        <v/>
      </c>
      <c r="BV154" s="164" t="str">
        <f aca="false">IF($D154="","",COUNTIFS($D$119:D154,$D154))</f>
        <v/>
      </c>
    </row>
    <row r="155" customFormat="false" ht="15" hidden="false" customHeight="true" outlineLevel="0" collapsed="false">
      <c r="A155" s="164" t="str">
        <f aca="false">IF($V155="","","DEP"&amp;TEXT(ROW()-118,"00000"))</f>
        <v/>
      </c>
      <c r="B155" s="169"/>
      <c r="C155" s="167" t="str">
        <f aca="false">IF($B155="","",IFERROR(INDEX(BUDGET!$T$28:$T$67,MATCH($B155,BUDGET!$A$28:$A$67,0)),""))</f>
        <v/>
      </c>
      <c r="D155" s="167" t="str">
        <f aca="false">IF($B155="","",IFERROR(INDEX(BUDGET!$S$28:$S$67,MATCH($B155,BUDGET!$A$28:$A$67,0)),""))</f>
        <v/>
      </c>
      <c r="E155" s="169"/>
      <c r="F155" s="167" t="str">
        <f aca="false">IF($E155="","",IFERROR(INDEX(PROJETS!$C$56:$C$95,MATCH($E155,PROJETS!$A$56:$A$95,0)),""))</f>
        <v/>
      </c>
      <c r="G155" s="167" t="str">
        <f aca="false">IF($E155="","",IFERROR(INDEX(PROJETS!$J$56:$J$95,MATCH($E155,PROJETS!$A$56:$A$95,0)),""))</f>
        <v/>
      </c>
      <c r="H155" s="167" t="str">
        <f aca="false">IF($E155="","",IFERROR(INDEX(PROJETS!$N$56:$N$95,MATCH($E155,PROJETS!$A$56:$A$95,0)),""))</f>
        <v/>
      </c>
      <c r="I155" s="169"/>
      <c r="J155" s="167" t="str">
        <f aca="false">IF($I155="","",IFERROR(INDEX(ACTIVITES!$G$56:$G$105,MATCH($I155,ACTIVITES!$A$56:$A$105,0)),""))</f>
        <v/>
      </c>
      <c r="K155" s="169"/>
      <c r="L155" s="167" t="str">
        <f aca="false">IF($K155="","",IFERROR(INDEX(DONATEURS!$B$56:$B$205,MATCH($K155,DONATEURS!$A$56:$A$205,0)),""))</f>
        <v/>
      </c>
      <c r="M155" s="170"/>
      <c r="N155" s="170"/>
      <c r="O155" s="169"/>
      <c r="P155" s="169"/>
      <c r="Q155" s="169"/>
      <c r="R155" s="170"/>
      <c r="S155" s="169"/>
      <c r="T155" s="169"/>
      <c r="U155" s="170"/>
      <c r="V155" s="170"/>
      <c r="W155" s="170"/>
      <c r="X155" s="171"/>
      <c r="Y155" s="169"/>
      <c r="Z155" s="171"/>
      <c r="AA155" s="166" t="str">
        <f aca="false">IF(OR($X155="",$Z155=""),"",$X155*$Z155)</f>
        <v/>
      </c>
      <c r="AB155" s="171"/>
      <c r="AC155" s="171"/>
      <c r="AD155" s="166" t="str">
        <f aca="false">IF($AA155="","",$AA155+IF($AB155="",0,$AB155)+IF($AC155="",0,$AC155))</f>
        <v/>
      </c>
      <c r="AE155" s="169"/>
      <c r="AF155" s="172"/>
      <c r="AG155" s="166" t="str">
        <f aca="false">IF($AD155="","",IF(OR($AE155="FCFA",$AE155=""),$AD155,$AD155*IF($AF155="",1,$AF155)))</f>
        <v/>
      </c>
      <c r="AH155" s="169"/>
      <c r="AI155" s="170"/>
      <c r="AJ155" s="170"/>
      <c r="AK155" s="169"/>
      <c r="AL155" s="170"/>
      <c r="AM155" s="170"/>
      <c r="AN155" s="173"/>
      <c r="AO155" s="170"/>
      <c r="AP155" s="170"/>
      <c r="AQ155" s="173"/>
      <c r="AR155" s="169"/>
      <c r="AS155" s="169"/>
      <c r="AT155" s="173"/>
      <c r="AU155" s="171"/>
      <c r="AV155" s="170"/>
      <c r="AW155" s="169"/>
      <c r="AX155" s="173"/>
      <c r="AY155" s="171"/>
      <c r="AZ155" s="166" t="str">
        <f aca="false">IF($AG155="","",MAX($AG155-IF($AY155="",0,$AY155),0))</f>
        <v/>
      </c>
      <c r="BA155" s="169"/>
      <c r="BB155" s="170"/>
      <c r="BC155" s="173"/>
      <c r="BD155" s="169"/>
      <c r="BE155" s="170"/>
      <c r="BF155" s="164" t="str">
        <f aca="false">IF($V155="","",IF($BD155="Oui","Oui","Non"))</f>
        <v/>
      </c>
      <c r="BG155" s="169"/>
      <c r="BH155" s="173"/>
      <c r="BI155" s="170"/>
      <c r="BJ155" s="170"/>
      <c r="BK155" s="170"/>
      <c r="BL155" s="173"/>
      <c r="BM155" s="164" t="str">
        <f aca="false">IF($BL155="","",YEAR($BL155))</f>
        <v/>
      </c>
      <c r="BN155" s="174" t="str">
        <f aca="false">IF($BL155="","",INDEX(PARAMETRES!$C$53:$C$65,MONTH($BL155)))</f>
        <v/>
      </c>
      <c r="BO155" s="111" t="str">
        <f aca="false">IF($BL155="","",INDEX(PARAMETRES!$B$53:$B$65,MONTH($BL155)))</f>
        <v/>
      </c>
      <c r="BP155" s="166" t="n">
        <f aca="false">IFERROR(INDEX(BUDGET!$AL$28:$AL$67,MATCH($B155,BUDGET!$A$28:$A$67,0)),"")</f>
        <v>0</v>
      </c>
      <c r="BQ155" s="166" t="str">
        <f aca="false">IF(OR($BP155="",$AG155=""),"",$BP155-$AG155)</f>
        <v/>
      </c>
      <c r="BR155" s="168" t="str">
        <f aca="false">IFERROR($AG155/INDEX(BUDGET!$AK$28:$AK$67,MATCH($B155,BUDGET!$A$28:$A$67,0)),"")</f>
        <v/>
      </c>
      <c r="BS155" s="164" t="str">
        <f aca="false">IF($V155="","",IF(AND($BP155&lt;&gt;"",$AG155&lt;&gt;"",$AG155&gt;$BP155),"Depassement budgetaire",IF(AND($AK155&lt;&gt;"Brouillon",$AK155&lt;&gt;"Annulee",$AK155&lt;&gt;"Rejetee",OR($BD155="Non",$BD155="")),"Pieces manquantes",IF(AND($AK155&lt;&gt;"Brouillon",OR($AR155="",$AR155="En attente")),"Depense non validee",IF(AND($AS155="Oui",$AW155&lt;&gt;"Oui"),"Engagement non paye",IF(AND($AW155="Non",$AK155="Validee"),"Paiement en attente",IF(AND($AY155&lt;&gt;"",$AZ155&gt;0),"Paiement partiel",IF(AND($AW155="Oui",$BG155&lt;&gt;"Oui"),"Rapprochement manquant",IF(AND($BF155="Oui",$AW155="Oui",$BG155="Oui"),"Dossier complet et paye","Normal")))))))))</f>
        <v/>
      </c>
      <c r="BT155" s="170"/>
      <c r="BU155" s="164" t="str">
        <f aca="false">IF($E155="","",COUNTIFS($E$119:E155,$E155))</f>
        <v/>
      </c>
      <c r="BV155" s="164" t="str">
        <f aca="false">IF($D155="","",COUNTIFS($D$119:D155,$D155))</f>
        <v/>
      </c>
    </row>
    <row r="156" customFormat="false" ht="15" hidden="false" customHeight="true" outlineLevel="0" collapsed="false">
      <c r="A156" s="164" t="str">
        <f aca="false">IF($V156="","","DEP"&amp;TEXT(ROW()-118,"00000"))</f>
        <v/>
      </c>
      <c r="B156" s="169"/>
      <c r="C156" s="167" t="str">
        <f aca="false">IF($B156="","",IFERROR(INDEX(BUDGET!$T$28:$T$67,MATCH($B156,BUDGET!$A$28:$A$67,0)),""))</f>
        <v/>
      </c>
      <c r="D156" s="167" t="str">
        <f aca="false">IF($B156="","",IFERROR(INDEX(BUDGET!$S$28:$S$67,MATCH($B156,BUDGET!$A$28:$A$67,0)),""))</f>
        <v/>
      </c>
      <c r="E156" s="169"/>
      <c r="F156" s="167" t="str">
        <f aca="false">IF($E156="","",IFERROR(INDEX(PROJETS!$C$56:$C$95,MATCH($E156,PROJETS!$A$56:$A$95,0)),""))</f>
        <v/>
      </c>
      <c r="G156" s="167" t="str">
        <f aca="false">IF($E156="","",IFERROR(INDEX(PROJETS!$J$56:$J$95,MATCH($E156,PROJETS!$A$56:$A$95,0)),""))</f>
        <v/>
      </c>
      <c r="H156" s="167" t="str">
        <f aca="false">IF($E156="","",IFERROR(INDEX(PROJETS!$N$56:$N$95,MATCH($E156,PROJETS!$A$56:$A$95,0)),""))</f>
        <v/>
      </c>
      <c r="I156" s="169"/>
      <c r="J156" s="167" t="str">
        <f aca="false">IF($I156="","",IFERROR(INDEX(ACTIVITES!$G$56:$G$105,MATCH($I156,ACTIVITES!$A$56:$A$105,0)),""))</f>
        <v/>
      </c>
      <c r="K156" s="169"/>
      <c r="L156" s="167" t="str">
        <f aca="false">IF($K156="","",IFERROR(INDEX(DONATEURS!$B$56:$B$205,MATCH($K156,DONATEURS!$A$56:$A$205,0)),""))</f>
        <v/>
      </c>
      <c r="M156" s="170"/>
      <c r="N156" s="170"/>
      <c r="O156" s="169"/>
      <c r="P156" s="169"/>
      <c r="Q156" s="169"/>
      <c r="R156" s="170"/>
      <c r="S156" s="169"/>
      <c r="T156" s="169"/>
      <c r="U156" s="170"/>
      <c r="V156" s="170"/>
      <c r="W156" s="170"/>
      <c r="X156" s="171"/>
      <c r="Y156" s="169"/>
      <c r="Z156" s="171"/>
      <c r="AA156" s="166" t="str">
        <f aca="false">IF(OR($X156="",$Z156=""),"",$X156*$Z156)</f>
        <v/>
      </c>
      <c r="AB156" s="171"/>
      <c r="AC156" s="171"/>
      <c r="AD156" s="166" t="str">
        <f aca="false">IF($AA156="","",$AA156+IF($AB156="",0,$AB156)+IF($AC156="",0,$AC156))</f>
        <v/>
      </c>
      <c r="AE156" s="169"/>
      <c r="AF156" s="172"/>
      <c r="AG156" s="166" t="str">
        <f aca="false">IF($AD156="","",IF(OR($AE156="FCFA",$AE156=""),$AD156,$AD156*IF($AF156="",1,$AF156)))</f>
        <v/>
      </c>
      <c r="AH156" s="169"/>
      <c r="AI156" s="170"/>
      <c r="AJ156" s="170"/>
      <c r="AK156" s="169"/>
      <c r="AL156" s="170"/>
      <c r="AM156" s="170"/>
      <c r="AN156" s="173"/>
      <c r="AO156" s="170"/>
      <c r="AP156" s="170"/>
      <c r="AQ156" s="173"/>
      <c r="AR156" s="169"/>
      <c r="AS156" s="169"/>
      <c r="AT156" s="173"/>
      <c r="AU156" s="171"/>
      <c r="AV156" s="170"/>
      <c r="AW156" s="169"/>
      <c r="AX156" s="173"/>
      <c r="AY156" s="171"/>
      <c r="AZ156" s="166" t="str">
        <f aca="false">IF($AG156="","",MAX($AG156-IF($AY156="",0,$AY156),0))</f>
        <v/>
      </c>
      <c r="BA156" s="169"/>
      <c r="BB156" s="170"/>
      <c r="BC156" s="173"/>
      <c r="BD156" s="169"/>
      <c r="BE156" s="170"/>
      <c r="BF156" s="164" t="str">
        <f aca="false">IF($V156="","",IF($BD156="Oui","Oui","Non"))</f>
        <v/>
      </c>
      <c r="BG156" s="169"/>
      <c r="BH156" s="173"/>
      <c r="BI156" s="170"/>
      <c r="BJ156" s="170"/>
      <c r="BK156" s="170"/>
      <c r="BL156" s="173"/>
      <c r="BM156" s="164" t="str">
        <f aca="false">IF($BL156="","",YEAR($BL156))</f>
        <v/>
      </c>
      <c r="BN156" s="174" t="str">
        <f aca="false">IF($BL156="","",INDEX(PARAMETRES!$C$53:$C$65,MONTH($BL156)))</f>
        <v/>
      </c>
      <c r="BO156" s="111" t="str">
        <f aca="false">IF($BL156="","",INDEX(PARAMETRES!$B$53:$B$65,MONTH($BL156)))</f>
        <v/>
      </c>
      <c r="BP156" s="166" t="n">
        <f aca="false">IFERROR(INDEX(BUDGET!$AL$28:$AL$67,MATCH($B156,BUDGET!$A$28:$A$67,0)),"")</f>
        <v>0</v>
      </c>
      <c r="BQ156" s="166" t="str">
        <f aca="false">IF(OR($BP156="",$AG156=""),"",$BP156-$AG156)</f>
        <v/>
      </c>
      <c r="BR156" s="168" t="str">
        <f aca="false">IFERROR($AG156/INDEX(BUDGET!$AK$28:$AK$67,MATCH($B156,BUDGET!$A$28:$A$67,0)),"")</f>
        <v/>
      </c>
      <c r="BS156" s="164" t="str">
        <f aca="false">IF($V156="","",IF(AND($BP156&lt;&gt;"",$AG156&lt;&gt;"",$AG156&gt;$BP156),"Depassement budgetaire",IF(AND($AK156&lt;&gt;"Brouillon",$AK156&lt;&gt;"Annulee",$AK156&lt;&gt;"Rejetee",OR($BD156="Non",$BD156="")),"Pieces manquantes",IF(AND($AK156&lt;&gt;"Brouillon",OR($AR156="",$AR156="En attente")),"Depense non validee",IF(AND($AS156="Oui",$AW156&lt;&gt;"Oui"),"Engagement non paye",IF(AND($AW156="Non",$AK156="Validee"),"Paiement en attente",IF(AND($AY156&lt;&gt;"",$AZ156&gt;0),"Paiement partiel",IF(AND($AW156="Oui",$BG156&lt;&gt;"Oui"),"Rapprochement manquant",IF(AND($BF156="Oui",$AW156="Oui",$BG156="Oui"),"Dossier complet et paye","Normal")))))))))</f>
        <v/>
      </c>
      <c r="BT156" s="170"/>
      <c r="BU156" s="164" t="str">
        <f aca="false">IF($E156="","",COUNTIFS($E$119:E156,$E156))</f>
        <v/>
      </c>
      <c r="BV156" s="164" t="str">
        <f aca="false">IF($D156="","",COUNTIFS($D$119:D156,$D156))</f>
        <v/>
      </c>
    </row>
    <row r="157" customFormat="false" ht="15" hidden="false" customHeight="true" outlineLevel="0" collapsed="false">
      <c r="A157" s="164" t="str">
        <f aca="false">IF($V157="","","DEP"&amp;TEXT(ROW()-118,"00000"))</f>
        <v/>
      </c>
      <c r="B157" s="169"/>
      <c r="C157" s="167" t="str">
        <f aca="false">IF($B157="","",IFERROR(INDEX(BUDGET!$T$28:$T$67,MATCH($B157,BUDGET!$A$28:$A$67,0)),""))</f>
        <v/>
      </c>
      <c r="D157" s="167" t="str">
        <f aca="false">IF($B157="","",IFERROR(INDEX(BUDGET!$S$28:$S$67,MATCH($B157,BUDGET!$A$28:$A$67,0)),""))</f>
        <v/>
      </c>
      <c r="E157" s="169"/>
      <c r="F157" s="167" t="str">
        <f aca="false">IF($E157="","",IFERROR(INDEX(PROJETS!$C$56:$C$95,MATCH($E157,PROJETS!$A$56:$A$95,0)),""))</f>
        <v/>
      </c>
      <c r="G157" s="167" t="str">
        <f aca="false">IF($E157="","",IFERROR(INDEX(PROJETS!$J$56:$J$95,MATCH($E157,PROJETS!$A$56:$A$95,0)),""))</f>
        <v/>
      </c>
      <c r="H157" s="167" t="str">
        <f aca="false">IF($E157="","",IFERROR(INDEX(PROJETS!$N$56:$N$95,MATCH($E157,PROJETS!$A$56:$A$95,0)),""))</f>
        <v/>
      </c>
      <c r="I157" s="169"/>
      <c r="J157" s="167" t="str">
        <f aca="false">IF($I157="","",IFERROR(INDEX(ACTIVITES!$G$56:$G$105,MATCH($I157,ACTIVITES!$A$56:$A$105,0)),""))</f>
        <v/>
      </c>
      <c r="K157" s="169"/>
      <c r="L157" s="167" t="str">
        <f aca="false">IF($K157="","",IFERROR(INDEX(DONATEURS!$B$56:$B$205,MATCH($K157,DONATEURS!$A$56:$A$205,0)),""))</f>
        <v/>
      </c>
      <c r="M157" s="170"/>
      <c r="N157" s="170"/>
      <c r="O157" s="169"/>
      <c r="P157" s="169"/>
      <c r="Q157" s="169"/>
      <c r="R157" s="170"/>
      <c r="S157" s="169"/>
      <c r="T157" s="169"/>
      <c r="U157" s="170"/>
      <c r="V157" s="170"/>
      <c r="W157" s="170"/>
      <c r="X157" s="171"/>
      <c r="Y157" s="169"/>
      <c r="Z157" s="171"/>
      <c r="AA157" s="166" t="str">
        <f aca="false">IF(OR($X157="",$Z157=""),"",$X157*$Z157)</f>
        <v/>
      </c>
      <c r="AB157" s="171"/>
      <c r="AC157" s="171"/>
      <c r="AD157" s="166" t="str">
        <f aca="false">IF($AA157="","",$AA157+IF($AB157="",0,$AB157)+IF($AC157="",0,$AC157))</f>
        <v/>
      </c>
      <c r="AE157" s="169"/>
      <c r="AF157" s="172"/>
      <c r="AG157" s="166" t="str">
        <f aca="false">IF($AD157="","",IF(OR($AE157="FCFA",$AE157=""),$AD157,$AD157*IF($AF157="",1,$AF157)))</f>
        <v/>
      </c>
      <c r="AH157" s="169"/>
      <c r="AI157" s="170"/>
      <c r="AJ157" s="170"/>
      <c r="AK157" s="169"/>
      <c r="AL157" s="170"/>
      <c r="AM157" s="170"/>
      <c r="AN157" s="173"/>
      <c r="AO157" s="170"/>
      <c r="AP157" s="170"/>
      <c r="AQ157" s="173"/>
      <c r="AR157" s="169"/>
      <c r="AS157" s="169"/>
      <c r="AT157" s="173"/>
      <c r="AU157" s="171"/>
      <c r="AV157" s="170"/>
      <c r="AW157" s="169"/>
      <c r="AX157" s="173"/>
      <c r="AY157" s="171"/>
      <c r="AZ157" s="166" t="str">
        <f aca="false">IF($AG157="","",MAX($AG157-IF($AY157="",0,$AY157),0))</f>
        <v/>
      </c>
      <c r="BA157" s="169"/>
      <c r="BB157" s="170"/>
      <c r="BC157" s="173"/>
      <c r="BD157" s="169"/>
      <c r="BE157" s="170"/>
      <c r="BF157" s="164" t="str">
        <f aca="false">IF($V157="","",IF($BD157="Oui","Oui","Non"))</f>
        <v/>
      </c>
      <c r="BG157" s="169"/>
      <c r="BH157" s="173"/>
      <c r="BI157" s="170"/>
      <c r="BJ157" s="170"/>
      <c r="BK157" s="170"/>
      <c r="BL157" s="173"/>
      <c r="BM157" s="164" t="str">
        <f aca="false">IF($BL157="","",YEAR($BL157))</f>
        <v/>
      </c>
      <c r="BN157" s="174" t="str">
        <f aca="false">IF($BL157="","",INDEX(PARAMETRES!$C$53:$C$65,MONTH($BL157)))</f>
        <v/>
      </c>
      <c r="BO157" s="111" t="str">
        <f aca="false">IF($BL157="","",INDEX(PARAMETRES!$B$53:$B$65,MONTH($BL157)))</f>
        <v/>
      </c>
      <c r="BP157" s="166" t="n">
        <f aca="false">IFERROR(INDEX(BUDGET!$AL$28:$AL$67,MATCH($B157,BUDGET!$A$28:$A$67,0)),"")</f>
        <v>0</v>
      </c>
      <c r="BQ157" s="166" t="str">
        <f aca="false">IF(OR($BP157="",$AG157=""),"",$BP157-$AG157)</f>
        <v/>
      </c>
      <c r="BR157" s="168" t="str">
        <f aca="false">IFERROR($AG157/INDEX(BUDGET!$AK$28:$AK$67,MATCH($B157,BUDGET!$A$28:$A$67,0)),"")</f>
        <v/>
      </c>
      <c r="BS157" s="164" t="str">
        <f aca="false">IF($V157="","",IF(AND($BP157&lt;&gt;"",$AG157&lt;&gt;"",$AG157&gt;$BP157),"Depassement budgetaire",IF(AND($AK157&lt;&gt;"Brouillon",$AK157&lt;&gt;"Annulee",$AK157&lt;&gt;"Rejetee",OR($BD157="Non",$BD157="")),"Pieces manquantes",IF(AND($AK157&lt;&gt;"Brouillon",OR($AR157="",$AR157="En attente")),"Depense non validee",IF(AND($AS157="Oui",$AW157&lt;&gt;"Oui"),"Engagement non paye",IF(AND($AW157="Non",$AK157="Validee"),"Paiement en attente",IF(AND($AY157&lt;&gt;"",$AZ157&gt;0),"Paiement partiel",IF(AND($AW157="Oui",$BG157&lt;&gt;"Oui"),"Rapprochement manquant",IF(AND($BF157="Oui",$AW157="Oui",$BG157="Oui"),"Dossier complet et paye","Normal")))))))))</f>
        <v/>
      </c>
      <c r="BT157" s="170"/>
      <c r="BU157" s="164" t="str">
        <f aca="false">IF($E157="","",COUNTIFS($E$119:E157,$E157))</f>
        <v/>
      </c>
      <c r="BV157" s="164" t="str">
        <f aca="false">IF($D157="","",COUNTIFS($D$119:D157,$D157))</f>
        <v/>
      </c>
    </row>
    <row r="158" customFormat="false" ht="15" hidden="false" customHeight="true" outlineLevel="0" collapsed="false">
      <c r="A158" s="164" t="str">
        <f aca="false">IF($V158="","","DEP"&amp;TEXT(ROW()-118,"00000"))</f>
        <v/>
      </c>
      <c r="B158" s="169"/>
      <c r="C158" s="167" t="str">
        <f aca="false">IF($B158="","",IFERROR(INDEX(BUDGET!$T$28:$T$67,MATCH($B158,BUDGET!$A$28:$A$67,0)),""))</f>
        <v/>
      </c>
      <c r="D158" s="167" t="str">
        <f aca="false">IF($B158="","",IFERROR(INDEX(BUDGET!$S$28:$S$67,MATCH($B158,BUDGET!$A$28:$A$67,0)),""))</f>
        <v/>
      </c>
      <c r="E158" s="169"/>
      <c r="F158" s="167" t="str">
        <f aca="false">IF($E158="","",IFERROR(INDEX(PROJETS!$C$56:$C$95,MATCH($E158,PROJETS!$A$56:$A$95,0)),""))</f>
        <v/>
      </c>
      <c r="G158" s="167" t="str">
        <f aca="false">IF($E158="","",IFERROR(INDEX(PROJETS!$J$56:$J$95,MATCH($E158,PROJETS!$A$56:$A$95,0)),""))</f>
        <v/>
      </c>
      <c r="H158" s="167" t="str">
        <f aca="false">IF($E158="","",IFERROR(INDEX(PROJETS!$N$56:$N$95,MATCH($E158,PROJETS!$A$56:$A$95,0)),""))</f>
        <v/>
      </c>
      <c r="I158" s="169"/>
      <c r="J158" s="167" t="str">
        <f aca="false">IF($I158="","",IFERROR(INDEX(ACTIVITES!$G$56:$G$105,MATCH($I158,ACTIVITES!$A$56:$A$105,0)),""))</f>
        <v/>
      </c>
      <c r="K158" s="169"/>
      <c r="L158" s="167" t="str">
        <f aca="false">IF($K158="","",IFERROR(INDEX(DONATEURS!$B$56:$B$205,MATCH($K158,DONATEURS!$A$56:$A$205,0)),""))</f>
        <v/>
      </c>
      <c r="M158" s="170"/>
      <c r="N158" s="170"/>
      <c r="O158" s="169"/>
      <c r="P158" s="169"/>
      <c r="Q158" s="169"/>
      <c r="R158" s="170"/>
      <c r="S158" s="169"/>
      <c r="T158" s="169"/>
      <c r="U158" s="170"/>
      <c r="V158" s="170"/>
      <c r="W158" s="170"/>
      <c r="X158" s="171"/>
      <c r="Y158" s="169"/>
      <c r="Z158" s="171"/>
      <c r="AA158" s="166" t="str">
        <f aca="false">IF(OR($X158="",$Z158=""),"",$X158*$Z158)</f>
        <v/>
      </c>
      <c r="AB158" s="171"/>
      <c r="AC158" s="171"/>
      <c r="AD158" s="166" t="str">
        <f aca="false">IF($AA158="","",$AA158+IF($AB158="",0,$AB158)+IF($AC158="",0,$AC158))</f>
        <v/>
      </c>
      <c r="AE158" s="169"/>
      <c r="AF158" s="172"/>
      <c r="AG158" s="166" t="str">
        <f aca="false">IF($AD158="","",IF(OR($AE158="FCFA",$AE158=""),$AD158,$AD158*IF($AF158="",1,$AF158)))</f>
        <v/>
      </c>
      <c r="AH158" s="169"/>
      <c r="AI158" s="170"/>
      <c r="AJ158" s="170"/>
      <c r="AK158" s="169"/>
      <c r="AL158" s="170"/>
      <c r="AM158" s="170"/>
      <c r="AN158" s="173"/>
      <c r="AO158" s="170"/>
      <c r="AP158" s="170"/>
      <c r="AQ158" s="173"/>
      <c r="AR158" s="169"/>
      <c r="AS158" s="169"/>
      <c r="AT158" s="173"/>
      <c r="AU158" s="171"/>
      <c r="AV158" s="170"/>
      <c r="AW158" s="169"/>
      <c r="AX158" s="173"/>
      <c r="AY158" s="171"/>
      <c r="AZ158" s="166" t="str">
        <f aca="false">IF($AG158="","",MAX($AG158-IF($AY158="",0,$AY158),0))</f>
        <v/>
      </c>
      <c r="BA158" s="169"/>
      <c r="BB158" s="170"/>
      <c r="BC158" s="173"/>
      <c r="BD158" s="169"/>
      <c r="BE158" s="170"/>
      <c r="BF158" s="164" t="str">
        <f aca="false">IF($V158="","",IF($BD158="Oui","Oui","Non"))</f>
        <v/>
      </c>
      <c r="BG158" s="169"/>
      <c r="BH158" s="173"/>
      <c r="BI158" s="170"/>
      <c r="BJ158" s="170"/>
      <c r="BK158" s="170"/>
      <c r="BL158" s="173"/>
      <c r="BM158" s="164" t="str">
        <f aca="false">IF($BL158="","",YEAR($BL158))</f>
        <v/>
      </c>
      <c r="BN158" s="174" t="str">
        <f aca="false">IF($BL158="","",INDEX(PARAMETRES!$C$53:$C$65,MONTH($BL158)))</f>
        <v/>
      </c>
      <c r="BO158" s="111" t="str">
        <f aca="false">IF($BL158="","",INDEX(PARAMETRES!$B$53:$B$65,MONTH($BL158)))</f>
        <v/>
      </c>
      <c r="BP158" s="166" t="n">
        <f aca="false">IFERROR(INDEX(BUDGET!$AL$28:$AL$67,MATCH($B158,BUDGET!$A$28:$A$67,0)),"")</f>
        <v>0</v>
      </c>
      <c r="BQ158" s="166" t="str">
        <f aca="false">IF(OR($BP158="",$AG158=""),"",$BP158-$AG158)</f>
        <v/>
      </c>
      <c r="BR158" s="168" t="str">
        <f aca="false">IFERROR($AG158/INDEX(BUDGET!$AK$28:$AK$67,MATCH($B158,BUDGET!$A$28:$A$67,0)),"")</f>
        <v/>
      </c>
      <c r="BS158" s="164" t="str">
        <f aca="false">IF($V158="","",IF(AND($BP158&lt;&gt;"",$AG158&lt;&gt;"",$AG158&gt;$BP158),"Depassement budgetaire",IF(AND($AK158&lt;&gt;"Brouillon",$AK158&lt;&gt;"Annulee",$AK158&lt;&gt;"Rejetee",OR($BD158="Non",$BD158="")),"Pieces manquantes",IF(AND($AK158&lt;&gt;"Brouillon",OR($AR158="",$AR158="En attente")),"Depense non validee",IF(AND($AS158="Oui",$AW158&lt;&gt;"Oui"),"Engagement non paye",IF(AND($AW158="Non",$AK158="Validee"),"Paiement en attente",IF(AND($AY158&lt;&gt;"",$AZ158&gt;0),"Paiement partiel",IF(AND($AW158="Oui",$BG158&lt;&gt;"Oui"),"Rapprochement manquant",IF(AND($BF158="Oui",$AW158="Oui",$BG158="Oui"),"Dossier complet et paye","Normal")))))))))</f>
        <v/>
      </c>
      <c r="BT158" s="170"/>
      <c r="BU158" s="164" t="str">
        <f aca="false">IF($E158="","",COUNTIFS($E$119:E158,$E158))</f>
        <v/>
      </c>
      <c r="BV158" s="164" t="str">
        <f aca="false">IF($D158="","",COUNTIFS($D$119:D158,$D158))</f>
        <v/>
      </c>
    </row>
    <row r="159" customFormat="false" ht="15" hidden="false" customHeight="true" outlineLevel="0" collapsed="false">
      <c r="A159" s="164" t="str">
        <f aca="false">IF($V159="","","DEP"&amp;TEXT(ROW()-118,"00000"))</f>
        <v/>
      </c>
      <c r="B159" s="169"/>
      <c r="C159" s="167" t="str">
        <f aca="false">IF($B159="","",IFERROR(INDEX(BUDGET!$T$28:$T$67,MATCH($B159,BUDGET!$A$28:$A$67,0)),""))</f>
        <v/>
      </c>
      <c r="D159" s="167" t="str">
        <f aca="false">IF($B159="","",IFERROR(INDEX(BUDGET!$S$28:$S$67,MATCH($B159,BUDGET!$A$28:$A$67,0)),""))</f>
        <v/>
      </c>
      <c r="E159" s="169"/>
      <c r="F159" s="167" t="str">
        <f aca="false">IF($E159="","",IFERROR(INDEX(PROJETS!$C$56:$C$95,MATCH($E159,PROJETS!$A$56:$A$95,0)),""))</f>
        <v/>
      </c>
      <c r="G159" s="167" t="str">
        <f aca="false">IF($E159="","",IFERROR(INDEX(PROJETS!$J$56:$J$95,MATCH($E159,PROJETS!$A$56:$A$95,0)),""))</f>
        <v/>
      </c>
      <c r="H159" s="167" t="str">
        <f aca="false">IF($E159="","",IFERROR(INDEX(PROJETS!$N$56:$N$95,MATCH($E159,PROJETS!$A$56:$A$95,0)),""))</f>
        <v/>
      </c>
      <c r="I159" s="169"/>
      <c r="J159" s="167" t="str">
        <f aca="false">IF($I159="","",IFERROR(INDEX(ACTIVITES!$G$56:$G$105,MATCH($I159,ACTIVITES!$A$56:$A$105,0)),""))</f>
        <v/>
      </c>
      <c r="K159" s="169"/>
      <c r="L159" s="167" t="str">
        <f aca="false">IF($K159="","",IFERROR(INDEX(DONATEURS!$B$56:$B$205,MATCH($K159,DONATEURS!$A$56:$A$205,0)),""))</f>
        <v/>
      </c>
      <c r="M159" s="170"/>
      <c r="N159" s="170"/>
      <c r="O159" s="169"/>
      <c r="P159" s="169"/>
      <c r="Q159" s="169"/>
      <c r="R159" s="170"/>
      <c r="S159" s="169"/>
      <c r="T159" s="169"/>
      <c r="U159" s="170"/>
      <c r="V159" s="170"/>
      <c r="W159" s="170"/>
      <c r="X159" s="171"/>
      <c r="Y159" s="169"/>
      <c r="Z159" s="171"/>
      <c r="AA159" s="166" t="str">
        <f aca="false">IF(OR($X159="",$Z159=""),"",$X159*$Z159)</f>
        <v/>
      </c>
      <c r="AB159" s="171"/>
      <c r="AC159" s="171"/>
      <c r="AD159" s="166" t="str">
        <f aca="false">IF($AA159="","",$AA159+IF($AB159="",0,$AB159)+IF($AC159="",0,$AC159))</f>
        <v/>
      </c>
      <c r="AE159" s="169"/>
      <c r="AF159" s="172"/>
      <c r="AG159" s="166" t="str">
        <f aca="false">IF($AD159="","",IF(OR($AE159="FCFA",$AE159=""),$AD159,$AD159*IF($AF159="",1,$AF159)))</f>
        <v/>
      </c>
      <c r="AH159" s="169"/>
      <c r="AI159" s="170"/>
      <c r="AJ159" s="170"/>
      <c r="AK159" s="169"/>
      <c r="AL159" s="170"/>
      <c r="AM159" s="170"/>
      <c r="AN159" s="173"/>
      <c r="AO159" s="170"/>
      <c r="AP159" s="170"/>
      <c r="AQ159" s="173"/>
      <c r="AR159" s="169"/>
      <c r="AS159" s="169"/>
      <c r="AT159" s="173"/>
      <c r="AU159" s="171"/>
      <c r="AV159" s="170"/>
      <c r="AW159" s="169"/>
      <c r="AX159" s="173"/>
      <c r="AY159" s="171"/>
      <c r="AZ159" s="166" t="str">
        <f aca="false">IF($AG159="","",MAX($AG159-IF($AY159="",0,$AY159),0))</f>
        <v/>
      </c>
      <c r="BA159" s="169"/>
      <c r="BB159" s="170"/>
      <c r="BC159" s="173"/>
      <c r="BD159" s="169"/>
      <c r="BE159" s="170"/>
      <c r="BF159" s="164" t="str">
        <f aca="false">IF($V159="","",IF($BD159="Oui","Oui","Non"))</f>
        <v/>
      </c>
      <c r="BG159" s="169"/>
      <c r="BH159" s="173"/>
      <c r="BI159" s="170"/>
      <c r="BJ159" s="170"/>
      <c r="BK159" s="170"/>
      <c r="BL159" s="173"/>
      <c r="BM159" s="164" t="str">
        <f aca="false">IF($BL159="","",YEAR($BL159))</f>
        <v/>
      </c>
      <c r="BN159" s="174" t="str">
        <f aca="false">IF($BL159="","",INDEX(PARAMETRES!$C$53:$C$65,MONTH($BL159)))</f>
        <v/>
      </c>
      <c r="BO159" s="111" t="str">
        <f aca="false">IF($BL159="","",INDEX(PARAMETRES!$B$53:$B$65,MONTH($BL159)))</f>
        <v/>
      </c>
      <c r="BP159" s="166" t="n">
        <f aca="false">IFERROR(INDEX(BUDGET!$AL$28:$AL$67,MATCH($B159,BUDGET!$A$28:$A$67,0)),"")</f>
        <v>0</v>
      </c>
      <c r="BQ159" s="166" t="str">
        <f aca="false">IF(OR($BP159="",$AG159=""),"",$BP159-$AG159)</f>
        <v/>
      </c>
      <c r="BR159" s="168" t="str">
        <f aca="false">IFERROR($AG159/INDEX(BUDGET!$AK$28:$AK$67,MATCH($B159,BUDGET!$A$28:$A$67,0)),"")</f>
        <v/>
      </c>
      <c r="BS159" s="164" t="str">
        <f aca="false">IF($V159="","",IF(AND($BP159&lt;&gt;"",$AG159&lt;&gt;"",$AG159&gt;$BP159),"Depassement budgetaire",IF(AND($AK159&lt;&gt;"Brouillon",$AK159&lt;&gt;"Annulee",$AK159&lt;&gt;"Rejetee",OR($BD159="Non",$BD159="")),"Pieces manquantes",IF(AND($AK159&lt;&gt;"Brouillon",OR($AR159="",$AR159="En attente")),"Depense non validee",IF(AND($AS159="Oui",$AW159&lt;&gt;"Oui"),"Engagement non paye",IF(AND($AW159="Non",$AK159="Validee"),"Paiement en attente",IF(AND($AY159&lt;&gt;"",$AZ159&gt;0),"Paiement partiel",IF(AND($AW159="Oui",$BG159&lt;&gt;"Oui"),"Rapprochement manquant",IF(AND($BF159="Oui",$AW159="Oui",$BG159="Oui"),"Dossier complet et paye","Normal")))))))))</f>
        <v/>
      </c>
      <c r="BT159" s="170"/>
      <c r="BU159" s="164" t="str">
        <f aca="false">IF($E159="","",COUNTIFS($E$119:E159,$E159))</f>
        <v/>
      </c>
      <c r="BV159" s="164" t="str">
        <f aca="false">IF($D159="","",COUNTIFS($D$119:D159,$D159))</f>
        <v/>
      </c>
    </row>
    <row r="160" customFormat="false" ht="15" hidden="false" customHeight="true" outlineLevel="0" collapsed="false">
      <c r="A160" s="164" t="str">
        <f aca="false">IF($V160="","","DEP"&amp;TEXT(ROW()-118,"00000"))</f>
        <v/>
      </c>
      <c r="B160" s="169"/>
      <c r="C160" s="167" t="str">
        <f aca="false">IF($B160="","",IFERROR(INDEX(BUDGET!$T$28:$T$67,MATCH($B160,BUDGET!$A$28:$A$67,0)),""))</f>
        <v/>
      </c>
      <c r="D160" s="167" t="str">
        <f aca="false">IF($B160="","",IFERROR(INDEX(BUDGET!$S$28:$S$67,MATCH($B160,BUDGET!$A$28:$A$67,0)),""))</f>
        <v/>
      </c>
      <c r="E160" s="169"/>
      <c r="F160" s="167" t="str">
        <f aca="false">IF($E160="","",IFERROR(INDEX(PROJETS!$C$56:$C$95,MATCH($E160,PROJETS!$A$56:$A$95,0)),""))</f>
        <v/>
      </c>
      <c r="G160" s="167" t="str">
        <f aca="false">IF($E160="","",IFERROR(INDEX(PROJETS!$J$56:$J$95,MATCH($E160,PROJETS!$A$56:$A$95,0)),""))</f>
        <v/>
      </c>
      <c r="H160" s="167" t="str">
        <f aca="false">IF($E160="","",IFERROR(INDEX(PROJETS!$N$56:$N$95,MATCH($E160,PROJETS!$A$56:$A$95,0)),""))</f>
        <v/>
      </c>
      <c r="I160" s="169"/>
      <c r="J160" s="167" t="str">
        <f aca="false">IF($I160="","",IFERROR(INDEX(ACTIVITES!$G$56:$G$105,MATCH($I160,ACTIVITES!$A$56:$A$105,0)),""))</f>
        <v/>
      </c>
      <c r="K160" s="169"/>
      <c r="L160" s="167" t="str">
        <f aca="false">IF($K160="","",IFERROR(INDEX(DONATEURS!$B$56:$B$205,MATCH($K160,DONATEURS!$A$56:$A$205,0)),""))</f>
        <v/>
      </c>
      <c r="M160" s="170"/>
      <c r="N160" s="170"/>
      <c r="O160" s="169"/>
      <c r="P160" s="169"/>
      <c r="Q160" s="169"/>
      <c r="R160" s="170"/>
      <c r="S160" s="169"/>
      <c r="T160" s="169"/>
      <c r="U160" s="170"/>
      <c r="V160" s="170"/>
      <c r="W160" s="170"/>
      <c r="X160" s="171"/>
      <c r="Y160" s="169"/>
      <c r="Z160" s="171"/>
      <c r="AA160" s="166" t="str">
        <f aca="false">IF(OR($X160="",$Z160=""),"",$X160*$Z160)</f>
        <v/>
      </c>
      <c r="AB160" s="171"/>
      <c r="AC160" s="171"/>
      <c r="AD160" s="166" t="str">
        <f aca="false">IF($AA160="","",$AA160+IF($AB160="",0,$AB160)+IF($AC160="",0,$AC160))</f>
        <v/>
      </c>
      <c r="AE160" s="169"/>
      <c r="AF160" s="172"/>
      <c r="AG160" s="166" t="str">
        <f aca="false">IF($AD160="","",IF(OR($AE160="FCFA",$AE160=""),$AD160,$AD160*IF($AF160="",1,$AF160)))</f>
        <v/>
      </c>
      <c r="AH160" s="169"/>
      <c r="AI160" s="170"/>
      <c r="AJ160" s="170"/>
      <c r="AK160" s="169"/>
      <c r="AL160" s="170"/>
      <c r="AM160" s="170"/>
      <c r="AN160" s="173"/>
      <c r="AO160" s="170"/>
      <c r="AP160" s="170"/>
      <c r="AQ160" s="173"/>
      <c r="AR160" s="169"/>
      <c r="AS160" s="169"/>
      <c r="AT160" s="173"/>
      <c r="AU160" s="171"/>
      <c r="AV160" s="170"/>
      <c r="AW160" s="169"/>
      <c r="AX160" s="173"/>
      <c r="AY160" s="171"/>
      <c r="AZ160" s="166" t="str">
        <f aca="false">IF($AG160="","",MAX($AG160-IF($AY160="",0,$AY160),0))</f>
        <v/>
      </c>
      <c r="BA160" s="169"/>
      <c r="BB160" s="170"/>
      <c r="BC160" s="173"/>
      <c r="BD160" s="169"/>
      <c r="BE160" s="170"/>
      <c r="BF160" s="164" t="str">
        <f aca="false">IF($V160="","",IF($BD160="Oui","Oui","Non"))</f>
        <v/>
      </c>
      <c r="BG160" s="169"/>
      <c r="BH160" s="173"/>
      <c r="BI160" s="170"/>
      <c r="BJ160" s="170"/>
      <c r="BK160" s="170"/>
      <c r="BL160" s="173"/>
      <c r="BM160" s="164" t="str">
        <f aca="false">IF($BL160="","",YEAR($BL160))</f>
        <v/>
      </c>
      <c r="BN160" s="174" t="str">
        <f aca="false">IF($BL160="","",INDEX(PARAMETRES!$C$53:$C$65,MONTH($BL160)))</f>
        <v/>
      </c>
      <c r="BO160" s="111" t="str">
        <f aca="false">IF($BL160="","",INDEX(PARAMETRES!$B$53:$B$65,MONTH($BL160)))</f>
        <v/>
      </c>
      <c r="BP160" s="166" t="n">
        <f aca="false">IFERROR(INDEX(BUDGET!$AL$28:$AL$67,MATCH($B160,BUDGET!$A$28:$A$67,0)),"")</f>
        <v>0</v>
      </c>
      <c r="BQ160" s="166" t="str">
        <f aca="false">IF(OR($BP160="",$AG160=""),"",$BP160-$AG160)</f>
        <v/>
      </c>
      <c r="BR160" s="168" t="str">
        <f aca="false">IFERROR($AG160/INDEX(BUDGET!$AK$28:$AK$67,MATCH($B160,BUDGET!$A$28:$A$67,0)),"")</f>
        <v/>
      </c>
      <c r="BS160" s="164" t="str">
        <f aca="false">IF($V160="","",IF(AND($BP160&lt;&gt;"",$AG160&lt;&gt;"",$AG160&gt;$BP160),"Depassement budgetaire",IF(AND($AK160&lt;&gt;"Brouillon",$AK160&lt;&gt;"Annulee",$AK160&lt;&gt;"Rejetee",OR($BD160="Non",$BD160="")),"Pieces manquantes",IF(AND($AK160&lt;&gt;"Brouillon",OR($AR160="",$AR160="En attente")),"Depense non validee",IF(AND($AS160="Oui",$AW160&lt;&gt;"Oui"),"Engagement non paye",IF(AND($AW160="Non",$AK160="Validee"),"Paiement en attente",IF(AND($AY160&lt;&gt;"",$AZ160&gt;0),"Paiement partiel",IF(AND($AW160="Oui",$BG160&lt;&gt;"Oui"),"Rapprochement manquant",IF(AND($BF160="Oui",$AW160="Oui",$BG160="Oui"),"Dossier complet et paye","Normal")))))))))</f>
        <v/>
      </c>
      <c r="BT160" s="170"/>
      <c r="BU160" s="164" t="str">
        <f aca="false">IF($E160="","",COUNTIFS($E$119:E160,$E160))</f>
        <v/>
      </c>
      <c r="BV160" s="164" t="str">
        <f aca="false">IF($D160="","",COUNTIFS($D$119:D160,$D160))</f>
        <v/>
      </c>
    </row>
    <row r="161" customFormat="false" ht="15" hidden="false" customHeight="true" outlineLevel="0" collapsed="false">
      <c r="A161" s="164" t="str">
        <f aca="false">IF($V161="","","DEP"&amp;TEXT(ROW()-118,"00000"))</f>
        <v/>
      </c>
      <c r="B161" s="169"/>
      <c r="C161" s="167" t="str">
        <f aca="false">IF($B161="","",IFERROR(INDEX(BUDGET!$T$28:$T$67,MATCH($B161,BUDGET!$A$28:$A$67,0)),""))</f>
        <v/>
      </c>
      <c r="D161" s="167" t="str">
        <f aca="false">IF($B161="","",IFERROR(INDEX(BUDGET!$S$28:$S$67,MATCH($B161,BUDGET!$A$28:$A$67,0)),""))</f>
        <v/>
      </c>
      <c r="E161" s="169"/>
      <c r="F161" s="167" t="str">
        <f aca="false">IF($E161="","",IFERROR(INDEX(PROJETS!$C$56:$C$95,MATCH($E161,PROJETS!$A$56:$A$95,0)),""))</f>
        <v/>
      </c>
      <c r="G161" s="167" t="str">
        <f aca="false">IF($E161="","",IFERROR(INDEX(PROJETS!$J$56:$J$95,MATCH($E161,PROJETS!$A$56:$A$95,0)),""))</f>
        <v/>
      </c>
      <c r="H161" s="167" t="str">
        <f aca="false">IF($E161="","",IFERROR(INDEX(PROJETS!$N$56:$N$95,MATCH($E161,PROJETS!$A$56:$A$95,0)),""))</f>
        <v/>
      </c>
      <c r="I161" s="169"/>
      <c r="J161" s="167" t="str">
        <f aca="false">IF($I161="","",IFERROR(INDEX(ACTIVITES!$G$56:$G$105,MATCH($I161,ACTIVITES!$A$56:$A$105,0)),""))</f>
        <v/>
      </c>
      <c r="K161" s="169"/>
      <c r="L161" s="167" t="str">
        <f aca="false">IF($K161="","",IFERROR(INDEX(DONATEURS!$B$56:$B$205,MATCH($K161,DONATEURS!$A$56:$A$205,0)),""))</f>
        <v/>
      </c>
      <c r="M161" s="170"/>
      <c r="N161" s="170"/>
      <c r="O161" s="169"/>
      <c r="P161" s="169"/>
      <c r="Q161" s="169"/>
      <c r="R161" s="170"/>
      <c r="S161" s="169"/>
      <c r="T161" s="169"/>
      <c r="U161" s="170"/>
      <c r="V161" s="170"/>
      <c r="W161" s="170"/>
      <c r="X161" s="171"/>
      <c r="Y161" s="169"/>
      <c r="Z161" s="171"/>
      <c r="AA161" s="166" t="str">
        <f aca="false">IF(OR($X161="",$Z161=""),"",$X161*$Z161)</f>
        <v/>
      </c>
      <c r="AB161" s="171"/>
      <c r="AC161" s="171"/>
      <c r="AD161" s="166" t="str">
        <f aca="false">IF($AA161="","",$AA161+IF($AB161="",0,$AB161)+IF($AC161="",0,$AC161))</f>
        <v/>
      </c>
      <c r="AE161" s="169"/>
      <c r="AF161" s="172"/>
      <c r="AG161" s="166" t="str">
        <f aca="false">IF($AD161="","",IF(OR($AE161="FCFA",$AE161=""),$AD161,$AD161*IF($AF161="",1,$AF161)))</f>
        <v/>
      </c>
      <c r="AH161" s="169"/>
      <c r="AI161" s="170"/>
      <c r="AJ161" s="170"/>
      <c r="AK161" s="169"/>
      <c r="AL161" s="170"/>
      <c r="AM161" s="170"/>
      <c r="AN161" s="173"/>
      <c r="AO161" s="170"/>
      <c r="AP161" s="170"/>
      <c r="AQ161" s="173"/>
      <c r="AR161" s="169"/>
      <c r="AS161" s="169"/>
      <c r="AT161" s="173"/>
      <c r="AU161" s="171"/>
      <c r="AV161" s="170"/>
      <c r="AW161" s="169"/>
      <c r="AX161" s="173"/>
      <c r="AY161" s="171"/>
      <c r="AZ161" s="166" t="str">
        <f aca="false">IF($AG161="","",MAX($AG161-IF($AY161="",0,$AY161),0))</f>
        <v/>
      </c>
      <c r="BA161" s="169"/>
      <c r="BB161" s="170"/>
      <c r="BC161" s="173"/>
      <c r="BD161" s="169"/>
      <c r="BE161" s="170"/>
      <c r="BF161" s="164" t="str">
        <f aca="false">IF($V161="","",IF($BD161="Oui","Oui","Non"))</f>
        <v/>
      </c>
      <c r="BG161" s="169"/>
      <c r="BH161" s="173"/>
      <c r="BI161" s="170"/>
      <c r="BJ161" s="170"/>
      <c r="BK161" s="170"/>
      <c r="BL161" s="173"/>
      <c r="BM161" s="164" t="str">
        <f aca="false">IF($BL161="","",YEAR($BL161))</f>
        <v/>
      </c>
      <c r="BN161" s="174" t="str">
        <f aca="false">IF($BL161="","",INDEX(PARAMETRES!$C$53:$C$65,MONTH($BL161)))</f>
        <v/>
      </c>
      <c r="BO161" s="111" t="str">
        <f aca="false">IF($BL161="","",INDEX(PARAMETRES!$B$53:$B$65,MONTH($BL161)))</f>
        <v/>
      </c>
      <c r="BP161" s="166" t="n">
        <f aca="false">IFERROR(INDEX(BUDGET!$AL$28:$AL$67,MATCH($B161,BUDGET!$A$28:$A$67,0)),"")</f>
        <v>0</v>
      </c>
      <c r="BQ161" s="166" t="str">
        <f aca="false">IF(OR($BP161="",$AG161=""),"",$BP161-$AG161)</f>
        <v/>
      </c>
      <c r="BR161" s="168" t="str">
        <f aca="false">IFERROR($AG161/INDEX(BUDGET!$AK$28:$AK$67,MATCH($B161,BUDGET!$A$28:$A$67,0)),"")</f>
        <v/>
      </c>
      <c r="BS161" s="164" t="str">
        <f aca="false">IF($V161="","",IF(AND($BP161&lt;&gt;"",$AG161&lt;&gt;"",$AG161&gt;$BP161),"Depassement budgetaire",IF(AND($AK161&lt;&gt;"Brouillon",$AK161&lt;&gt;"Annulee",$AK161&lt;&gt;"Rejetee",OR($BD161="Non",$BD161="")),"Pieces manquantes",IF(AND($AK161&lt;&gt;"Brouillon",OR($AR161="",$AR161="En attente")),"Depense non validee",IF(AND($AS161="Oui",$AW161&lt;&gt;"Oui"),"Engagement non paye",IF(AND($AW161="Non",$AK161="Validee"),"Paiement en attente",IF(AND($AY161&lt;&gt;"",$AZ161&gt;0),"Paiement partiel",IF(AND($AW161="Oui",$BG161&lt;&gt;"Oui"),"Rapprochement manquant",IF(AND($BF161="Oui",$AW161="Oui",$BG161="Oui"),"Dossier complet et paye","Normal")))))))))</f>
        <v/>
      </c>
      <c r="BT161" s="170"/>
      <c r="BU161" s="164" t="str">
        <f aca="false">IF($E161="","",COUNTIFS($E$119:E161,$E161))</f>
        <v/>
      </c>
      <c r="BV161" s="164" t="str">
        <f aca="false">IF($D161="","",COUNTIFS($D$119:D161,$D161))</f>
        <v/>
      </c>
    </row>
    <row r="162" customFormat="false" ht="15" hidden="false" customHeight="true" outlineLevel="0" collapsed="false">
      <c r="A162" s="164" t="str">
        <f aca="false">IF($V162="","","DEP"&amp;TEXT(ROW()-118,"00000"))</f>
        <v/>
      </c>
      <c r="B162" s="169"/>
      <c r="C162" s="167" t="str">
        <f aca="false">IF($B162="","",IFERROR(INDEX(BUDGET!$T$28:$T$67,MATCH($B162,BUDGET!$A$28:$A$67,0)),""))</f>
        <v/>
      </c>
      <c r="D162" s="167" t="str">
        <f aca="false">IF($B162="","",IFERROR(INDEX(BUDGET!$S$28:$S$67,MATCH($B162,BUDGET!$A$28:$A$67,0)),""))</f>
        <v/>
      </c>
      <c r="E162" s="169"/>
      <c r="F162" s="167" t="str">
        <f aca="false">IF($E162="","",IFERROR(INDEX(PROJETS!$C$56:$C$95,MATCH($E162,PROJETS!$A$56:$A$95,0)),""))</f>
        <v/>
      </c>
      <c r="G162" s="167" t="str">
        <f aca="false">IF($E162="","",IFERROR(INDEX(PROJETS!$J$56:$J$95,MATCH($E162,PROJETS!$A$56:$A$95,0)),""))</f>
        <v/>
      </c>
      <c r="H162" s="167" t="str">
        <f aca="false">IF($E162="","",IFERROR(INDEX(PROJETS!$N$56:$N$95,MATCH($E162,PROJETS!$A$56:$A$95,0)),""))</f>
        <v/>
      </c>
      <c r="I162" s="169"/>
      <c r="J162" s="167" t="str">
        <f aca="false">IF($I162="","",IFERROR(INDEX(ACTIVITES!$G$56:$G$105,MATCH($I162,ACTIVITES!$A$56:$A$105,0)),""))</f>
        <v/>
      </c>
      <c r="K162" s="169"/>
      <c r="L162" s="167" t="str">
        <f aca="false">IF($K162="","",IFERROR(INDEX(DONATEURS!$B$56:$B$205,MATCH($K162,DONATEURS!$A$56:$A$205,0)),""))</f>
        <v/>
      </c>
      <c r="M162" s="170"/>
      <c r="N162" s="170"/>
      <c r="O162" s="169"/>
      <c r="P162" s="169"/>
      <c r="Q162" s="169"/>
      <c r="R162" s="170"/>
      <c r="S162" s="169"/>
      <c r="T162" s="169"/>
      <c r="U162" s="170"/>
      <c r="V162" s="170"/>
      <c r="W162" s="170"/>
      <c r="X162" s="171"/>
      <c r="Y162" s="169"/>
      <c r="Z162" s="171"/>
      <c r="AA162" s="166" t="str">
        <f aca="false">IF(OR($X162="",$Z162=""),"",$X162*$Z162)</f>
        <v/>
      </c>
      <c r="AB162" s="171"/>
      <c r="AC162" s="171"/>
      <c r="AD162" s="166" t="str">
        <f aca="false">IF($AA162="","",$AA162+IF($AB162="",0,$AB162)+IF($AC162="",0,$AC162))</f>
        <v/>
      </c>
      <c r="AE162" s="169"/>
      <c r="AF162" s="172"/>
      <c r="AG162" s="166" t="str">
        <f aca="false">IF($AD162="","",IF(OR($AE162="FCFA",$AE162=""),$AD162,$AD162*IF($AF162="",1,$AF162)))</f>
        <v/>
      </c>
      <c r="AH162" s="169"/>
      <c r="AI162" s="170"/>
      <c r="AJ162" s="170"/>
      <c r="AK162" s="169"/>
      <c r="AL162" s="170"/>
      <c r="AM162" s="170"/>
      <c r="AN162" s="173"/>
      <c r="AO162" s="170"/>
      <c r="AP162" s="170"/>
      <c r="AQ162" s="173"/>
      <c r="AR162" s="169"/>
      <c r="AS162" s="169"/>
      <c r="AT162" s="173"/>
      <c r="AU162" s="171"/>
      <c r="AV162" s="170"/>
      <c r="AW162" s="169"/>
      <c r="AX162" s="173"/>
      <c r="AY162" s="171"/>
      <c r="AZ162" s="166" t="str">
        <f aca="false">IF($AG162="","",MAX($AG162-IF($AY162="",0,$AY162),0))</f>
        <v/>
      </c>
      <c r="BA162" s="169"/>
      <c r="BB162" s="170"/>
      <c r="BC162" s="173"/>
      <c r="BD162" s="169"/>
      <c r="BE162" s="170"/>
      <c r="BF162" s="164" t="str">
        <f aca="false">IF($V162="","",IF($BD162="Oui","Oui","Non"))</f>
        <v/>
      </c>
      <c r="BG162" s="169"/>
      <c r="BH162" s="173"/>
      <c r="BI162" s="170"/>
      <c r="BJ162" s="170"/>
      <c r="BK162" s="170"/>
      <c r="BL162" s="173"/>
      <c r="BM162" s="164" t="str">
        <f aca="false">IF($BL162="","",YEAR($BL162))</f>
        <v/>
      </c>
      <c r="BN162" s="174" t="str">
        <f aca="false">IF($BL162="","",INDEX(PARAMETRES!$C$53:$C$65,MONTH($BL162)))</f>
        <v/>
      </c>
      <c r="BO162" s="111" t="str">
        <f aca="false">IF($BL162="","",INDEX(PARAMETRES!$B$53:$B$65,MONTH($BL162)))</f>
        <v/>
      </c>
      <c r="BP162" s="166" t="n">
        <f aca="false">IFERROR(INDEX(BUDGET!$AL$28:$AL$67,MATCH($B162,BUDGET!$A$28:$A$67,0)),"")</f>
        <v>0</v>
      </c>
      <c r="BQ162" s="166" t="str">
        <f aca="false">IF(OR($BP162="",$AG162=""),"",$BP162-$AG162)</f>
        <v/>
      </c>
      <c r="BR162" s="168" t="str">
        <f aca="false">IFERROR($AG162/INDEX(BUDGET!$AK$28:$AK$67,MATCH($B162,BUDGET!$A$28:$A$67,0)),"")</f>
        <v/>
      </c>
      <c r="BS162" s="164" t="str">
        <f aca="false">IF($V162="","",IF(AND($BP162&lt;&gt;"",$AG162&lt;&gt;"",$AG162&gt;$BP162),"Depassement budgetaire",IF(AND($AK162&lt;&gt;"Brouillon",$AK162&lt;&gt;"Annulee",$AK162&lt;&gt;"Rejetee",OR($BD162="Non",$BD162="")),"Pieces manquantes",IF(AND($AK162&lt;&gt;"Brouillon",OR($AR162="",$AR162="En attente")),"Depense non validee",IF(AND($AS162="Oui",$AW162&lt;&gt;"Oui"),"Engagement non paye",IF(AND($AW162="Non",$AK162="Validee"),"Paiement en attente",IF(AND($AY162&lt;&gt;"",$AZ162&gt;0),"Paiement partiel",IF(AND($AW162="Oui",$BG162&lt;&gt;"Oui"),"Rapprochement manquant",IF(AND($BF162="Oui",$AW162="Oui",$BG162="Oui"),"Dossier complet et paye","Normal")))))))))</f>
        <v/>
      </c>
      <c r="BT162" s="170"/>
      <c r="BU162" s="164" t="str">
        <f aca="false">IF($E162="","",COUNTIFS($E$119:E162,$E162))</f>
        <v/>
      </c>
      <c r="BV162" s="164" t="str">
        <f aca="false">IF($D162="","",COUNTIFS($D$119:D162,$D162))</f>
        <v/>
      </c>
    </row>
    <row r="163" customFormat="false" ht="15" hidden="false" customHeight="true" outlineLevel="0" collapsed="false">
      <c r="A163" s="164" t="str">
        <f aca="false">IF($V163="","","DEP"&amp;TEXT(ROW()-118,"00000"))</f>
        <v/>
      </c>
      <c r="B163" s="169"/>
      <c r="C163" s="167" t="str">
        <f aca="false">IF($B163="","",IFERROR(INDEX(BUDGET!$T$28:$T$67,MATCH($B163,BUDGET!$A$28:$A$67,0)),""))</f>
        <v/>
      </c>
      <c r="D163" s="167" t="str">
        <f aca="false">IF($B163="","",IFERROR(INDEX(BUDGET!$S$28:$S$67,MATCH($B163,BUDGET!$A$28:$A$67,0)),""))</f>
        <v/>
      </c>
      <c r="E163" s="169"/>
      <c r="F163" s="167" t="str">
        <f aca="false">IF($E163="","",IFERROR(INDEX(PROJETS!$C$56:$C$95,MATCH($E163,PROJETS!$A$56:$A$95,0)),""))</f>
        <v/>
      </c>
      <c r="G163" s="167" t="str">
        <f aca="false">IF($E163="","",IFERROR(INDEX(PROJETS!$J$56:$J$95,MATCH($E163,PROJETS!$A$56:$A$95,0)),""))</f>
        <v/>
      </c>
      <c r="H163" s="167" t="str">
        <f aca="false">IF($E163="","",IFERROR(INDEX(PROJETS!$N$56:$N$95,MATCH($E163,PROJETS!$A$56:$A$95,0)),""))</f>
        <v/>
      </c>
      <c r="I163" s="169"/>
      <c r="J163" s="167" t="str">
        <f aca="false">IF($I163="","",IFERROR(INDEX(ACTIVITES!$G$56:$G$105,MATCH($I163,ACTIVITES!$A$56:$A$105,0)),""))</f>
        <v/>
      </c>
      <c r="K163" s="169"/>
      <c r="L163" s="167" t="str">
        <f aca="false">IF($K163="","",IFERROR(INDEX(DONATEURS!$B$56:$B$205,MATCH($K163,DONATEURS!$A$56:$A$205,0)),""))</f>
        <v/>
      </c>
      <c r="M163" s="170"/>
      <c r="N163" s="170"/>
      <c r="O163" s="169"/>
      <c r="P163" s="169"/>
      <c r="Q163" s="169"/>
      <c r="R163" s="170"/>
      <c r="S163" s="169"/>
      <c r="T163" s="169"/>
      <c r="U163" s="170"/>
      <c r="V163" s="170"/>
      <c r="W163" s="170"/>
      <c r="X163" s="171"/>
      <c r="Y163" s="169"/>
      <c r="Z163" s="171"/>
      <c r="AA163" s="166" t="str">
        <f aca="false">IF(OR($X163="",$Z163=""),"",$X163*$Z163)</f>
        <v/>
      </c>
      <c r="AB163" s="171"/>
      <c r="AC163" s="171"/>
      <c r="AD163" s="166" t="str">
        <f aca="false">IF($AA163="","",$AA163+IF($AB163="",0,$AB163)+IF($AC163="",0,$AC163))</f>
        <v/>
      </c>
      <c r="AE163" s="169"/>
      <c r="AF163" s="172"/>
      <c r="AG163" s="166" t="str">
        <f aca="false">IF($AD163="","",IF(OR($AE163="FCFA",$AE163=""),$AD163,$AD163*IF($AF163="",1,$AF163)))</f>
        <v/>
      </c>
      <c r="AH163" s="169"/>
      <c r="AI163" s="170"/>
      <c r="AJ163" s="170"/>
      <c r="AK163" s="169"/>
      <c r="AL163" s="170"/>
      <c r="AM163" s="170"/>
      <c r="AN163" s="173"/>
      <c r="AO163" s="170"/>
      <c r="AP163" s="170"/>
      <c r="AQ163" s="173"/>
      <c r="AR163" s="169"/>
      <c r="AS163" s="169"/>
      <c r="AT163" s="173"/>
      <c r="AU163" s="171"/>
      <c r="AV163" s="170"/>
      <c r="AW163" s="169"/>
      <c r="AX163" s="173"/>
      <c r="AY163" s="171"/>
      <c r="AZ163" s="166" t="str">
        <f aca="false">IF($AG163="","",MAX($AG163-IF($AY163="",0,$AY163),0))</f>
        <v/>
      </c>
      <c r="BA163" s="169"/>
      <c r="BB163" s="170"/>
      <c r="BC163" s="173"/>
      <c r="BD163" s="169"/>
      <c r="BE163" s="170"/>
      <c r="BF163" s="164" t="str">
        <f aca="false">IF($V163="","",IF($BD163="Oui","Oui","Non"))</f>
        <v/>
      </c>
      <c r="BG163" s="169"/>
      <c r="BH163" s="173"/>
      <c r="BI163" s="170"/>
      <c r="BJ163" s="170"/>
      <c r="BK163" s="170"/>
      <c r="BL163" s="173"/>
      <c r="BM163" s="164" t="str">
        <f aca="false">IF($BL163="","",YEAR($BL163))</f>
        <v/>
      </c>
      <c r="BN163" s="174" t="str">
        <f aca="false">IF($BL163="","",INDEX(PARAMETRES!$C$53:$C$65,MONTH($BL163)))</f>
        <v/>
      </c>
      <c r="BO163" s="111" t="str">
        <f aca="false">IF($BL163="","",INDEX(PARAMETRES!$B$53:$B$65,MONTH($BL163)))</f>
        <v/>
      </c>
      <c r="BP163" s="166" t="n">
        <f aca="false">IFERROR(INDEX(BUDGET!$AL$28:$AL$67,MATCH($B163,BUDGET!$A$28:$A$67,0)),"")</f>
        <v>0</v>
      </c>
      <c r="BQ163" s="166" t="str">
        <f aca="false">IF(OR($BP163="",$AG163=""),"",$BP163-$AG163)</f>
        <v/>
      </c>
      <c r="BR163" s="168" t="str">
        <f aca="false">IFERROR($AG163/INDEX(BUDGET!$AK$28:$AK$67,MATCH($B163,BUDGET!$A$28:$A$67,0)),"")</f>
        <v/>
      </c>
      <c r="BS163" s="164" t="str">
        <f aca="false">IF($V163="","",IF(AND($BP163&lt;&gt;"",$AG163&lt;&gt;"",$AG163&gt;$BP163),"Depassement budgetaire",IF(AND($AK163&lt;&gt;"Brouillon",$AK163&lt;&gt;"Annulee",$AK163&lt;&gt;"Rejetee",OR($BD163="Non",$BD163="")),"Pieces manquantes",IF(AND($AK163&lt;&gt;"Brouillon",OR($AR163="",$AR163="En attente")),"Depense non validee",IF(AND($AS163="Oui",$AW163&lt;&gt;"Oui"),"Engagement non paye",IF(AND($AW163="Non",$AK163="Validee"),"Paiement en attente",IF(AND($AY163&lt;&gt;"",$AZ163&gt;0),"Paiement partiel",IF(AND($AW163="Oui",$BG163&lt;&gt;"Oui"),"Rapprochement manquant",IF(AND($BF163="Oui",$AW163="Oui",$BG163="Oui"),"Dossier complet et paye","Normal")))))))))</f>
        <v/>
      </c>
      <c r="BT163" s="170"/>
      <c r="BU163" s="164" t="str">
        <f aca="false">IF($E163="","",COUNTIFS($E$119:E163,$E163))</f>
        <v/>
      </c>
      <c r="BV163" s="164" t="str">
        <f aca="false">IF($D163="","",COUNTIFS($D$119:D163,$D163))</f>
        <v/>
      </c>
    </row>
    <row r="164" customFormat="false" ht="15" hidden="false" customHeight="true" outlineLevel="0" collapsed="false">
      <c r="A164" s="164" t="str">
        <f aca="false">IF($V164="","","DEP"&amp;TEXT(ROW()-118,"00000"))</f>
        <v/>
      </c>
      <c r="B164" s="169"/>
      <c r="C164" s="167" t="str">
        <f aca="false">IF($B164="","",IFERROR(INDEX(BUDGET!$T$28:$T$67,MATCH($B164,BUDGET!$A$28:$A$67,0)),""))</f>
        <v/>
      </c>
      <c r="D164" s="167" t="str">
        <f aca="false">IF($B164="","",IFERROR(INDEX(BUDGET!$S$28:$S$67,MATCH($B164,BUDGET!$A$28:$A$67,0)),""))</f>
        <v/>
      </c>
      <c r="E164" s="169"/>
      <c r="F164" s="167" t="str">
        <f aca="false">IF($E164="","",IFERROR(INDEX(PROJETS!$C$56:$C$95,MATCH($E164,PROJETS!$A$56:$A$95,0)),""))</f>
        <v/>
      </c>
      <c r="G164" s="167" t="str">
        <f aca="false">IF($E164="","",IFERROR(INDEX(PROJETS!$J$56:$J$95,MATCH($E164,PROJETS!$A$56:$A$95,0)),""))</f>
        <v/>
      </c>
      <c r="H164" s="167" t="str">
        <f aca="false">IF($E164="","",IFERROR(INDEX(PROJETS!$N$56:$N$95,MATCH($E164,PROJETS!$A$56:$A$95,0)),""))</f>
        <v/>
      </c>
      <c r="I164" s="169"/>
      <c r="J164" s="167" t="str">
        <f aca="false">IF($I164="","",IFERROR(INDEX(ACTIVITES!$G$56:$G$105,MATCH($I164,ACTIVITES!$A$56:$A$105,0)),""))</f>
        <v/>
      </c>
      <c r="K164" s="169"/>
      <c r="L164" s="167" t="str">
        <f aca="false">IF($K164="","",IFERROR(INDEX(DONATEURS!$B$56:$B$205,MATCH($K164,DONATEURS!$A$56:$A$205,0)),""))</f>
        <v/>
      </c>
      <c r="M164" s="170"/>
      <c r="N164" s="170"/>
      <c r="O164" s="169"/>
      <c r="P164" s="169"/>
      <c r="Q164" s="169"/>
      <c r="R164" s="170"/>
      <c r="S164" s="169"/>
      <c r="T164" s="169"/>
      <c r="U164" s="170"/>
      <c r="V164" s="170"/>
      <c r="W164" s="170"/>
      <c r="X164" s="171"/>
      <c r="Y164" s="169"/>
      <c r="Z164" s="171"/>
      <c r="AA164" s="166" t="str">
        <f aca="false">IF(OR($X164="",$Z164=""),"",$X164*$Z164)</f>
        <v/>
      </c>
      <c r="AB164" s="171"/>
      <c r="AC164" s="171"/>
      <c r="AD164" s="166" t="str">
        <f aca="false">IF($AA164="","",$AA164+IF($AB164="",0,$AB164)+IF($AC164="",0,$AC164))</f>
        <v/>
      </c>
      <c r="AE164" s="169"/>
      <c r="AF164" s="172"/>
      <c r="AG164" s="166" t="str">
        <f aca="false">IF($AD164="","",IF(OR($AE164="FCFA",$AE164=""),$AD164,$AD164*IF($AF164="",1,$AF164)))</f>
        <v/>
      </c>
      <c r="AH164" s="169"/>
      <c r="AI164" s="170"/>
      <c r="AJ164" s="170"/>
      <c r="AK164" s="169"/>
      <c r="AL164" s="170"/>
      <c r="AM164" s="170"/>
      <c r="AN164" s="173"/>
      <c r="AO164" s="170"/>
      <c r="AP164" s="170"/>
      <c r="AQ164" s="173"/>
      <c r="AR164" s="169"/>
      <c r="AS164" s="169"/>
      <c r="AT164" s="173"/>
      <c r="AU164" s="171"/>
      <c r="AV164" s="170"/>
      <c r="AW164" s="169"/>
      <c r="AX164" s="173"/>
      <c r="AY164" s="171"/>
      <c r="AZ164" s="166" t="str">
        <f aca="false">IF($AG164="","",MAX($AG164-IF($AY164="",0,$AY164),0))</f>
        <v/>
      </c>
      <c r="BA164" s="169"/>
      <c r="BB164" s="170"/>
      <c r="BC164" s="173"/>
      <c r="BD164" s="169"/>
      <c r="BE164" s="170"/>
      <c r="BF164" s="164" t="str">
        <f aca="false">IF($V164="","",IF($BD164="Oui","Oui","Non"))</f>
        <v/>
      </c>
      <c r="BG164" s="169"/>
      <c r="BH164" s="173"/>
      <c r="BI164" s="170"/>
      <c r="BJ164" s="170"/>
      <c r="BK164" s="170"/>
      <c r="BL164" s="173"/>
      <c r="BM164" s="164" t="str">
        <f aca="false">IF($BL164="","",YEAR($BL164))</f>
        <v/>
      </c>
      <c r="BN164" s="174" t="str">
        <f aca="false">IF($BL164="","",INDEX(PARAMETRES!$C$53:$C$65,MONTH($BL164)))</f>
        <v/>
      </c>
      <c r="BO164" s="111" t="str">
        <f aca="false">IF($BL164="","",INDEX(PARAMETRES!$B$53:$B$65,MONTH($BL164)))</f>
        <v/>
      </c>
      <c r="BP164" s="166" t="n">
        <f aca="false">IFERROR(INDEX(BUDGET!$AL$28:$AL$67,MATCH($B164,BUDGET!$A$28:$A$67,0)),"")</f>
        <v>0</v>
      </c>
      <c r="BQ164" s="166" t="str">
        <f aca="false">IF(OR($BP164="",$AG164=""),"",$BP164-$AG164)</f>
        <v/>
      </c>
      <c r="BR164" s="168" t="str">
        <f aca="false">IFERROR($AG164/INDEX(BUDGET!$AK$28:$AK$67,MATCH($B164,BUDGET!$A$28:$A$67,0)),"")</f>
        <v/>
      </c>
      <c r="BS164" s="164" t="str">
        <f aca="false">IF($V164="","",IF(AND($BP164&lt;&gt;"",$AG164&lt;&gt;"",$AG164&gt;$BP164),"Depassement budgetaire",IF(AND($AK164&lt;&gt;"Brouillon",$AK164&lt;&gt;"Annulee",$AK164&lt;&gt;"Rejetee",OR($BD164="Non",$BD164="")),"Pieces manquantes",IF(AND($AK164&lt;&gt;"Brouillon",OR($AR164="",$AR164="En attente")),"Depense non validee",IF(AND($AS164="Oui",$AW164&lt;&gt;"Oui"),"Engagement non paye",IF(AND($AW164="Non",$AK164="Validee"),"Paiement en attente",IF(AND($AY164&lt;&gt;"",$AZ164&gt;0),"Paiement partiel",IF(AND($AW164="Oui",$BG164&lt;&gt;"Oui"),"Rapprochement manquant",IF(AND($BF164="Oui",$AW164="Oui",$BG164="Oui"),"Dossier complet et paye","Normal")))))))))</f>
        <v/>
      </c>
      <c r="BT164" s="170"/>
      <c r="BU164" s="164" t="str">
        <f aca="false">IF($E164="","",COUNTIFS($E$119:E164,$E164))</f>
        <v/>
      </c>
      <c r="BV164" s="164" t="str">
        <f aca="false">IF($D164="","",COUNTIFS($D$119:D164,$D164))</f>
        <v/>
      </c>
    </row>
    <row r="165" customFormat="false" ht="15" hidden="false" customHeight="true" outlineLevel="0" collapsed="false">
      <c r="A165" s="164" t="str">
        <f aca="false">IF($V165="","","DEP"&amp;TEXT(ROW()-118,"00000"))</f>
        <v/>
      </c>
      <c r="B165" s="169"/>
      <c r="C165" s="167" t="str">
        <f aca="false">IF($B165="","",IFERROR(INDEX(BUDGET!$T$28:$T$67,MATCH($B165,BUDGET!$A$28:$A$67,0)),""))</f>
        <v/>
      </c>
      <c r="D165" s="167" t="str">
        <f aca="false">IF($B165="","",IFERROR(INDEX(BUDGET!$S$28:$S$67,MATCH($B165,BUDGET!$A$28:$A$67,0)),""))</f>
        <v/>
      </c>
      <c r="E165" s="169"/>
      <c r="F165" s="167" t="str">
        <f aca="false">IF($E165="","",IFERROR(INDEX(PROJETS!$C$56:$C$95,MATCH($E165,PROJETS!$A$56:$A$95,0)),""))</f>
        <v/>
      </c>
      <c r="G165" s="167" t="str">
        <f aca="false">IF($E165="","",IFERROR(INDEX(PROJETS!$J$56:$J$95,MATCH($E165,PROJETS!$A$56:$A$95,0)),""))</f>
        <v/>
      </c>
      <c r="H165" s="167" t="str">
        <f aca="false">IF($E165="","",IFERROR(INDEX(PROJETS!$N$56:$N$95,MATCH($E165,PROJETS!$A$56:$A$95,0)),""))</f>
        <v/>
      </c>
      <c r="I165" s="169"/>
      <c r="J165" s="167" t="str">
        <f aca="false">IF($I165="","",IFERROR(INDEX(ACTIVITES!$G$56:$G$105,MATCH($I165,ACTIVITES!$A$56:$A$105,0)),""))</f>
        <v/>
      </c>
      <c r="K165" s="169"/>
      <c r="L165" s="167" t="str">
        <f aca="false">IF($K165="","",IFERROR(INDEX(DONATEURS!$B$56:$B$205,MATCH($K165,DONATEURS!$A$56:$A$205,0)),""))</f>
        <v/>
      </c>
      <c r="M165" s="170"/>
      <c r="N165" s="170"/>
      <c r="O165" s="169"/>
      <c r="P165" s="169"/>
      <c r="Q165" s="169"/>
      <c r="R165" s="170"/>
      <c r="S165" s="169"/>
      <c r="T165" s="169"/>
      <c r="U165" s="170"/>
      <c r="V165" s="170"/>
      <c r="W165" s="170"/>
      <c r="X165" s="171"/>
      <c r="Y165" s="169"/>
      <c r="Z165" s="171"/>
      <c r="AA165" s="166" t="str">
        <f aca="false">IF(OR($X165="",$Z165=""),"",$X165*$Z165)</f>
        <v/>
      </c>
      <c r="AB165" s="171"/>
      <c r="AC165" s="171"/>
      <c r="AD165" s="166" t="str">
        <f aca="false">IF($AA165="","",$AA165+IF($AB165="",0,$AB165)+IF($AC165="",0,$AC165))</f>
        <v/>
      </c>
      <c r="AE165" s="169"/>
      <c r="AF165" s="172"/>
      <c r="AG165" s="166" t="str">
        <f aca="false">IF($AD165="","",IF(OR($AE165="FCFA",$AE165=""),$AD165,$AD165*IF($AF165="",1,$AF165)))</f>
        <v/>
      </c>
      <c r="AH165" s="169"/>
      <c r="AI165" s="170"/>
      <c r="AJ165" s="170"/>
      <c r="AK165" s="169"/>
      <c r="AL165" s="170"/>
      <c r="AM165" s="170"/>
      <c r="AN165" s="173"/>
      <c r="AO165" s="170"/>
      <c r="AP165" s="170"/>
      <c r="AQ165" s="173"/>
      <c r="AR165" s="169"/>
      <c r="AS165" s="169"/>
      <c r="AT165" s="173"/>
      <c r="AU165" s="171"/>
      <c r="AV165" s="170"/>
      <c r="AW165" s="169"/>
      <c r="AX165" s="173"/>
      <c r="AY165" s="171"/>
      <c r="AZ165" s="166" t="str">
        <f aca="false">IF($AG165="","",MAX($AG165-IF($AY165="",0,$AY165),0))</f>
        <v/>
      </c>
      <c r="BA165" s="169"/>
      <c r="BB165" s="170"/>
      <c r="BC165" s="173"/>
      <c r="BD165" s="169"/>
      <c r="BE165" s="170"/>
      <c r="BF165" s="164" t="str">
        <f aca="false">IF($V165="","",IF($BD165="Oui","Oui","Non"))</f>
        <v/>
      </c>
      <c r="BG165" s="169"/>
      <c r="BH165" s="173"/>
      <c r="BI165" s="170"/>
      <c r="BJ165" s="170"/>
      <c r="BK165" s="170"/>
      <c r="BL165" s="173"/>
      <c r="BM165" s="164" t="str">
        <f aca="false">IF($BL165="","",YEAR($BL165))</f>
        <v/>
      </c>
      <c r="BN165" s="174" t="str">
        <f aca="false">IF($BL165="","",INDEX(PARAMETRES!$C$53:$C$65,MONTH($BL165)))</f>
        <v/>
      </c>
      <c r="BO165" s="111" t="str">
        <f aca="false">IF($BL165="","",INDEX(PARAMETRES!$B$53:$B$65,MONTH($BL165)))</f>
        <v/>
      </c>
      <c r="BP165" s="166" t="n">
        <f aca="false">IFERROR(INDEX(BUDGET!$AL$28:$AL$67,MATCH($B165,BUDGET!$A$28:$A$67,0)),"")</f>
        <v>0</v>
      </c>
      <c r="BQ165" s="166" t="str">
        <f aca="false">IF(OR($BP165="",$AG165=""),"",$BP165-$AG165)</f>
        <v/>
      </c>
      <c r="BR165" s="168" t="str">
        <f aca="false">IFERROR($AG165/INDEX(BUDGET!$AK$28:$AK$67,MATCH($B165,BUDGET!$A$28:$A$67,0)),"")</f>
        <v/>
      </c>
      <c r="BS165" s="164" t="str">
        <f aca="false">IF($V165="","",IF(AND($BP165&lt;&gt;"",$AG165&lt;&gt;"",$AG165&gt;$BP165),"Depassement budgetaire",IF(AND($AK165&lt;&gt;"Brouillon",$AK165&lt;&gt;"Annulee",$AK165&lt;&gt;"Rejetee",OR($BD165="Non",$BD165="")),"Pieces manquantes",IF(AND($AK165&lt;&gt;"Brouillon",OR($AR165="",$AR165="En attente")),"Depense non validee",IF(AND($AS165="Oui",$AW165&lt;&gt;"Oui"),"Engagement non paye",IF(AND($AW165="Non",$AK165="Validee"),"Paiement en attente",IF(AND($AY165&lt;&gt;"",$AZ165&gt;0),"Paiement partiel",IF(AND($AW165="Oui",$BG165&lt;&gt;"Oui"),"Rapprochement manquant",IF(AND($BF165="Oui",$AW165="Oui",$BG165="Oui"),"Dossier complet et paye","Normal")))))))))</f>
        <v/>
      </c>
      <c r="BT165" s="170"/>
      <c r="BU165" s="164" t="str">
        <f aca="false">IF($E165="","",COUNTIFS($E$119:E165,$E165))</f>
        <v/>
      </c>
      <c r="BV165" s="164" t="str">
        <f aca="false">IF($D165="","",COUNTIFS($D$119:D165,$D165))</f>
        <v/>
      </c>
    </row>
    <row r="166" customFormat="false" ht="15" hidden="false" customHeight="true" outlineLevel="0" collapsed="false">
      <c r="A166" s="164" t="str">
        <f aca="false">IF($V166="","","DEP"&amp;TEXT(ROW()-118,"00000"))</f>
        <v/>
      </c>
      <c r="B166" s="169"/>
      <c r="C166" s="167" t="str">
        <f aca="false">IF($B166="","",IFERROR(INDEX(BUDGET!$T$28:$T$67,MATCH($B166,BUDGET!$A$28:$A$67,0)),""))</f>
        <v/>
      </c>
      <c r="D166" s="167" t="str">
        <f aca="false">IF($B166="","",IFERROR(INDEX(BUDGET!$S$28:$S$67,MATCH($B166,BUDGET!$A$28:$A$67,0)),""))</f>
        <v/>
      </c>
      <c r="E166" s="169"/>
      <c r="F166" s="167" t="str">
        <f aca="false">IF($E166="","",IFERROR(INDEX(PROJETS!$C$56:$C$95,MATCH($E166,PROJETS!$A$56:$A$95,0)),""))</f>
        <v/>
      </c>
      <c r="G166" s="167" t="str">
        <f aca="false">IF($E166="","",IFERROR(INDEX(PROJETS!$J$56:$J$95,MATCH($E166,PROJETS!$A$56:$A$95,0)),""))</f>
        <v/>
      </c>
      <c r="H166" s="167" t="str">
        <f aca="false">IF($E166="","",IFERROR(INDEX(PROJETS!$N$56:$N$95,MATCH($E166,PROJETS!$A$56:$A$95,0)),""))</f>
        <v/>
      </c>
      <c r="I166" s="169"/>
      <c r="J166" s="167" t="str">
        <f aca="false">IF($I166="","",IFERROR(INDEX(ACTIVITES!$G$56:$G$105,MATCH($I166,ACTIVITES!$A$56:$A$105,0)),""))</f>
        <v/>
      </c>
      <c r="K166" s="169"/>
      <c r="L166" s="167" t="str">
        <f aca="false">IF($K166="","",IFERROR(INDEX(DONATEURS!$B$56:$B$205,MATCH($K166,DONATEURS!$A$56:$A$205,0)),""))</f>
        <v/>
      </c>
      <c r="M166" s="170"/>
      <c r="N166" s="170"/>
      <c r="O166" s="169"/>
      <c r="P166" s="169"/>
      <c r="Q166" s="169"/>
      <c r="R166" s="170"/>
      <c r="S166" s="169"/>
      <c r="T166" s="169"/>
      <c r="U166" s="170"/>
      <c r="V166" s="170"/>
      <c r="W166" s="170"/>
      <c r="X166" s="171"/>
      <c r="Y166" s="169"/>
      <c r="Z166" s="171"/>
      <c r="AA166" s="166" t="str">
        <f aca="false">IF(OR($X166="",$Z166=""),"",$X166*$Z166)</f>
        <v/>
      </c>
      <c r="AB166" s="171"/>
      <c r="AC166" s="171"/>
      <c r="AD166" s="166" t="str">
        <f aca="false">IF($AA166="","",$AA166+IF($AB166="",0,$AB166)+IF($AC166="",0,$AC166))</f>
        <v/>
      </c>
      <c r="AE166" s="169"/>
      <c r="AF166" s="172"/>
      <c r="AG166" s="166" t="str">
        <f aca="false">IF($AD166="","",IF(OR($AE166="FCFA",$AE166=""),$AD166,$AD166*IF($AF166="",1,$AF166)))</f>
        <v/>
      </c>
      <c r="AH166" s="169"/>
      <c r="AI166" s="170"/>
      <c r="AJ166" s="170"/>
      <c r="AK166" s="169"/>
      <c r="AL166" s="170"/>
      <c r="AM166" s="170"/>
      <c r="AN166" s="173"/>
      <c r="AO166" s="170"/>
      <c r="AP166" s="170"/>
      <c r="AQ166" s="173"/>
      <c r="AR166" s="169"/>
      <c r="AS166" s="169"/>
      <c r="AT166" s="173"/>
      <c r="AU166" s="171"/>
      <c r="AV166" s="170"/>
      <c r="AW166" s="169"/>
      <c r="AX166" s="173"/>
      <c r="AY166" s="171"/>
      <c r="AZ166" s="166" t="str">
        <f aca="false">IF($AG166="","",MAX($AG166-IF($AY166="",0,$AY166),0))</f>
        <v/>
      </c>
      <c r="BA166" s="169"/>
      <c r="BB166" s="170"/>
      <c r="BC166" s="173"/>
      <c r="BD166" s="169"/>
      <c r="BE166" s="170"/>
      <c r="BF166" s="164" t="str">
        <f aca="false">IF($V166="","",IF($BD166="Oui","Oui","Non"))</f>
        <v/>
      </c>
      <c r="BG166" s="169"/>
      <c r="BH166" s="173"/>
      <c r="BI166" s="170"/>
      <c r="BJ166" s="170"/>
      <c r="BK166" s="170"/>
      <c r="BL166" s="173"/>
      <c r="BM166" s="164" t="str">
        <f aca="false">IF($BL166="","",YEAR($BL166))</f>
        <v/>
      </c>
      <c r="BN166" s="174" t="str">
        <f aca="false">IF($BL166="","",INDEX(PARAMETRES!$C$53:$C$65,MONTH($BL166)))</f>
        <v/>
      </c>
      <c r="BO166" s="111" t="str">
        <f aca="false">IF($BL166="","",INDEX(PARAMETRES!$B$53:$B$65,MONTH($BL166)))</f>
        <v/>
      </c>
      <c r="BP166" s="166" t="n">
        <f aca="false">IFERROR(INDEX(BUDGET!$AL$28:$AL$67,MATCH($B166,BUDGET!$A$28:$A$67,0)),"")</f>
        <v>0</v>
      </c>
      <c r="BQ166" s="166" t="str">
        <f aca="false">IF(OR($BP166="",$AG166=""),"",$BP166-$AG166)</f>
        <v/>
      </c>
      <c r="BR166" s="168" t="str">
        <f aca="false">IFERROR($AG166/INDEX(BUDGET!$AK$28:$AK$67,MATCH($B166,BUDGET!$A$28:$A$67,0)),"")</f>
        <v/>
      </c>
      <c r="BS166" s="164" t="str">
        <f aca="false">IF($V166="","",IF(AND($BP166&lt;&gt;"",$AG166&lt;&gt;"",$AG166&gt;$BP166),"Depassement budgetaire",IF(AND($AK166&lt;&gt;"Brouillon",$AK166&lt;&gt;"Annulee",$AK166&lt;&gt;"Rejetee",OR($BD166="Non",$BD166="")),"Pieces manquantes",IF(AND($AK166&lt;&gt;"Brouillon",OR($AR166="",$AR166="En attente")),"Depense non validee",IF(AND($AS166="Oui",$AW166&lt;&gt;"Oui"),"Engagement non paye",IF(AND($AW166="Non",$AK166="Validee"),"Paiement en attente",IF(AND($AY166&lt;&gt;"",$AZ166&gt;0),"Paiement partiel",IF(AND($AW166="Oui",$BG166&lt;&gt;"Oui"),"Rapprochement manquant",IF(AND($BF166="Oui",$AW166="Oui",$BG166="Oui"),"Dossier complet et paye","Normal")))))))))</f>
        <v/>
      </c>
      <c r="BT166" s="170"/>
      <c r="BU166" s="164" t="str">
        <f aca="false">IF($E166="","",COUNTIFS($E$119:E166,$E166))</f>
        <v/>
      </c>
      <c r="BV166" s="164" t="str">
        <f aca="false">IF($D166="","",COUNTIFS($D$119:D166,$D166))</f>
        <v/>
      </c>
    </row>
    <row r="167" customFormat="false" ht="15" hidden="false" customHeight="true" outlineLevel="0" collapsed="false">
      <c r="A167" s="164" t="str">
        <f aca="false">IF($V167="","","DEP"&amp;TEXT(ROW()-118,"00000"))</f>
        <v/>
      </c>
      <c r="B167" s="169"/>
      <c r="C167" s="167" t="str">
        <f aca="false">IF($B167="","",IFERROR(INDEX(BUDGET!$T$28:$T$67,MATCH($B167,BUDGET!$A$28:$A$67,0)),""))</f>
        <v/>
      </c>
      <c r="D167" s="167" t="str">
        <f aca="false">IF($B167="","",IFERROR(INDEX(BUDGET!$S$28:$S$67,MATCH($B167,BUDGET!$A$28:$A$67,0)),""))</f>
        <v/>
      </c>
      <c r="E167" s="169"/>
      <c r="F167" s="167" t="str">
        <f aca="false">IF($E167="","",IFERROR(INDEX(PROJETS!$C$56:$C$95,MATCH($E167,PROJETS!$A$56:$A$95,0)),""))</f>
        <v/>
      </c>
      <c r="G167" s="167" t="str">
        <f aca="false">IF($E167="","",IFERROR(INDEX(PROJETS!$J$56:$J$95,MATCH($E167,PROJETS!$A$56:$A$95,0)),""))</f>
        <v/>
      </c>
      <c r="H167" s="167" t="str">
        <f aca="false">IF($E167="","",IFERROR(INDEX(PROJETS!$N$56:$N$95,MATCH($E167,PROJETS!$A$56:$A$95,0)),""))</f>
        <v/>
      </c>
      <c r="I167" s="169"/>
      <c r="J167" s="167" t="str">
        <f aca="false">IF($I167="","",IFERROR(INDEX(ACTIVITES!$G$56:$G$105,MATCH($I167,ACTIVITES!$A$56:$A$105,0)),""))</f>
        <v/>
      </c>
      <c r="K167" s="169"/>
      <c r="L167" s="167" t="str">
        <f aca="false">IF($K167="","",IFERROR(INDEX(DONATEURS!$B$56:$B$205,MATCH($K167,DONATEURS!$A$56:$A$205,0)),""))</f>
        <v/>
      </c>
      <c r="M167" s="170"/>
      <c r="N167" s="170"/>
      <c r="O167" s="169"/>
      <c r="P167" s="169"/>
      <c r="Q167" s="169"/>
      <c r="R167" s="170"/>
      <c r="S167" s="169"/>
      <c r="T167" s="169"/>
      <c r="U167" s="170"/>
      <c r="V167" s="170"/>
      <c r="W167" s="170"/>
      <c r="X167" s="171"/>
      <c r="Y167" s="169"/>
      <c r="Z167" s="171"/>
      <c r="AA167" s="166" t="str">
        <f aca="false">IF(OR($X167="",$Z167=""),"",$X167*$Z167)</f>
        <v/>
      </c>
      <c r="AB167" s="171"/>
      <c r="AC167" s="171"/>
      <c r="AD167" s="166" t="str">
        <f aca="false">IF($AA167="","",$AA167+IF($AB167="",0,$AB167)+IF($AC167="",0,$AC167))</f>
        <v/>
      </c>
      <c r="AE167" s="169"/>
      <c r="AF167" s="172"/>
      <c r="AG167" s="166" t="str">
        <f aca="false">IF($AD167="","",IF(OR($AE167="FCFA",$AE167=""),$AD167,$AD167*IF($AF167="",1,$AF167)))</f>
        <v/>
      </c>
      <c r="AH167" s="169"/>
      <c r="AI167" s="170"/>
      <c r="AJ167" s="170"/>
      <c r="AK167" s="169"/>
      <c r="AL167" s="170"/>
      <c r="AM167" s="170"/>
      <c r="AN167" s="173"/>
      <c r="AO167" s="170"/>
      <c r="AP167" s="170"/>
      <c r="AQ167" s="173"/>
      <c r="AR167" s="169"/>
      <c r="AS167" s="169"/>
      <c r="AT167" s="173"/>
      <c r="AU167" s="171"/>
      <c r="AV167" s="170"/>
      <c r="AW167" s="169"/>
      <c r="AX167" s="173"/>
      <c r="AY167" s="171"/>
      <c r="AZ167" s="166" t="str">
        <f aca="false">IF($AG167="","",MAX($AG167-IF($AY167="",0,$AY167),0))</f>
        <v/>
      </c>
      <c r="BA167" s="169"/>
      <c r="BB167" s="170"/>
      <c r="BC167" s="173"/>
      <c r="BD167" s="169"/>
      <c r="BE167" s="170"/>
      <c r="BF167" s="164" t="str">
        <f aca="false">IF($V167="","",IF($BD167="Oui","Oui","Non"))</f>
        <v/>
      </c>
      <c r="BG167" s="169"/>
      <c r="BH167" s="173"/>
      <c r="BI167" s="170"/>
      <c r="BJ167" s="170"/>
      <c r="BK167" s="170"/>
      <c r="BL167" s="173"/>
      <c r="BM167" s="164" t="str">
        <f aca="false">IF($BL167="","",YEAR($BL167))</f>
        <v/>
      </c>
      <c r="BN167" s="174" t="str">
        <f aca="false">IF($BL167="","",INDEX(PARAMETRES!$C$53:$C$65,MONTH($BL167)))</f>
        <v/>
      </c>
      <c r="BO167" s="111" t="str">
        <f aca="false">IF($BL167="","",INDEX(PARAMETRES!$B$53:$B$65,MONTH($BL167)))</f>
        <v/>
      </c>
      <c r="BP167" s="166" t="n">
        <f aca="false">IFERROR(INDEX(BUDGET!$AL$28:$AL$67,MATCH($B167,BUDGET!$A$28:$A$67,0)),"")</f>
        <v>0</v>
      </c>
      <c r="BQ167" s="166" t="str">
        <f aca="false">IF(OR($BP167="",$AG167=""),"",$BP167-$AG167)</f>
        <v/>
      </c>
      <c r="BR167" s="168" t="str">
        <f aca="false">IFERROR($AG167/INDEX(BUDGET!$AK$28:$AK$67,MATCH($B167,BUDGET!$A$28:$A$67,0)),"")</f>
        <v/>
      </c>
      <c r="BS167" s="164" t="str">
        <f aca="false">IF($V167="","",IF(AND($BP167&lt;&gt;"",$AG167&lt;&gt;"",$AG167&gt;$BP167),"Depassement budgetaire",IF(AND($AK167&lt;&gt;"Brouillon",$AK167&lt;&gt;"Annulee",$AK167&lt;&gt;"Rejetee",OR($BD167="Non",$BD167="")),"Pieces manquantes",IF(AND($AK167&lt;&gt;"Brouillon",OR($AR167="",$AR167="En attente")),"Depense non validee",IF(AND($AS167="Oui",$AW167&lt;&gt;"Oui"),"Engagement non paye",IF(AND($AW167="Non",$AK167="Validee"),"Paiement en attente",IF(AND($AY167&lt;&gt;"",$AZ167&gt;0),"Paiement partiel",IF(AND($AW167="Oui",$BG167&lt;&gt;"Oui"),"Rapprochement manquant",IF(AND($BF167="Oui",$AW167="Oui",$BG167="Oui"),"Dossier complet et paye","Normal")))))))))</f>
        <v/>
      </c>
      <c r="BT167" s="170"/>
      <c r="BU167" s="164" t="str">
        <f aca="false">IF($E167="","",COUNTIFS($E$119:E167,$E167))</f>
        <v/>
      </c>
      <c r="BV167" s="164" t="str">
        <f aca="false">IF($D167="","",COUNTIFS($D$119:D167,$D167))</f>
        <v/>
      </c>
    </row>
    <row r="168" customFormat="false" ht="15" hidden="false" customHeight="true" outlineLevel="0" collapsed="false">
      <c r="A168" s="164" t="str">
        <f aca="false">IF($V168="","","DEP"&amp;TEXT(ROW()-118,"00000"))</f>
        <v/>
      </c>
      <c r="B168" s="169"/>
      <c r="C168" s="167" t="str">
        <f aca="false">IF($B168="","",IFERROR(INDEX(BUDGET!$T$28:$T$67,MATCH($B168,BUDGET!$A$28:$A$67,0)),""))</f>
        <v/>
      </c>
      <c r="D168" s="167" t="str">
        <f aca="false">IF($B168="","",IFERROR(INDEX(BUDGET!$S$28:$S$67,MATCH($B168,BUDGET!$A$28:$A$67,0)),""))</f>
        <v/>
      </c>
      <c r="E168" s="169"/>
      <c r="F168" s="167" t="str">
        <f aca="false">IF($E168="","",IFERROR(INDEX(PROJETS!$C$56:$C$95,MATCH($E168,PROJETS!$A$56:$A$95,0)),""))</f>
        <v/>
      </c>
      <c r="G168" s="167" t="str">
        <f aca="false">IF($E168="","",IFERROR(INDEX(PROJETS!$J$56:$J$95,MATCH($E168,PROJETS!$A$56:$A$95,0)),""))</f>
        <v/>
      </c>
      <c r="H168" s="167" t="str">
        <f aca="false">IF($E168="","",IFERROR(INDEX(PROJETS!$N$56:$N$95,MATCH($E168,PROJETS!$A$56:$A$95,0)),""))</f>
        <v/>
      </c>
      <c r="I168" s="169"/>
      <c r="J168" s="167" t="str">
        <f aca="false">IF($I168="","",IFERROR(INDEX(ACTIVITES!$G$56:$G$105,MATCH($I168,ACTIVITES!$A$56:$A$105,0)),""))</f>
        <v/>
      </c>
      <c r="K168" s="169"/>
      <c r="L168" s="167" t="str">
        <f aca="false">IF($K168="","",IFERROR(INDEX(DONATEURS!$B$56:$B$205,MATCH($K168,DONATEURS!$A$56:$A$205,0)),""))</f>
        <v/>
      </c>
      <c r="M168" s="170"/>
      <c r="N168" s="170"/>
      <c r="O168" s="169"/>
      <c r="P168" s="169"/>
      <c r="Q168" s="169"/>
      <c r="R168" s="170"/>
      <c r="S168" s="169"/>
      <c r="T168" s="169"/>
      <c r="U168" s="170"/>
      <c r="V168" s="170"/>
      <c r="W168" s="170"/>
      <c r="X168" s="171"/>
      <c r="Y168" s="169"/>
      <c r="Z168" s="171"/>
      <c r="AA168" s="166" t="str">
        <f aca="false">IF(OR($X168="",$Z168=""),"",$X168*$Z168)</f>
        <v/>
      </c>
      <c r="AB168" s="171"/>
      <c r="AC168" s="171"/>
      <c r="AD168" s="166" t="str">
        <f aca="false">IF($AA168="","",$AA168+IF($AB168="",0,$AB168)+IF($AC168="",0,$AC168))</f>
        <v/>
      </c>
      <c r="AE168" s="169"/>
      <c r="AF168" s="172"/>
      <c r="AG168" s="166" t="str">
        <f aca="false">IF($AD168="","",IF(OR($AE168="FCFA",$AE168=""),$AD168,$AD168*IF($AF168="",1,$AF168)))</f>
        <v/>
      </c>
      <c r="AH168" s="169"/>
      <c r="AI168" s="170"/>
      <c r="AJ168" s="170"/>
      <c r="AK168" s="169"/>
      <c r="AL168" s="170"/>
      <c r="AM168" s="170"/>
      <c r="AN168" s="173"/>
      <c r="AO168" s="170"/>
      <c r="AP168" s="170"/>
      <c r="AQ168" s="173"/>
      <c r="AR168" s="169"/>
      <c r="AS168" s="169"/>
      <c r="AT168" s="173"/>
      <c r="AU168" s="171"/>
      <c r="AV168" s="170"/>
      <c r="AW168" s="169"/>
      <c r="AX168" s="173"/>
      <c r="AY168" s="171"/>
      <c r="AZ168" s="166" t="str">
        <f aca="false">IF($AG168="","",MAX($AG168-IF($AY168="",0,$AY168),0))</f>
        <v/>
      </c>
      <c r="BA168" s="169"/>
      <c r="BB168" s="170"/>
      <c r="BC168" s="173"/>
      <c r="BD168" s="169"/>
      <c r="BE168" s="170"/>
      <c r="BF168" s="164" t="str">
        <f aca="false">IF($V168="","",IF($BD168="Oui","Oui","Non"))</f>
        <v/>
      </c>
      <c r="BG168" s="169"/>
      <c r="BH168" s="173"/>
      <c r="BI168" s="170"/>
      <c r="BJ168" s="170"/>
      <c r="BK168" s="170"/>
      <c r="BL168" s="173"/>
      <c r="BM168" s="164" t="str">
        <f aca="false">IF($BL168="","",YEAR($BL168))</f>
        <v/>
      </c>
      <c r="BN168" s="174" t="str">
        <f aca="false">IF($BL168="","",INDEX(PARAMETRES!$C$53:$C$65,MONTH($BL168)))</f>
        <v/>
      </c>
      <c r="BO168" s="111" t="str">
        <f aca="false">IF($BL168="","",INDEX(PARAMETRES!$B$53:$B$65,MONTH($BL168)))</f>
        <v/>
      </c>
      <c r="BP168" s="166" t="n">
        <f aca="false">IFERROR(INDEX(BUDGET!$AL$28:$AL$67,MATCH($B168,BUDGET!$A$28:$A$67,0)),"")</f>
        <v>0</v>
      </c>
      <c r="BQ168" s="166" t="str">
        <f aca="false">IF(OR($BP168="",$AG168=""),"",$BP168-$AG168)</f>
        <v/>
      </c>
      <c r="BR168" s="168" t="str">
        <f aca="false">IFERROR($AG168/INDEX(BUDGET!$AK$28:$AK$67,MATCH($B168,BUDGET!$A$28:$A$67,0)),"")</f>
        <v/>
      </c>
      <c r="BS168" s="164" t="str">
        <f aca="false">IF($V168="","",IF(AND($BP168&lt;&gt;"",$AG168&lt;&gt;"",$AG168&gt;$BP168),"Depassement budgetaire",IF(AND($AK168&lt;&gt;"Brouillon",$AK168&lt;&gt;"Annulee",$AK168&lt;&gt;"Rejetee",OR($BD168="Non",$BD168="")),"Pieces manquantes",IF(AND($AK168&lt;&gt;"Brouillon",OR($AR168="",$AR168="En attente")),"Depense non validee",IF(AND($AS168="Oui",$AW168&lt;&gt;"Oui"),"Engagement non paye",IF(AND($AW168="Non",$AK168="Validee"),"Paiement en attente",IF(AND($AY168&lt;&gt;"",$AZ168&gt;0),"Paiement partiel",IF(AND($AW168="Oui",$BG168&lt;&gt;"Oui"),"Rapprochement manquant",IF(AND($BF168="Oui",$AW168="Oui",$BG168="Oui"),"Dossier complet et paye","Normal")))))))))</f>
        <v/>
      </c>
      <c r="BT168" s="170"/>
      <c r="BU168" s="164" t="str">
        <f aca="false">IF($E168="","",COUNTIFS($E$119:E168,$E168))</f>
        <v/>
      </c>
      <c r="BV168" s="164" t="str">
        <f aca="false">IF($D168="","",COUNTIFS($D$119:D168,$D168))</f>
        <v/>
      </c>
    </row>
  </sheetData>
  <mergeCells count="10">
    <mergeCell ref="A1:P1"/>
    <mergeCell ref="A2:U2"/>
    <mergeCell ref="A4:U4"/>
    <mergeCell ref="A6:I6"/>
    <mergeCell ref="A10:P10"/>
    <mergeCell ref="A43:C43"/>
    <mergeCell ref="A56:F56"/>
    <mergeCell ref="A79:E79"/>
    <mergeCell ref="A102:C102"/>
    <mergeCell ref="A117:BV117"/>
  </mergeCells>
  <conditionalFormatting sqref="BS119:BS168">
    <cfRule type="cellIs" priority="2" operator="equal" aboveAverage="0" equalAverage="0" bottom="0" percent="0" rank="0" text="" dxfId="26">
      <formula>"Depassement budgetaire"</formula>
    </cfRule>
    <cfRule type="cellIs" priority="3" operator="equal" aboveAverage="0" equalAverage="0" bottom="0" percent="0" rank="0" text="" dxfId="26">
      <formula>"Pieces manquantes"</formula>
    </cfRule>
    <cfRule type="cellIs" priority="4" operator="equal" aboveAverage="0" equalAverage="0" bottom="0" percent="0" rank="0" text="" dxfId="26">
      <formula>"Depense non validee"</formula>
    </cfRule>
    <cfRule type="cellIs" priority="5" operator="equal" aboveAverage="0" equalAverage="0" bottom="0" percent="0" rank="0" text="" dxfId="26">
      <formula>"Engagement non paye"</formula>
    </cfRule>
    <cfRule type="cellIs" priority="6" operator="equal" aboveAverage="0" equalAverage="0" bottom="0" percent="0" rank="0" text="" dxfId="26">
      <formula>"Paiement en attente"</formula>
    </cfRule>
    <cfRule type="cellIs" priority="7" operator="equal" aboveAverage="0" equalAverage="0" bottom="0" percent="0" rank="0" text="" dxfId="25">
      <formula>"Paiement partiel"</formula>
    </cfRule>
    <cfRule type="cellIs" priority="8" operator="equal" aboveAverage="0" equalAverage="0" bottom="0" percent="0" rank="0" text="" dxfId="25">
      <formula>"Rapprochement manquant"</formula>
    </cfRule>
    <cfRule type="cellIs" priority="9" operator="equal" aboveAverage="0" equalAverage="0" bottom="0" percent="0" rank="0" text="" dxfId="24">
      <formula>"Normal"</formula>
    </cfRule>
    <cfRule type="cellIs" priority="10" operator="equal" aboveAverage="0" equalAverage="0" bottom="0" percent="0" rank="0" text="" dxfId="24">
      <formula>"Dossier complet et paye"</formula>
    </cfRule>
  </conditionalFormatting>
  <conditionalFormatting sqref="BQ119:BQ168">
    <cfRule type="cellIs" priority="11" operator="lessThan" aboveAverage="0" equalAverage="0" bottom="0" percent="0" rank="0" text="" dxfId="26">
      <formula>0</formula>
    </cfRule>
  </conditionalFormatting>
  <dataValidations count="17">
    <dataValidation allowBlank="true" errorStyle="stop" operator="greaterThanOrEqual" showDropDown="false" showErrorMessage="false" showInputMessage="false" sqref="X119:X168 Z119:Z168 AB119:AC168 AF119:AF168 AU119:AU168 AY119:AY168" type="decimal">
      <formula1>0</formula1>
      <formula2>0</formula2>
    </dataValidation>
    <dataValidation allowBlank="true" errorStyle="stop" operator="between" showDropDown="false" showErrorMessage="false" showInputMessage="false" sqref="B119:B168" type="list">
      <formula1>Liste_BudgetLignesID</formula1>
      <formula2>0</formula2>
    </dataValidation>
    <dataValidation allowBlank="true" errorStyle="stop" operator="between" showDropDown="false" showErrorMessage="false" showInputMessage="false" sqref="E119:E168" type="list">
      <formula1>Liste_ActivitesIDProjets</formula1>
      <formula2>0</formula2>
    </dataValidation>
    <dataValidation allowBlank="true" errorStyle="stop" operator="between" showDropDown="false" showErrorMessage="false" showInputMessage="false" sqref="I119:I168" type="list">
      <formula1>Liste_ActivitesID</formula1>
      <formula2>0</formula2>
    </dataValidation>
    <dataValidation allowBlank="true" errorStyle="stop" operator="between" showDropDown="false" showErrorMessage="false" showInputMessage="false" sqref="K119:K168" type="list">
      <formula1>Liste_DonateursID</formula1>
      <formula2>0</formula2>
    </dataValidation>
    <dataValidation allowBlank="true" errorStyle="stop" operator="between" showDropDown="false" showErrorMessage="false" showInputMessage="false" sqref="O119:O168" type="list">
      <formula1>Liste_SourcesFinancement</formula1>
      <formula2>0</formula2>
    </dataValidation>
    <dataValidation allowBlank="true" errorStyle="stop" operator="between" showDropDown="false" showErrorMessage="false" showInputMessage="false" sqref="P119:P168" type="list">
      <formula1>Liste_CategoriesDepenses</formula1>
      <formula2>0</formula2>
    </dataValidation>
    <dataValidation allowBlank="true" errorStyle="stop" operator="between" showDropDown="false" showErrorMessage="false" showInputMessage="false" sqref="Q119:Q168" type="list">
      <formula1>"Administration,Projet,Programme,Activite,Fonctionnement,Investissement,Autre"</formula1>
      <formula2>0</formula2>
    </dataValidation>
    <dataValidation allowBlank="true" errorStyle="stop" operator="between" showDropDown="false" showErrorMessage="false" showInputMessage="false" sqref="S119:S168" type="list">
      <formula1>"Fournisseur,Prestataire,Employe,Consultant,Partenaire,Institution,Autre"</formula1>
      <formula2>0</formula2>
    </dataValidation>
    <dataValidation allowBlank="true" errorStyle="stop" operator="between" showDropDown="false" showErrorMessage="false" showInputMessage="false" sqref="Y119:Y168" type="list">
      <formula1>Liste_UnitesMesure</formula1>
      <formula2>0</formula2>
    </dataValidation>
    <dataValidation allowBlank="true" errorStyle="stop" operator="between" showDropDown="false" showErrorMessage="false" showInputMessage="false" sqref="AE119:AE168" type="list">
      <formula1>"FCFA,EUR,USD,GBP,Autre"</formula1>
      <formula2>0</formula2>
    </dataValidation>
    <dataValidation allowBlank="true" errorStyle="stop" operator="between" showDropDown="false" showErrorMessage="false" showInputMessage="false" sqref="AH119:AH168" type="list">
      <formula1>Liste_ModesPaiement</formula1>
      <formula2>0</formula2>
    </dataValidation>
    <dataValidation allowBlank="true" errorStyle="stop" operator="between" showDropDown="false" showErrorMessage="false" showInputMessage="false" sqref="AK119:AK168" type="list">
      <formula1>"Brouillon,Demande soumise,En validation,Validee,Engagee,Partiellement payee,Payee,Rejetee,Annulee,Rapprochee"</formula1>
      <formula2>0</formula2>
    </dataValidation>
    <dataValidation allowBlank="true" errorStyle="stop" operator="between" showDropDown="false" showErrorMessage="false" showInputMessage="false" sqref="AR119:AR168" type="list">
      <formula1>"Approuvee,Refusee,A corriger,En attente"</formula1>
      <formula2>0</formula2>
    </dataValidation>
    <dataValidation allowBlank="true" errorStyle="stop" operator="between" showDropDown="false" showErrorMessage="false" showInputMessage="false" sqref="AS119:AS168 AW119:AW168 BD119:BD168 BG119:BG168" type="list">
      <formula1>"Oui,Non"</formula1>
      <formula2>0</formula2>
    </dataValidation>
    <dataValidation allowBlank="true" errorStyle="stop" operator="between" showDropDown="false" showErrorMessage="false" showInputMessage="false" sqref="BA119:BA168" type="list">
      <formula1>"Facture,Recu,Bon de commande,Bon de livraison,Contrat,Proces-verbal,Note de frais,Ordre de mission,Preuve de paiement,Autre"</formula1>
      <formula2>0</formula2>
    </dataValidation>
    <dataValidation allowBlank="true" errorStyle="stop" operator="between" showDropDown="false" showErrorMessage="true" showInputMessage="true" sqref="I8" type="list">
      <formula1>Liste_AnneesFiltre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483"/>
  <sheetViews>
    <sheetView showFormulas="false" showGridLines="false" showRowColHeaders="true" showZeros="true" rightToLeft="false" tabSelected="false" showOutlineSymbols="true" defaultGridColor="true" view="normal" topLeftCell="A22" colorId="64" zoomScale="100" zoomScaleNormal="100" zoomScalePageLayoutView="100" workbookViewId="0">
      <selection pane="topLeft" activeCell="F179" activeCellId="0" sqref="F179"/>
    </sheetView>
  </sheetViews>
  <sheetFormatPr defaultColWidth="9.1484375" defaultRowHeight="15" customHeight="true" zeroHeight="false" outlineLevelRow="0" outlineLevelCol="0"/>
  <cols>
    <col collapsed="false" customWidth="true" hidden="false" outlineLevel="0" max="1" min="1" style="1" width="12"/>
    <col collapsed="false" customWidth="true" hidden="false" outlineLevel="0" max="4" min="2" style="1" width="16"/>
    <col collapsed="false" customWidth="true" hidden="false" outlineLevel="0" max="5" min="5" style="1" width="26"/>
    <col collapsed="false" customWidth="true" hidden="false" outlineLevel="0" max="6" min="6" style="1" width="12"/>
    <col collapsed="false" customWidth="true" hidden="false" outlineLevel="0" max="7" min="7" style="1" width="14"/>
    <col collapsed="false" customWidth="true" hidden="false" outlineLevel="0" max="8" min="8" style="1" width="8"/>
    <col collapsed="false" customWidth="true" hidden="false" outlineLevel="0" max="10" min="9" style="1" width="14"/>
    <col collapsed="false" customWidth="true" hidden="false" outlineLevel="0" max="11" min="11" style="1" width="16"/>
    <col collapsed="false" customWidth="true" hidden="false" outlineLevel="0" max="13" min="12" style="1" width="22"/>
    <col collapsed="false" customWidth="true" hidden="false" outlineLevel="0" max="14" min="14" style="1" width="14"/>
    <col collapsed="false" customWidth="true" hidden="false" outlineLevel="0" max="15" min="15" style="1" width="18"/>
    <col collapsed="false" customWidth="true" hidden="false" outlineLevel="0" max="16" min="16" style="1" width="14"/>
    <col collapsed="false" customWidth="true" hidden="false" outlineLevel="0" max="17" min="17" style="1" width="20"/>
    <col collapsed="false" customWidth="true" hidden="false" outlineLevel="0" max="18" min="18" style="1" width="22"/>
    <col collapsed="false" customWidth="true" hidden="false" outlineLevel="0" max="19" min="19" style="1" width="26"/>
    <col collapsed="false" customWidth="true" hidden="false" outlineLevel="0" max="21" min="20" style="1" width="18"/>
    <col collapsed="false" customWidth="true" hidden="false" outlineLevel="0" max="22" min="22" style="1" width="14"/>
    <col collapsed="false" customWidth="true" hidden="false" outlineLevel="0" max="23" min="23" style="1" width="12"/>
    <col collapsed="false" customWidth="true" hidden="false" outlineLevel="0" max="26" min="24" style="1" width="16"/>
    <col collapsed="false" customWidth="true" hidden="false" outlineLevel="0" max="29" min="27" style="1" width="14"/>
    <col collapsed="false" customWidth="true" hidden="false" outlineLevel="0" max="30" min="30" style="1" width="12"/>
    <col collapsed="false" customWidth="true" hidden="false" outlineLevel="0" max="32" min="31" style="1" width="18"/>
    <col collapsed="false" customWidth="true" hidden="false" outlineLevel="0" max="33" min="33" style="1" width="10"/>
    <col collapsed="false" customWidth="true" hidden="false" outlineLevel="0" max="34" min="34" style="1" width="16"/>
    <col collapsed="false" customWidth="true" hidden="false" outlineLevel="0" max="36" min="35" style="1" width="14"/>
    <col collapsed="false" customWidth="true" hidden="false" outlineLevel="0" max="37" min="37" style="1" width="16"/>
    <col collapsed="false" customWidth="true" hidden="false" outlineLevel="0" max="38" min="38" style="1" width="18"/>
    <col collapsed="false" customWidth="true" hidden="false" outlineLevel="0" max="40" min="39" style="1" width="16"/>
    <col collapsed="false" customWidth="true" hidden="false" outlineLevel="0" max="41" min="41" style="1" width="14"/>
    <col collapsed="false" customWidth="true" hidden="false" outlineLevel="0" max="42" min="42" style="1" width="16"/>
    <col collapsed="false" customWidth="true" hidden="false" outlineLevel="0" max="43" min="43" style="1" width="26"/>
  </cols>
  <sheetData>
    <row r="1" customFormat="false" ht="25.5" hidden="false" customHeight="true" outlineLevel="0" collapsed="false">
      <c r="A1" s="47" t="s">
        <v>2241</v>
      </c>
      <c r="B1" s="47"/>
      <c r="C1" s="47"/>
      <c r="D1" s="47"/>
      <c r="E1" s="47"/>
      <c r="F1" s="47"/>
      <c r="G1" s="47"/>
      <c r="H1" s="47"/>
      <c r="I1" s="47"/>
      <c r="J1" s="47"/>
      <c r="K1" s="47"/>
      <c r="L1" s="47"/>
      <c r="M1" s="47"/>
      <c r="N1" s="47"/>
      <c r="O1" s="47"/>
      <c r="P1" s="47"/>
      <c r="Q1" s="33" t="s">
        <v>1444</v>
      </c>
      <c r="R1" s="33" t="s">
        <v>1683</v>
      </c>
      <c r="S1" s="33" t="s">
        <v>1777</v>
      </c>
      <c r="T1" s="33" t="s">
        <v>2100</v>
      </c>
      <c r="U1" s="33" t="s">
        <v>2242</v>
      </c>
    </row>
    <row r="2" customFormat="false" ht="15" hidden="false" customHeight="true" outlineLevel="0" collapsed="false">
      <c r="A2" s="49" t="s">
        <v>2243</v>
      </c>
      <c r="B2" s="49"/>
      <c r="C2" s="49"/>
      <c r="D2" s="49"/>
      <c r="E2" s="49"/>
      <c r="F2" s="49"/>
      <c r="G2" s="49"/>
      <c r="H2" s="49"/>
      <c r="I2" s="49"/>
      <c r="J2" s="49"/>
      <c r="K2" s="49"/>
      <c r="L2" s="49"/>
      <c r="M2" s="49"/>
      <c r="N2" s="49"/>
      <c r="O2" s="49"/>
      <c r="P2" s="49"/>
      <c r="Q2" s="49"/>
      <c r="R2" s="49"/>
    </row>
    <row r="3" customFormat="false" ht="15" hidden="false" customHeight="true" outlineLevel="0" collapsed="false">
      <c r="A3" s="175" t="s">
        <v>1442</v>
      </c>
      <c r="C3" s="176" t="n">
        <f aca="true">TODAY()</f>
        <v>46266</v>
      </c>
    </row>
    <row r="4" customFormat="false" ht="15" hidden="false" customHeight="true" outlineLevel="0" collapsed="false">
      <c r="A4" s="177" t="s">
        <v>2244</v>
      </c>
      <c r="B4" s="177"/>
      <c r="C4" s="177"/>
      <c r="D4" s="177"/>
      <c r="E4" s="177"/>
      <c r="F4" s="177"/>
      <c r="G4" s="177"/>
      <c r="H4" s="177"/>
      <c r="I4" s="177"/>
      <c r="J4" s="177"/>
      <c r="K4" s="177"/>
      <c r="L4" s="177"/>
      <c r="M4" s="177"/>
      <c r="N4" s="177"/>
      <c r="O4" s="177"/>
      <c r="P4" s="177"/>
      <c r="Q4" s="177"/>
      <c r="R4" s="177"/>
    </row>
    <row r="6" customFormat="false" ht="15.75" hidden="false" customHeight="true" outlineLevel="0" collapsed="false">
      <c r="A6" s="55" t="s">
        <v>2245</v>
      </c>
      <c r="B6" s="55"/>
      <c r="C6" s="55"/>
      <c r="D6" s="55"/>
      <c r="E6" s="55"/>
      <c r="F6" s="55"/>
      <c r="G6" s="55"/>
      <c r="H6" s="55"/>
      <c r="I6" s="55"/>
      <c r="J6" s="55"/>
      <c r="K6" s="55"/>
      <c r="L6" s="55"/>
      <c r="M6" s="55"/>
      <c r="N6" s="55"/>
      <c r="O6" s="55"/>
      <c r="P6" s="55"/>
      <c r="Q6" s="55"/>
      <c r="R6" s="55"/>
    </row>
    <row r="7" customFormat="false" ht="24" hidden="false" customHeight="true" outlineLevel="0" collapsed="false">
      <c r="A7" s="85" t="s">
        <v>2246</v>
      </c>
      <c r="B7" s="85" t="s">
        <v>1455</v>
      </c>
      <c r="C7" s="85" t="s">
        <v>2247</v>
      </c>
      <c r="D7" s="85" t="s">
        <v>2248</v>
      </c>
      <c r="E7" s="85" t="s">
        <v>2249</v>
      </c>
      <c r="F7" s="85" t="s">
        <v>2250</v>
      </c>
      <c r="G7" s="85" t="s">
        <v>1344</v>
      </c>
      <c r="H7" s="85" t="s">
        <v>1338</v>
      </c>
      <c r="I7" s="85" t="s">
        <v>1340</v>
      </c>
      <c r="J7" s="85" t="s">
        <v>2251</v>
      </c>
      <c r="K7" s="85" t="s">
        <v>2252</v>
      </c>
      <c r="L7" s="85" t="s">
        <v>2003</v>
      </c>
    </row>
    <row r="8" customFormat="false" ht="15" hidden="false" customHeight="true" outlineLevel="0" collapsed="false">
      <c r="A8" s="178" t="e">
        <f aca="false">IF($L$8="Total",COUNTIF($A$27:$A$76,"RH*"),COUNTIFS($A$27:$A$76,"RH*",$W$27:$W$76,VALUE($L$8)))</f>
        <v>#VALUE!</v>
      </c>
      <c r="B8" s="178" t="e">
        <f aca="false">IF($L$8="Total",COUNTIFS($A$27:$A$76,"RH*",$P$27:$P$76,"Actif"),COUNTIFS($A$27:$A$76,"RH*",$P$27:$P$76,"Actif",$W$27:$W$76,VALUE($L$8)))</f>
        <v>#VALUE!</v>
      </c>
      <c r="C8" s="178" t="e">
        <f aca="false">IF($L$8="Total",COUNTIFS($Y$27:$Y$76,"CDI"),COUNTIFS($Y$27:$Y$76,"CDI",$W$27:$W$76,VALUE($L$8)))</f>
        <v>#VALUE!</v>
      </c>
      <c r="D8" s="178" t="e">
        <f aca="false">IF($L$8="Total",COUNTIFS($Y$27:$Y$76,"CDD"),COUNTIFS($Y$27:$Y$76,"CDD",$W$27:$W$76,VALUE($L$8)))</f>
        <v>#VALUE!</v>
      </c>
      <c r="E8" s="178" t="e">
        <f aca="false">IF($L$8="Total",COUNTIFS($Y$27:$Y$76,"Consultant")+COUNTIFS($Y$27:$Y$76,"Prestataire"),COUNTIFS($Y$27:$Y$76,"Consultant",$W$27:$W$76,VALUE($L$8))+COUNTIFS($Y$27:$Y$76,"Prestataire",$W$27:$W$76,VALUE($L$8)))</f>
        <v>#VALUE!</v>
      </c>
      <c r="F8" s="178" t="e">
        <f aca="false">IF($L$8="Total",COUNTIFS($Y$27:$Y$76,"Benevolat")+COUNTIFS($Y$27:$Y$76,"Volontariat"),COUNTIFS($Y$27:$Y$76,"Benevolat",$W$27:$W$76,VALUE($L$8))+COUNTIFS($Y$27:$Y$76,"Volontariat",$W$27:$W$76,VALUE($L$8)))</f>
        <v>#VALUE!</v>
      </c>
      <c r="G8" s="178" t="e">
        <f aca="false">IF($L$8="Total",COUNTIFS($Y$27:$Y$76,"Stage"),COUNTIFS($Y$27:$Y$76,"Stage",$W$27:$W$76,VALUE($L$8)))</f>
        <v>#VALUE!</v>
      </c>
      <c r="H8" s="178" t="e">
        <f aca="false">IF($L$8="Total",COUNTIFS($F$27:$F$76,"Masculin"),COUNTIFS($F$27:$F$76,"Masculin",$W$27:$W$76,VALUE($L$8)))</f>
        <v>#VALUE!</v>
      </c>
      <c r="I8" s="178" t="e">
        <f aca="false">IF($L$8="Total",COUNTIFS($F$27:$F$76,"Feminin"),COUNTIFS($F$27:$F$76,"Feminin",$W$27:$W$76,VALUE($L$8)))</f>
        <v>#VALUE!</v>
      </c>
      <c r="J8" s="178" t="n">
        <f aca="true">COUNTIFS($V$27:$V$76,"&gt;="&amp;EDATE(TODAY(),-12),$V$27:$V$76,"&lt;="&amp;TODAY())</f>
        <v>0</v>
      </c>
      <c r="K8" s="178" t="n">
        <f aca="false">COUNTIFS($AE$27:$AE$76,"A renouveler bientot")</f>
        <v>0</v>
      </c>
      <c r="L8" s="86" t="s">
        <v>2253</v>
      </c>
    </row>
    <row r="10" customFormat="false" ht="15.75" hidden="false" customHeight="true" outlineLevel="0" collapsed="false">
      <c r="A10" s="24" t="s">
        <v>1566</v>
      </c>
      <c r="B10" s="24"/>
      <c r="C10" s="24"/>
      <c r="D10" s="24"/>
      <c r="E10" s="24"/>
      <c r="F10" s="24"/>
      <c r="G10" s="24"/>
      <c r="H10" s="24"/>
      <c r="I10" s="24"/>
      <c r="J10" s="24"/>
      <c r="K10" s="24"/>
      <c r="L10" s="24"/>
      <c r="M10" s="24"/>
      <c r="N10" s="24"/>
      <c r="O10" s="24"/>
      <c r="P10" s="24"/>
      <c r="Q10" s="24"/>
      <c r="R10" s="24"/>
    </row>
    <row r="11" customFormat="false" ht="15" hidden="false" customHeight="true" outlineLevel="0" collapsed="false">
      <c r="A11" s="25" t="s">
        <v>2254</v>
      </c>
      <c r="B11" s="25" t="s">
        <v>2112</v>
      </c>
      <c r="D11" s="25" t="s">
        <v>2255</v>
      </c>
      <c r="E11" s="25" t="s">
        <v>2112</v>
      </c>
      <c r="G11" s="25" t="s">
        <v>2256</v>
      </c>
      <c r="H11" s="25" t="s">
        <v>2112</v>
      </c>
      <c r="J11" s="25" t="s">
        <v>2257</v>
      </c>
      <c r="K11" s="25" t="s">
        <v>2112</v>
      </c>
    </row>
    <row r="12" customFormat="false" ht="15" hidden="false" customHeight="true" outlineLevel="0" collapsed="false">
      <c r="A12" s="60" t="s">
        <v>56</v>
      </c>
      <c r="B12" s="179" t="n">
        <f aca="false">COUNTIFS($P$27:$P$76,A12)</f>
        <v>0</v>
      </c>
      <c r="D12" s="60" t="s">
        <v>639</v>
      </c>
      <c r="E12" s="179" t="n">
        <f aca="false">COUNTIFS($Y$27:$Y$76,D12)</f>
        <v>0</v>
      </c>
      <c r="G12" s="60" t="s">
        <v>1110</v>
      </c>
      <c r="H12" s="179" t="n">
        <f aca="false">COUNTIFS($S$27:$S$76,G12)</f>
        <v>0</v>
      </c>
      <c r="J12" s="60" t="s">
        <v>2258</v>
      </c>
      <c r="K12" s="179" t="n">
        <f aca="false">COUNTIFS($AE$27:$AE$76,"Expire")</f>
        <v>0</v>
      </c>
    </row>
    <row r="13" customFormat="false" ht="15" hidden="false" customHeight="true" outlineLevel="0" collapsed="false">
      <c r="A13" s="60" t="s">
        <v>1099</v>
      </c>
      <c r="B13" s="179" t="n">
        <f aca="false">COUNTIFS($P$27:$P$76,A13)</f>
        <v>0</v>
      </c>
      <c r="D13" s="60" t="s">
        <v>641</v>
      </c>
      <c r="E13" s="179" t="n">
        <f aca="false">COUNTIFS($Y$27:$Y$76,D13)</f>
        <v>0</v>
      </c>
      <c r="G13" s="60" t="s">
        <v>1112</v>
      </c>
      <c r="H13" s="179" t="n">
        <f aca="false">COUNTIFS($S$27:$S$76,G13)</f>
        <v>0</v>
      </c>
      <c r="J13" s="60" t="s">
        <v>2252</v>
      </c>
      <c r="K13" s="179" t="n">
        <f aca="false">COUNTIFS($AE$27:$AE$76,"A renouveler bientot")</f>
        <v>0</v>
      </c>
    </row>
    <row r="14" customFormat="false" ht="15" hidden="false" customHeight="true" outlineLevel="0" collapsed="false">
      <c r="A14" s="60" t="s">
        <v>116</v>
      </c>
      <c r="B14" s="179" t="n">
        <f aca="false">COUNTIFS($P$27:$P$76,A14)</f>
        <v>0</v>
      </c>
      <c r="D14" s="60" t="s">
        <v>643</v>
      </c>
      <c r="E14" s="179" t="n">
        <f aca="false">COUNTIFS($Y$27:$Y$76,D14)</f>
        <v>0</v>
      </c>
      <c r="G14" s="60" t="s">
        <v>1114</v>
      </c>
      <c r="H14" s="179" t="n">
        <f aca="false">COUNTIFS($S$27:$S$76,G14)</f>
        <v>0</v>
      </c>
      <c r="J14" s="60" t="s">
        <v>2259</v>
      </c>
      <c r="K14" s="179" t="n">
        <f aca="false">COUNTIFS(tbl_RH_Documents[Disponible],"Non")</f>
        <v>0</v>
      </c>
    </row>
    <row r="15" customFormat="false" ht="15" hidden="false" customHeight="true" outlineLevel="0" collapsed="false">
      <c r="A15" s="60" t="s">
        <v>1102</v>
      </c>
      <c r="B15" s="179" t="n">
        <f aca="false">COUNTIFS($P$27:$P$76,A15)</f>
        <v>0</v>
      </c>
      <c r="D15" s="60" t="s">
        <v>645</v>
      </c>
      <c r="E15" s="179" t="n">
        <f aca="false">COUNTIFS($Y$27:$Y$76,D15)</f>
        <v>0</v>
      </c>
      <c r="G15" s="60" t="s">
        <v>600</v>
      </c>
      <c r="H15" s="179" t="n">
        <f aca="false">COUNTIFS($S$27:$S$76,G15)</f>
        <v>0</v>
      </c>
      <c r="J15" s="60" t="s">
        <v>2260</v>
      </c>
      <c r="K15" s="179" t="n">
        <f aca="false">SUMPRODUCT((tbl_RH_Competences[Date expiration]&lt;&gt;"")*(tbl_RH_Competences[Date expiration]&lt;=TODAY()+60)*(tbl_RH_Competences[Date expiration]&gt;=TODAY()))</f>
        <v>0</v>
      </c>
    </row>
    <row r="16" customFormat="false" ht="15" hidden="false" customHeight="true" outlineLevel="0" collapsed="false">
      <c r="A16" s="60" t="s">
        <v>1104</v>
      </c>
      <c r="B16" s="179" t="n">
        <f aca="false">COUNTIFS($P$27:$P$76,A16)</f>
        <v>0</v>
      </c>
      <c r="D16" s="60" t="s">
        <v>647</v>
      </c>
      <c r="E16" s="179" t="n">
        <f aca="false">COUNTIFS($Y$27:$Y$76,D16)</f>
        <v>0</v>
      </c>
      <c r="G16" s="60" t="s">
        <v>1117</v>
      </c>
      <c r="H16" s="179" t="n">
        <f aca="false">COUNTIFS($S$27:$S$76,G16)</f>
        <v>0</v>
      </c>
      <c r="J16" s="60" t="s">
        <v>2261</v>
      </c>
      <c r="K16" s="179" t="n">
        <f aca="false">COUNTIFS(tbl_RH_Conges[Statut],"Demande")</f>
        <v>0</v>
      </c>
    </row>
    <row r="17" customFormat="false" ht="15" hidden="false" customHeight="true" outlineLevel="0" collapsed="false">
      <c r="A17" s="60" t="s">
        <v>1106</v>
      </c>
      <c r="B17" s="179" t="n">
        <f aca="false">COUNTIFS($P$27:$P$76,A17)</f>
        <v>0</v>
      </c>
      <c r="D17" s="60" t="s">
        <v>649</v>
      </c>
      <c r="E17" s="179" t="n">
        <f aca="false">COUNTIFS($Y$27:$Y$76,D17)</f>
        <v>0</v>
      </c>
      <c r="G17" s="60" t="s">
        <v>370</v>
      </c>
      <c r="H17" s="179" t="n">
        <f aca="false">COUNTIFS($S$27:$S$76,G17)</f>
        <v>0</v>
      </c>
      <c r="J17" s="60" t="s">
        <v>2262</v>
      </c>
      <c r="K17" s="179" t="n">
        <f aca="false">COUNTIFS($P$27:$P$76,"Actif",$AE$27:$AE$76,"&lt;&gt;Expire")</f>
        <v>0</v>
      </c>
    </row>
    <row r="18" customFormat="false" ht="15" hidden="false" customHeight="true" outlineLevel="0" collapsed="false">
      <c r="A18" s="60" t="s">
        <v>1042</v>
      </c>
      <c r="B18" s="179" t="n">
        <f aca="false">COUNTIFS($P$27:$P$76,A18)</f>
        <v>0</v>
      </c>
      <c r="D18" s="60" t="s">
        <v>651</v>
      </c>
      <c r="E18" s="179" t="n">
        <f aca="false">COUNTIFS($Y$27:$Y$76,D18)</f>
        <v>0</v>
      </c>
      <c r="G18" s="60" t="s">
        <v>598</v>
      </c>
      <c r="H18" s="179" t="n">
        <f aca="false">COUNTIFS($S$27:$S$76,G18)</f>
        <v>0</v>
      </c>
    </row>
    <row r="19" customFormat="false" ht="15" hidden="false" customHeight="true" outlineLevel="0" collapsed="false">
      <c r="D19" s="60" t="s">
        <v>653</v>
      </c>
      <c r="E19" s="179" t="n">
        <f aca="false">COUNTIFS($Y$27:$Y$76,D19)</f>
        <v>0</v>
      </c>
      <c r="G19" s="60" t="s">
        <v>1121</v>
      </c>
      <c r="H19" s="179" t="n">
        <f aca="false">COUNTIFS($S$27:$S$76,G19)</f>
        <v>0</v>
      </c>
    </row>
    <row r="20" customFormat="false" ht="15" hidden="false" customHeight="true" outlineLevel="0" collapsed="false">
      <c r="D20" s="60" t="s">
        <v>655</v>
      </c>
      <c r="E20" s="179" t="n">
        <f aca="false">COUNTIFS($Y$27:$Y$76,D20)</f>
        <v>0</v>
      </c>
      <c r="G20" s="60" t="s">
        <v>1123</v>
      </c>
      <c r="H20" s="179" t="n">
        <f aca="false">COUNTIFS($S$27:$S$76,G20)</f>
        <v>0</v>
      </c>
    </row>
    <row r="21" customFormat="false" ht="15" hidden="false" customHeight="true" outlineLevel="0" collapsed="false">
      <c r="D21" s="60" t="s">
        <v>314</v>
      </c>
      <c r="E21" s="179" t="n">
        <f aca="false">COUNTIFS($Y$27:$Y$76,D21)</f>
        <v>0</v>
      </c>
      <c r="G21" s="60" t="s">
        <v>1125</v>
      </c>
      <c r="H21" s="179" t="n">
        <f aca="false">COUNTIFS($S$27:$S$76,G21)</f>
        <v>0</v>
      </c>
    </row>
    <row r="22" customFormat="false" ht="15" hidden="false" customHeight="true" outlineLevel="0" collapsed="false">
      <c r="G22" s="60" t="s">
        <v>314</v>
      </c>
      <c r="H22" s="179" t="n">
        <f aca="false">COUNTIFS($S$27:$S$76,G22)</f>
        <v>0</v>
      </c>
    </row>
    <row r="25" customFormat="false" ht="15.75" hidden="false" customHeight="true" outlineLevel="0" collapsed="false">
      <c r="A25" s="24" t="s">
        <v>2263</v>
      </c>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row>
    <row r="26" customFormat="false" ht="15" hidden="false" customHeight="true" outlineLevel="0" collapsed="false">
      <c r="A26" s="180" t="s">
        <v>2264</v>
      </c>
      <c r="B26" s="180" t="s">
        <v>1467</v>
      </c>
      <c r="C26" s="180" t="s">
        <v>1468</v>
      </c>
      <c r="D26" s="180" t="s">
        <v>1469</v>
      </c>
      <c r="E26" s="180" t="s">
        <v>1299</v>
      </c>
      <c r="F26" s="180" t="s">
        <v>1470</v>
      </c>
      <c r="G26" s="180" t="s">
        <v>1471</v>
      </c>
      <c r="H26" s="180" t="s">
        <v>1472</v>
      </c>
      <c r="I26" s="180" t="s">
        <v>1475</v>
      </c>
      <c r="J26" s="180" t="s">
        <v>2265</v>
      </c>
      <c r="K26" s="180" t="s">
        <v>1295</v>
      </c>
      <c r="L26" s="180" t="s">
        <v>1296</v>
      </c>
      <c r="M26" s="180" t="s">
        <v>1911</v>
      </c>
      <c r="N26" s="180" t="s">
        <v>942</v>
      </c>
      <c r="O26" s="180" t="s">
        <v>2255</v>
      </c>
      <c r="P26" s="180" t="s">
        <v>54</v>
      </c>
      <c r="Q26" s="180" t="s">
        <v>1298</v>
      </c>
      <c r="R26" s="180" t="s">
        <v>2266</v>
      </c>
      <c r="S26" s="180" t="s">
        <v>2267</v>
      </c>
      <c r="T26" s="180" t="s">
        <v>2268</v>
      </c>
      <c r="U26" s="180" t="s">
        <v>2269</v>
      </c>
      <c r="V26" s="180" t="s">
        <v>2270</v>
      </c>
      <c r="W26" s="180" t="s">
        <v>2271</v>
      </c>
      <c r="X26" s="180" t="s">
        <v>2272</v>
      </c>
      <c r="Y26" s="180" t="s">
        <v>2273</v>
      </c>
      <c r="Z26" s="180" t="s">
        <v>1738</v>
      </c>
      <c r="AA26" s="180" t="s">
        <v>2274</v>
      </c>
      <c r="AB26" s="180" t="s">
        <v>2275</v>
      </c>
      <c r="AC26" s="180" t="s">
        <v>2276</v>
      </c>
      <c r="AD26" s="180" t="s">
        <v>2277</v>
      </c>
      <c r="AE26" s="180" t="s">
        <v>2278</v>
      </c>
      <c r="AF26" s="180" t="s">
        <v>2279</v>
      </c>
      <c r="AG26" s="180" t="s">
        <v>1368</v>
      </c>
      <c r="AH26" s="180" t="s">
        <v>2280</v>
      </c>
      <c r="AI26" s="180" t="s">
        <v>2281</v>
      </c>
      <c r="AJ26" s="180" t="s">
        <v>2282</v>
      </c>
      <c r="AK26" s="180" t="s">
        <v>2283</v>
      </c>
      <c r="AL26" s="180" t="s">
        <v>2284</v>
      </c>
      <c r="AM26" s="180" t="s">
        <v>2285</v>
      </c>
      <c r="AN26" s="180" t="s">
        <v>2286</v>
      </c>
      <c r="AO26" s="180" t="s">
        <v>2287</v>
      </c>
      <c r="AP26" s="180" t="s">
        <v>2288</v>
      </c>
      <c r="AQ26" s="180" t="s">
        <v>1533</v>
      </c>
    </row>
    <row r="27" customFormat="false" ht="15.75" hidden="false" customHeight="true" outlineLevel="0" collapsed="false">
      <c r="A27" s="181" t="str">
        <f aca="false">IF(B27="","","RH"&amp;TEXT(ROW()-26,"00000"))</f>
        <v/>
      </c>
      <c r="B27" s="182"/>
      <c r="C27" s="182"/>
      <c r="D27" s="182"/>
      <c r="E27" s="181" t="str">
        <f aca="false">IF(B27="","",TRIM(B27&amp;" "&amp;C27&amp;" "&amp;D27))</f>
        <v/>
      </c>
      <c r="F27" s="182"/>
      <c r="G27" s="183"/>
      <c r="H27" s="181" t="str">
        <f aca="true">IF(G27="","",DATEDIF(G27,TODAY(),"y"))</f>
        <v/>
      </c>
      <c r="I27" s="182"/>
      <c r="J27" s="182"/>
      <c r="K27" s="182"/>
      <c r="L27" s="184"/>
      <c r="M27" s="184"/>
      <c r="N27" s="182"/>
      <c r="O27" s="182"/>
      <c r="P27" s="182"/>
      <c r="Q27" s="182"/>
      <c r="R27" s="182"/>
      <c r="S27" s="182"/>
      <c r="T27" s="182"/>
      <c r="U27" s="182"/>
      <c r="V27" s="183"/>
      <c r="W27" s="181" t="str">
        <f aca="false">IF(V27="","",YEAR(V27))</f>
        <v/>
      </c>
      <c r="X27" s="181" t="str">
        <f aca="true">IF(V27="","",DATEDIF(V27,TODAY(),"y")&amp;" ans "&amp;DATEDIF(V27,TODAY(),"ym")&amp;" mois")</f>
        <v/>
      </c>
      <c r="Y27" s="182"/>
      <c r="Z27" s="182"/>
      <c r="AA27" s="183"/>
      <c r="AB27" s="183"/>
      <c r="AC27" s="181" t="str">
        <f aca="false">IF(OR(AA27="",AB27=""),"",DATEDIF(AA27,AB27,"m")&amp;" mois")</f>
        <v/>
      </c>
      <c r="AD27" s="182"/>
      <c r="AE27" s="181" t="str">
        <f aca="true">IF(Y27="","",IF(Y27="CDI","Indetermine (CDI)",IF(AB27="","Non renseigne",IF(AB27&lt;TODAY(),"Expire",IF(AB27-TODAY()&lt;=60,"A renouveler bientot","Actif")))))</f>
        <v/>
      </c>
      <c r="AF27" s="185"/>
      <c r="AG27" s="182"/>
      <c r="AH27" s="182"/>
      <c r="AI27" s="185"/>
      <c r="AJ27" s="185"/>
      <c r="AK27" s="186" t="str">
        <f aca="false">IF(AF27="","",AF27+IF(AI27="",0,AI27)+IF(AJ27="",0,AJ27))</f>
        <v/>
      </c>
      <c r="AL27" s="182"/>
      <c r="AM27" s="182"/>
      <c r="AN27" s="182"/>
      <c r="AO27" s="183"/>
      <c r="AP27" s="182"/>
      <c r="AQ27" s="184"/>
    </row>
    <row r="28" customFormat="false" ht="15.75" hidden="false" customHeight="true" outlineLevel="0" collapsed="false">
      <c r="A28" s="181" t="str">
        <f aca="false">IF(B28="","","RH"&amp;TEXT(ROW()-26,"00000"))</f>
        <v/>
      </c>
      <c r="B28" s="182"/>
      <c r="C28" s="182"/>
      <c r="D28" s="182"/>
      <c r="E28" s="181" t="str">
        <f aca="false">IF(B28="","",TRIM(B28&amp;" "&amp;C28&amp;" "&amp;D28))</f>
        <v/>
      </c>
      <c r="F28" s="182"/>
      <c r="G28" s="183"/>
      <c r="H28" s="181" t="str">
        <f aca="true">IF(G28="","",DATEDIF(G28,TODAY(),"y"))</f>
        <v/>
      </c>
      <c r="I28" s="182"/>
      <c r="J28" s="182"/>
      <c r="K28" s="182"/>
      <c r="L28" s="184"/>
      <c r="M28" s="184"/>
      <c r="N28" s="182"/>
      <c r="O28" s="182"/>
      <c r="P28" s="182"/>
      <c r="Q28" s="182"/>
      <c r="R28" s="182"/>
      <c r="S28" s="182"/>
      <c r="T28" s="182"/>
      <c r="U28" s="182"/>
      <c r="V28" s="183"/>
      <c r="W28" s="181" t="str">
        <f aca="false">IF(V28="","",YEAR(V28))</f>
        <v/>
      </c>
      <c r="X28" s="181" t="str">
        <f aca="true">IF(V28="","",DATEDIF(V28,TODAY(),"y")&amp;" ans "&amp;DATEDIF(V28,TODAY(),"ym")&amp;" mois")</f>
        <v/>
      </c>
      <c r="Y28" s="182"/>
      <c r="Z28" s="182"/>
      <c r="AA28" s="183"/>
      <c r="AB28" s="183"/>
      <c r="AC28" s="181" t="str">
        <f aca="false">IF(OR(AA28="",AB28=""),"",DATEDIF(AA28,AB28,"m")&amp;" mois")</f>
        <v/>
      </c>
      <c r="AD28" s="182"/>
      <c r="AE28" s="181" t="str">
        <f aca="true">IF(Y28="","",IF(Y28="CDI","Indetermine (CDI)",IF(AB28="","Non renseigne",IF(AB28&lt;TODAY(),"Expire",IF(AB28-TODAY()&lt;=60,"A renouveler bientot","Actif")))))</f>
        <v/>
      </c>
      <c r="AF28" s="185"/>
      <c r="AG28" s="182"/>
      <c r="AH28" s="182"/>
      <c r="AI28" s="185"/>
      <c r="AJ28" s="185"/>
      <c r="AK28" s="186" t="str">
        <f aca="false">IF(AF28="","",AF28+IF(AI28="",0,AI28)+IF(AJ28="",0,AJ28))</f>
        <v/>
      </c>
      <c r="AL28" s="182"/>
      <c r="AM28" s="182"/>
      <c r="AN28" s="182"/>
      <c r="AO28" s="183"/>
      <c r="AP28" s="182"/>
      <c r="AQ28" s="184"/>
    </row>
    <row r="29" customFormat="false" ht="15.75" hidden="false" customHeight="true" outlineLevel="0" collapsed="false">
      <c r="A29" s="181" t="str">
        <f aca="false">IF(B29="","","RH"&amp;TEXT(ROW()-26,"00000"))</f>
        <v/>
      </c>
      <c r="B29" s="182"/>
      <c r="C29" s="182"/>
      <c r="D29" s="182"/>
      <c r="E29" s="181" t="str">
        <f aca="false">IF(B29="","",TRIM(B29&amp;" "&amp;C29&amp;" "&amp;D29))</f>
        <v/>
      </c>
      <c r="F29" s="182"/>
      <c r="G29" s="183"/>
      <c r="H29" s="181" t="str">
        <f aca="true">IF(G29="","",DATEDIF(G29,TODAY(),"y"))</f>
        <v/>
      </c>
      <c r="I29" s="182"/>
      <c r="J29" s="182"/>
      <c r="K29" s="182"/>
      <c r="L29" s="184"/>
      <c r="M29" s="184"/>
      <c r="N29" s="182"/>
      <c r="O29" s="182"/>
      <c r="P29" s="182"/>
      <c r="Q29" s="182"/>
      <c r="R29" s="182"/>
      <c r="S29" s="182"/>
      <c r="T29" s="182"/>
      <c r="U29" s="182"/>
      <c r="V29" s="183"/>
      <c r="W29" s="181" t="str">
        <f aca="false">IF(V29="","",YEAR(V29))</f>
        <v/>
      </c>
      <c r="X29" s="181" t="str">
        <f aca="true">IF(V29="","",DATEDIF(V29,TODAY(),"y")&amp;" ans "&amp;DATEDIF(V29,TODAY(),"ym")&amp;" mois")</f>
        <v/>
      </c>
      <c r="Y29" s="182"/>
      <c r="Z29" s="182"/>
      <c r="AA29" s="183"/>
      <c r="AB29" s="183"/>
      <c r="AC29" s="181" t="str">
        <f aca="false">IF(OR(AA29="",AB29=""),"",DATEDIF(AA29,AB29,"m")&amp;" mois")</f>
        <v/>
      </c>
      <c r="AD29" s="182"/>
      <c r="AE29" s="181" t="str">
        <f aca="true">IF(Y29="","",IF(Y29="CDI","Indetermine (CDI)",IF(AB29="","Non renseigne",IF(AB29&lt;TODAY(),"Expire",IF(AB29-TODAY()&lt;=60,"A renouveler bientot","Actif")))))</f>
        <v/>
      </c>
      <c r="AF29" s="185"/>
      <c r="AG29" s="182"/>
      <c r="AH29" s="182"/>
      <c r="AI29" s="185"/>
      <c r="AJ29" s="185"/>
      <c r="AK29" s="186" t="str">
        <f aca="false">IF(AF29="","",AF29+IF(AI29="",0,AI29)+IF(AJ29="",0,AJ29))</f>
        <v/>
      </c>
      <c r="AL29" s="182"/>
      <c r="AM29" s="182"/>
      <c r="AN29" s="182"/>
      <c r="AO29" s="183"/>
      <c r="AP29" s="182"/>
      <c r="AQ29" s="184"/>
    </row>
    <row r="30" customFormat="false" ht="15.75" hidden="false" customHeight="true" outlineLevel="0" collapsed="false">
      <c r="A30" s="181" t="str">
        <f aca="false">IF(B30="","","RH"&amp;TEXT(ROW()-26,"00000"))</f>
        <v/>
      </c>
      <c r="B30" s="182"/>
      <c r="C30" s="182"/>
      <c r="D30" s="182"/>
      <c r="E30" s="181" t="str">
        <f aca="false">IF(B30="","",TRIM(B30&amp;" "&amp;C30&amp;" "&amp;D30))</f>
        <v/>
      </c>
      <c r="F30" s="182"/>
      <c r="G30" s="183"/>
      <c r="H30" s="181" t="str">
        <f aca="true">IF(G30="","",DATEDIF(G30,TODAY(),"y"))</f>
        <v/>
      </c>
      <c r="I30" s="182"/>
      <c r="J30" s="182"/>
      <c r="K30" s="182"/>
      <c r="L30" s="184"/>
      <c r="M30" s="184"/>
      <c r="N30" s="182"/>
      <c r="O30" s="182"/>
      <c r="P30" s="182"/>
      <c r="Q30" s="182"/>
      <c r="R30" s="182"/>
      <c r="S30" s="182"/>
      <c r="T30" s="182"/>
      <c r="U30" s="182"/>
      <c r="V30" s="183"/>
      <c r="W30" s="181" t="str">
        <f aca="false">IF(V30="","",YEAR(V30))</f>
        <v/>
      </c>
      <c r="X30" s="181" t="str">
        <f aca="true">IF(V30="","",DATEDIF(V30,TODAY(),"y")&amp;" ans "&amp;DATEDIF(V30,TODAY(),"ym")&amp;" mois")</f>
        <v/>
      </c>
      <c r="Y30" s="182"/>
      <c r="Z30" s="182"/>
      <c r="AA30" s="183"/>
      <c r="AB30" s="183"/>
      <c r="AC30" s="181" t="str">
        <f aca="false">IF(OR(AA30="",AB30=""),"",DATEDIF(AA30,AB30,"m")&amp;" mois")</f>
        <v/>
      </c>
      <c r="AD30" s="182"/>
      <c r="AE30" s="181" t="str">
        <f aca="true">IF(Y30="","",IF(Y30="CDI","Indetermine (CDI)",IF(AB30="","Non renseigne",IF(AB30&lt;TODAY(),"Expire",IF(AB30-TODAY()&lt;=60,"A renouveler bientot","Actif")))))</f>
        <v/>
      </c>
      <c r="AF30" s="185"/>
      <c r="AG30" s="182"/>
      <c r="AH30" s="182"/>
      <c r="AI30" s="185"/>
      <c r="AJ30" s="185"/>
      <c r="AK30" s="186" t="str">
        <f aca="false">IF(AF30="","",AF30+IF(AI30="",0,AI30)+IF(AJ30="",0,AJ30))</f>
        <v/>
      </c>
      <c r="AL30" s="182"/>
      <c r="AM30" s="182"/>
      <c r="AN30" s="182"/>
      <c r="AO30" s="183"/>
      <c r="AP30" s="182"/>
      <c r="AQ30" s="184"/>
    </row>
    <row r="31" customFormat="false" ht="15.75" hidden="false" customHeight="true" outlineLevel="0" collapsed="false">
      <c r="A31" s="181" t="str">
        <f aca="false">IF(B31="","","RH"&amp;TEXT(ROW()-26,"00000"))</f>
        <v/>
      </c>
      <c r="B31" s="182"/>
      <c r="C31" s="182"/>
      <c r="D31" s="182"/>
      <c r="E31" s="181" t="str">
        <f aca="false">IF(B31="","",TRIM(B31&amp;" "&amp;C31&amp;" "&amp;D31))</f>
        <v/>
      </c>
      <c r="F31" s="182"/>
      <c r="G31" s="183"/>
      <c r="H31" s="181" t="str">
        <f aca="true">IF(G31="","",DATEDIF(G31,TODAY(),"y"))</f>
        <v/>
      </c>
      <c r="I31" s="182"/>
      <c r="J31" s="182"/>
      <c r="K31" s="182"/>
      <c r="L31" s="184"/>
      <c r="M31" s="184"/>
      <c r="N31" s="182"/>
      <c r="O31" s="182"/>
      <c r="P31" s="182"/>
      <c r="Q31" s="182"/>
      <c r="R31" s="182"/>
      <c r="S31" s="182"/>
      <c r="T31" s="182"/>
      <c r="U31" s="182"/>
      <c r="V31" s="183"/>
      <c r="W31" s="181" t="str">
        <f aca="false">IF(V31="","",YEAR(V31))</f>
        <v/>
      </c>
      <c r="X31" s="181" t="str">
        <f aca="true">IF(V31="","",DATEDIF(V31,TODAY(),"y")&amp;" ans "&amp;DATEDIF(V31,TODAY(),"ym")&amp;" mois")</f>
        <v/>
      </c>
      <c r="Y31" s="182"/>
      <c r="Z31" s="182"/>
      <c r="AA31" s="183"/>
      <c r="AB31" s="183"/>
      <c r="AC31" s="181" t="str">
        <f aca="false">IF(OR(AA31="",AB31=""),"",DATEDIF(AA31,AB31,"m")&amp;" mois")</f>
        <v/>
      </c>
      <c r="AD31" s="182"/>
      <c r="AE31" s="181" t="str">
        <f aca="true">IF(Y31="","",IF(Y31="CDI","Indetermine (CDI)",IF(AB31="","Non renseigne",IF(AB31&lt;TODAY(),"Expire",IF(AB31-TODAY()&lt;=60,"A renouveler bientot","Actif")))))</f>
        <v/>
      </c>
      <c r="AF31" s="185"/>
      <c r="AG31" s="182"/>
      <c r="AH31" s="182"/>
      <c r="AI31" s="185"/>
      <c r="AJ31" s="185"/>
      <c r="AK31" s="186" t="str">
        <f aca="false">IF(AF31="","",AF31+IF(AI31="",0,AI31)+IF(AJ31="",0,AJ31))</f>
        <v/>
      </c>
      <c r="AL31" s="182"/>
      <c r="AM31" s="182"/>
      <c r="AN31" s="182"/>
      <c r="AO31" s="183"/>
      <c r="AP31" s="182"/>
      <c r="AQ31" s="184"/>
    </row>
    <row r="32" customFormat="false" ht="15.75" hidden="false" customHeight="true" outlineLevel="0" collapsed="false">
      <c r="A32" s="181" t="str">
        <f aca="false">IF(B32="","","RH"&amp;TEXT(ROW()-26,"00000"))</f>
        <v/>
      </c>
      <c r="B32" s="182"/>
      <c r="C32" s="182"/>
      <c r="D32" s="182"/>
      <c r="E32" s="181" t="str">
        <f aca="false">IF(B32="","",TRIM(B32&amp;" "&amp;C32&amp;" "&amp;D32))</f>
        <v/>
      </c>
      <c r="F32" s="182"/>
      <c r="G32" s="183"/>
      <c r="H32" s="181" t="str">
        <f aca="true">IF(G32="","",DATEDIF(G32,TODAY(),"y"))</f>
        <v/>
      </c>
      <c r="I32" s="182"/>
      <c r="J32" s="182"/>
      <c r="K32" s="182"/>
      <c r="L32" s="184"/>
      <c r="M32" s="184"/>
      <c r="N32" s="182"/>
      <c r="O32" s="182"/>
      <c r="P32" s="182"/>
      <c r="Q32" s="182"/>
      <c r="R32" s="182"/>
      <c r="S32" s="182"/>
      <c r="T32" s="182"/>
      <c r="U32" s="182"/>
      <c r="V32" s="183"/>
      <c r="W32" s="181" t="str">
        <f aca="false">IF(V32="","",YEAR(V32))</f>
        <v/>
      </c>
      <c r="X32" s="181" t="str">
        <f aca="true">IF(V32="","",DATEDIF(V32,TODAY(),"y")&amp;" ans "&amp;DATEDIF(V32,TODAY(),"ym")&amp;" mois")</f>
        <v/>
      </c>
      <c r="Y32" s="182"/>
      <c r="Z32" s="182"/>
      <c r="AA32" s="183"/>
      <c r="AB32" s="183"/>
      <c r="AC32" s="181" t="str">
        <f aca="false">IF(OR(AA32="",AB32=""),"",DATEDIF(AA32,AB32,"m")&amp;" mois")</f>
        <v/>
      </c>
      <c r="AD32" s="182"/>
      <c r="AE32" s="181" t="str">
        <f aca="true">IF(Y32="","",IF(Y32="CDI","Indetermine (CDI)",IF(AB32="","Non renseigne",IF(AB32&lt;TODAY(),"Expire",IF(AB32-TODAY()&lt;=60,"A renouveler bientot","Actif")))))</f>
        <v/>
      </c>
      <c r="AF32" s="185"/>
      <c r="AG32" s="182"/>
      <c r="AH32" s="182"/>
      <c r="AI32" s="185"/>
      <c r="AJ32" s="185"/>
      <c r="AK32" s="186" t="str">
        <f aca="false">IF(AF32="","",AF32+IF(AI32="",0,AI32)+IF(AJ32="",0,AJ32))</f>
        <v/>
      </c>
      <c r="AL32" s="182"/>
      <c r="AM32" s="182"/>
      <c r="AN32" s="182"/>
      <c r="AO32" s="183"/>
      <c r="AP32" s="182"/>
      <c r="AQ32" s="184"/>
    </row>
    <row r="33" customFormat="false" ht="15.75" hidden="false" customHeight="true" outlineLevel="0" collapsed="false">
      <c r="A33" s="181" t="str">
        <f aca="false">IF(B33="","","RH"&amp;TEXT(ROW()-26,"00000"))</f>
        <v/>
      </c>
      <c r="B33" s="182"/>
      <c r="C33" s="182"/>
      <c r="D33" s="182"/>
      <c r="E33" s="181" t="str">
        <f aca="false">IF(B33="","",TRIM(B33&amp;" "&amp;C33&amp;" "&amp;D33))</f>
        <v/>
      </c>
      <c r="F33" s="182"/>
      <c r="G33" s="183"/>
      <c r="H33" s="181" t="str">
        <f aca="true">IF(G33="","",DATEDIF(G33,TODAY(),"y"))</f>
        <v/>
      </c>
      <c r="I33" s="182"/>
      <c r="J33" s="182"/>
      <c r="K33" s="182"/>
      <c r="L33" s="184"/>
      <c r="M33" s="184"/>
      <c r="N33" s="182"/>
      <c r="O33" s="182"/>
      <c r="P33" s="182"/>
      <c r="Q33" s="182"/>
      <c r="R33" s="182"/>
      <c r="S33" s="182"/>
      <c r="T33" s="182"/>
      <c r="U33" s="182"/>
      <c r="V33" s="183"/>
      <c r="W33" s="181" t="str">
        <f aca="false">IF(V33="","",YEAR(V33))</f>
        <v/>
      </c>
      <c r="X33" s="181" t="str">
        <f aca="true">IF(V33="","",DATEDIF(V33,TODAY(),"y")&amp;" ans "&amp;DATEDIF(V33,TODAY(),"ym")&amp;" mois")</f>
        <v/>
      </c>
      <c r="Y33" s="182"/>
      <c r="Z33" s="182"/>
      <c r="AA33" s="183"/>
      <c r="AB33" s="183"/>
      <c r="AC33" s="181" t="str">
        <f aca="false">IF(OR(AA33="",AB33=""),"",DATEDIF(AA33,AB33,"m")&amp;" mois")</f>
        <v/>
      </c>
      <c r="AD33" s="182"/>
      <c r="AE33" s="181" t="str">
        <f aca="true">IF(Y33="","",IF(Y33="CDI","Indetermine (CDI)",IF(AB33="","Non renseigne",IF(AB33&lt;TODAY(),"Expire",IF(AB33-TODAY()&lt;=60,"A renouveler bientot","Actif")))))</f>
        <v/>
      </c>
      <c r="AF33" s="185"/>
      <c r="AG33" s="182"/>
      <c r="AH33" s="182"/>
      <c r="AI33" s="185"/>
      <c r="AJ33" s="185"/>
      <c r="AK33" s="186" t="str">
        <f aca="false">IF(AF33="","",AF33+IF(AI33="",0,AI33)+IF(AJ33="",0,AJ33))</f>
        <v/>
      </c>
      <c r="AL33" s="182"/>
      <c r="AM33" s="182"/>
      <c r="AN33" s="182"/>
      <c r="AO33" s="183"/>
      <c r="AP33" s="182"/>
      <c r="AQ33" s="184"/>
    </row>
    <row r="34" customFormat="false" ht="15.75" hidden="false" customHeight="true" outlineLevel="0" collapsed="false">
      <c r="A34" s="181" t="str">
        <f aca="false">IF(B34="","","RH"&amp;TEXT(ROW()-26,"00000"))</f>
        <v/>
      </c>
      <c r="B34" s="182"/>
      <c r="C34" s="182"/>
      <c r="D34" s="182"/>
      <c r="E34" s="181" t="str">
        <f aca="false">IF(B34="","",TRIM(B34&amp;" "&amp;C34&amp;" "&amp;D34))</f>
        <v/>
      </c>
      <c r="F34" s="182"/>
      <c r="G34" s="183"/>
      <c r="H34" s="181" t="str">
        <f aca="true">IF(G34="","",DATEDIF(G34,TODAY(),"y"))</f>
        <v/>
      </c>
      <c r="I34" s="182"/>
      <c r="J34" s="182"/>
      <c r="K34" s="182"/>
      <c r="L34" s="184"/>
      <c r="M34" s="184"/>
      <c r="N34" s="182"/>
      <c r="O34" s="182"/>
      <c r="P34" s="182"/>
      <c r="Q34" s="182"/>
      <c r="R34" s="182"/>
      <c r="S34" s="182"/>
      <c r="T34" s="182"/>
      <c r="U34" s="182"/>
      <c r="V34" s="183"/>
      <c r="W34" s="181" t="str">
        <f aca="false">IF(V34="","",YEAR(V34))</f>
        <v/>
      </c>
      <c r="X34" s="181" t="str">
        <f aca="true">IF(V34="","",DATEDIF(V34,TODAY(),"y")&amp;" ans "&amp;DATEDIF(V34,TODAY(),"ym")&amp;" mois")</f>
        <v/>
      </c>
      <c r="Y34" s="182"/>
      <c r="Z34" s="182"/>
      <c r="AA34" s="183"/>
      <c r="AB34" s="183"/>
      <c r="AC34" s="181" t="str">
        <f aca="false">IF(OR(AA34="",AB34=""),"",DATEDIF(AA34,AB34,"m")&amp;" mois")</f>
        <v/>
      </c>
      <c r="AD34" s="182"/>
      <c r="AE34" s="181" t="str">
        <f aca="true">IF(Y34="","",IF(Y34="CDI","Indetermine (CDI)",IF(AB34="","Non renseigne",IF(AB34&lt;TODAY(),"Expire",IF(AB34-TODAY()&lt;=60,"A renouveler bientot","Actif")))))</f>
        <v/>
      </c>
      <c r="AF34" s="185"/>
      <c r="AG34" s="182"/>
      <c r="AH34" s="182"/>
      <c r="AI34" s="185"/>
      <c r="AJ34" s="185"/>
      <c r="AK34" s="186" t="str">
        <f aca="false">IF(AF34="","",AF34+IF(AI34="",0,AI34)+IF(AJ34="",0,AJ34))</f>
        <v/>
      </c>
      <c r="AL34" s="182"/>
      <c r="AM34" s="182"/>
      <c r="AN34" s="182"/>
      <c r="AO34" s="183"/>
      <c r="AP34" s="182"/>
      <c r="AQ34" s="184"/>
    </row>
    <row r="35" customFormat="false" ht="15.75" hidden="false" customHeight="true" outlineLevel="0" collapsed="false">
      <c r="A35" s="181" t="str">
        <f aca="false">IF(B35="","","RH"&amp;TEXT(ROW()-26,"00000"))</f>
        <v/>
      </c>
      <c r="B35" s="182"/>
      <c r="C35" s="182"/>
      <c r="D35" s="182"/>
      <c r="E35" s="181" t="str">
        <f aca="false">IF(B35="","",TRIM(B35&amp;" "&amp;C35&amp;" "&amp;D35))</f>
        <v/>
      </c>
      <c r="F35" s="182"/>
      <c r="G35" s="183"/>
      <c r="H35" s="181" t="str">
        <f aca="true">IF(G35="","",DATEDIF(G35,TODAY(),"y"))</f>
        <v/>
      </c>
      <c r="I35" s="182"/>
      <c r="J35" s="182"/>
      <c r="K35" s="182"/>
      <c r="L35" s="184"/>
      <c r="M35" s="184"/>
      <c r="N35" s="182"/>
      <c r="O35" s="182"/>
      <c r="P35" s="182"/>
      <c r="Q35" s="182"/>
      <c r="R35" s="182"/>
      <c r="S35" s="182"/>
      <c r="T35" s="182"/>
      <c r="U35" s="182"/>
      <c r="V35" s="183"/>
      <c r="W35" s="181" t="str">
        <f aca="false">IF(V35="","",YEAR(V35))</f>
        <v/>
      </c>
      <c r="X35" s="181" t="str">
        <f aca="true">IF(V35="","",DATEDIF(V35,TODAY(),"y")&amp;" ans "&amp;DATEDIF(V35,TODAY(),"ym")&amp;" mois")</f>
        <v/>
      </c>
      <c r="Y35" s="182"/>
      <c r="Z35" s="182"/>
      <c r="AA35" s="183"/>
      <c r="AB35" s="183"/>
      <c r="AC35" s="181" t="str">
        <f aca="false">IF(OR(AA35="",AB35=""),"",DATEDIF(AA35,AB35,"m")&amp;" mois")</f>
        <v/>
      </c>
      <c r="AD35" s="182"/>
      <c r="AE35" s="181" t="str">
        <f aca="true">IF(Y35="","",IF(Y35="CDI","Indetermine (CDI)",IF(AB35="","Non renseigne",IF(AB35&lt;TODAY(),"Expire",IF(AB35-TODAY()&lt;=60,"A renouveler bientot","Actif")))))</f>
        <v/>
      </c>
      <c r="AF35" s="185"/>
      <c r="AG35" s="182"/>
      <c r="AH35" s="182"/>
      <c r="AI35" s="185"/>
      <c r="AJ35" s="185"/>
      <c r="AK35" s="186" t="str">
        <f aca="false">IF(AF35="","",AF35+IF(AI35="",0,AI35)+IF(AJ35="",0,AJ35))</f>
        <v/>
      </c>
      <c r="AL35" s="182"/>
      <c r="AM35" s="182"/>
      <c r="AN35" s="182"/>
      <c r="AO35" s="183"/>
      <c r="AP35" s="182"/>
      <c r="AQ35" s="184"/>
    </row>
    <row r="36" customFormat="false" ht="15.75" hidden="false" customHeight="true" outlineLevel="0" collapsed="false">
      <c r="A36" s="181" t="str">
        <f aca="false">IF(B36="","","RH"&amp;TEXT(ROW()-26,"00000"))</f>
        <v/>
      </c>
      <c r="B36" s="182"/>
      <c r="C36" s="182"/>
      <c r="D36" s="182"/>
      <c r="E36" s="181" t="str">
        <f aca="false">IF(B36="","",TRIM(B36&amp;" "&amp;C36&amp;" "&amp;D36))</f>
        <v/>
      </c>
      <c r="F36" s="182"/>
      <c r="G36" s="183"/>
      <c r="H36" s="181" t="str">
        <f aca="true">IF(G36="","",DATEDIF(G36,TODAY(),"y"))</f>
        <v/>
      </c>
      <c r="I36" s="182"/>
      <c r="J36" s="182"/>
      <c r="K36" s="182"/>
      <c r="L36" s="184"/>
      <c r="M36" s="184"/>
      <c r="N36" s="182"/>
      <c r="O36" s="182"/>
      <c r="P36" s="182"/>
      <c r="Q36" s="182"/>
      <c r="R36" s="182"/>
      <c r="S36" s="182"/>
      <c r="T36" s="182"/>
      <c r="U36" s="182"/>
      <c r="V36" s="183"/>
      <c r="W36" s="181" t="str">
        <f aca="false">IF(V36="","",YEAR(V36))</f>
        <v/>
      </c>
      <c r="X36" s="181" t="str">
        <f aca="true">IF(V36="","",DATEDIF(V36,TODAY(),"y")&amp;" ans "&amp;DATEDIF(V36,TODAY(),"ym")&amp;" mois")</f>
        <v/>
      </c>
      <c r="Y36" s="182"/>
      <c r="Z36" s="182"/>
      <c r="AA36" s="183"/>
      <c r="AB36" s="183"/>
      <c r="AC36" s="181" t="str">
        <f aca="false">IF(OR(AA36="",AB36=""),"",DATEDIF(AA36,AB36,"m")&amp;" mois")</f>
        <v/>
      </c>
      <c r="AD36" s="182"/>
      <c r="AE36" s="181" t="str">
        <f aca="true">IF(Y36="","",IF(Y36="CDI","Indetermine (CDI)",IF(AB36="","Non renseigne",IF(AB36&lt;TODAY(),"Expire",IF(AB36-TODAY()&lt;=60,"A renouveler bientot","Actif")))))</f>
        <v/>
      </c>
      <c r="AF36" s="185"/>
      <c r="AG36" s="182"/>
      <c r="AH36" s="182"/>
      <c r="AI36" s="185"/>
      <c r="AJ36" s="185"/>
      <c r="AK36" s="186" t="str">
        <f aca="false">IF(AF36="","",AF36+IF(AI36="",0,AI36)+IF(AJ36="",0,AJ36))</f>
        <v/>
      </c>
      <c r="AL36" s="182"/>
      <c r="AM36" s="182"/>
      <c r="AN36" s="182"/>
      <c r="AO36" s="183"/>
      <c r="AP36" s="182"/>
      <c r="AQ36" s="184"/>
    </row>
    <row r="37" customFormat="false" ht="15.75" hidden="false" customHeight="true" outlineLevel="0" collapsed="false">
      <c r="A37" s="181" t="str">
        <f aca="false">IF(B37="","","RH"&amp;TEXT(ROW()-26,"00000"))</f>
        <v/>
      </c>
      <c r="B37" s="182"/>
      <c r="C37" s="182"/>
      <c r="D37" s="182"/>
      <c r="E37" s="181" t="str">
        <f aca="false">IF(B37="","",TRIM(B37&amp;" "&amp;C37&amp;" "&amp;D37))</f>
        <v/>
      </c>
      <c r="F37" s="182"/>
      <c r="G37" s="183"/>
      <c r="H37" s="181" t="str">
        <f aca="true">IF(G37="","",DATEDIF(G37,TODAY(),"y"))</f>
        <v/>
      </c>
      <c r="I37" s="182"/>
      <c r="J37" s="182"/>
      <c r="K37" s="182"/>
      <c r="L37" s="184"/>
      <c r="M37" s="184"/>
      <c r="N37" s="182"/>
      <c r="O37" s="182"/>
      <c r="P37" s="182"/>
      <c r="Q37" s="182"/>
      <c r="R37" s="182"/>
      <c r="S37" s="182"/>
      <c r="T37" s="182"/>
      <c r="U37" s="182"/>
      <c r="V37" s="183"/>
      <c r="W37" s="181" t="str">
        <f aca="false">IF(V37="","",YEAR(V37))</f>
        <v/>
      </c>
      <c r="X37" s="181" t="str">
        <f aca="true">IF(V37="","",DATEDIF(V37,TODAY(),"y")&amp;" ans "&amp;DATEDIF(V37,TODAY(),"ym")&amp;" mois")</f>
        <v/>
      </c>
      <c r="Y37" s="182"/>
      <c r="Z37" s="182"/>
      <c r="AA37" s="183"/>
      <c r="AB37" s="183"/>
      <c r="AC37" s="181" t="str">
        <f aca="false">IF(OR(AA37="",AB37=""),"",DATEDIF(AA37,AB37,"m")&amp;" mois")</f>
        <v/>
      </c>
      <c r="AD37" s="182"/>
      <c r="AE37" s="181" t="str">
        <f aca="true">IF(Y37="","",IF(Y37="CDI","Indetermine (CDI)",IF(AB37="","Non renseigne",IF(AB37&lt;TODAY(),"Expire",IF(AB37-TODAY()&lt;=60,"A renouveler bientot","Actif")))))</f>
        <v/>
      </c>
      <c r="AF37" s="185"/>
      <c r="AG37" s="182"/>
      <c r="AH37" s="182"/>
      <c r="AI37" s="185"/>
      <c r="AJ37" s="185"/>
      <c r="AK37" s="186" t="str">
        <f aca="false">IF(AF37="","",AF37+IF(AI37="",0,AI37)+IF(AJ37="",0,AJ37))</f>
        <v/>
      </c>
      <c r="AL37" s="182"/>
      <c r="AM37" s="182"/>
      <c r="AN37" s="182"/>
      <c r="AO37" s="183"/>
      <c r="AP37" s="182"/>
      <c r="AQ37" s="184"/>
    </row>
    <row r="38" customFormat="false" ht="15.75" hidden="false" customHeight="true" outlineLevel="0" collapsed="false">
      <c r="A38" s="181" t="str">
        <f aca="false">IF(B38="","","RH"&amp;TEXT(ROW()-26,"00000"))</f>
        <v/>
      </c>
      <c r="B38" s="182"/>
      <c r="C38" s="182"/>
      <c r="D38" s="182"/>
      <c r="E38" s="181" t="str">
        <f aca="false">IF(B38="","",TRIM(B38&amp;" "&amp;C38&amp;" "&amp;D38))</f>
        <v/>
      </c>
      <c r="F38" s="182"/>
      <c r="G38" s="183"/>
      <c r="H38" s="181" t="str">
        <f aca="true">IF(G38="","",DATEDIF(G38,TODAY(),"y"))</f>
        <v/>
      </c>
      <c r="I38" s="182"/>
      <c r="J38" s="182"/>
      <c r="K38" s="182"/>
      <c r="L38" s="184"/>
      <c r="M38" s="184"/>
      <c r="N38" s="182"/>
      <c r="O38" s="182"/>
      <c r="P38" s="182"/>
      <c r="Q38" s="182"/>
      <c r="R38" s="182"/>
      <c r="S38" s="182"/>
      <c r="T38" s="182"/>
      <c r="U38" s="182"/>
      <c r="V38" s="183"/>
      <c r="W38" s="181" t="str">
        <f aca="false">IF(V38="","",YEAR(V38))</f>
        <v/>
      </c>
      <c r="X38" s="181" t="str">
        <f aca="true">IF(V38="","",DATEDIF(V38,TODAY(),"y")&amp;" ans "&amp;DATEDIF(V38,TODAY(),"ym")&amp;" mois")</f>
        <v/>
      </c>
      <c r="Y38" s="182"/>
      <c r="Z38" s="182"/>
      <c r="AA38" s="183"/>
      <c r="AB38" s="183"/>
      <c r="AC38" s="181" t="str">
        <f aca="false">IF(OR(AA38="",AB38=""),"",DATEDIF(AA38,AB38,"m")&amp;" mois")</f>
        <v/>
      </c>
      <c r="AD38" s="182"/>
      <c r="AE38" s="181" t="str">
        <f aca="true">IF(Y38="","",IF(Y38="CDI","Indetermine (CDI)",IF(AB38="","Non renseigne",IF(AB38&lt;TODAY(),"Expire",IF(AB38-TODAY()&lt;=60,"A renouveler bientot","Actif")))))</f>
        <v/>
      </c>
      <c r="AF38" s="185"/>
      <c r="AG38" s="182"/>
      <c r="AH38" s="182"/>
      <c r="AI38" s="185"/>
      <c r="AJ38" s="185"/>
      <c r="AK38" s="186" t="str">
        <f aca="false">IF(AF38="","",AF38+IF(AI38="",0,AI38)+IF(AJ38="",0,AJ38))</f>
        <v/>
      </c>
      <c r="AL38" s="182"/>
      <c r="AM38" s="182"/>
      <c r="AN38" s="182"/>
      <c r="AO38" s="183"/>
      <c r="AP38" s="182"/>
      <c r="AQ38" s="184"/>
    </row>
    <row r="39" customFormat="false" ht="15.75" hidden="false" customHeight="true" outlineLevel="0" collapsed="false">
      <c r="A39" s="181" t="str">
        <f aca="false">IF(B39="","","RH"&amp;TEXT(ROW()-26,"00000"))</f>
        <v/>
      </c>
      <c r="B39" s="182"/>
      <c r="C39" s="182"/>
      <c r="D39" s="182"/>
      <c r="E39" s="181" t="str">
        <f aca="false">IF(B39="","",TRIM(B39&amp;" "&amp;C39&amp;" "&amp;D39))</f>
        <v/>
      </c>
      <c r="F39" s="182"/>
      <c r="G39" s="183"/>
      <c r="H39" s="181" t="str">
        <f aca="true">IF(G39="","",DATEDIF(G39,TODAY(),"y"))</f>
        <v/>
      </c>
      <c r="I39" s="182"/>
      <c r="J39" s="182"/>
      <c r="K39" s="182"/>
      <c r="L39" s="184"/>
      <c r="M39" s="184"/>
      <c r="N39" s="182"/>
      <c r="O39" s="182"/>
      <c r="P39" s="182"/>
      <c r="Q39" s="182"/>
      <c r="R39" s="182"/>
      <c r="S39" s="182"/>
      <c r="T39" s="182"/>
      <c r="U39" s="182"/>
      <c r="V39" s="183"/>
      <c r="W39" s="181" t="str">
        <f aca="false">IF(V39="","",YEAR(V39))</f>
        <v/>
      </c>
      <c r="X39" s="181" t="str">
        <f aca="true">IF(V39="","",DATEDIF(V39,TODAY(),"y")&amp;" ans "&amp;DATEDIF(V39,TODAY(),"ym")&amp;" mois")</f>
        <v/>
      </c>
      <c r="Y39" s="182"/>
      <c r="Z39" s="182"/>
      <c r="AA39" s="183"/>
      <c r="AB39" s="183"/>
      <c r="AC39" s="181" t="str">
        <f aca="false">IF(OR(AA39="",AB39=""),"",DATEDIF(AA39,AB39,"m")&amp;" mois")</f>
        <v/>
      </c>
      <c r="AD39" s="182"/>
      <c r="AE39" s="181" t="str">
        <f aca="true">IF(Y39="","",IF(Y39="CDI","Indetermine (CDI)",IF(AB39="","Non renseigne",IF(AB39&lt;TODAY(),"Expire",IF(AB39-TODAY()&lt;=60,"A renouveler bientot","Actif")))))</f>
        <v/>
      </c>
      <c r="AF39" s="185"/>
      <c r="AG39" s="182"/>
      <c r="AH39" s="182"/>
      <c r="AI39" s="185"/>
      <c r="AJ39" s="185"/>
      <c r="AK39" s="186" t="str">
        <f aca="false">IF(AF39="","",AF39+IF(AI39="",0,AI39)+IF(AJ39="",0,AJ39))</f>
        <v/>
      </c>
      <c r="AL39" s="182"/>
      <c r="AM39" s="182"/>
      <c r="AN39" s="182"/>
      <c r="AO39" s="183"/>
      <c r="AP39" s="182"/>
      <c r="AQ39" s="184"/>
    </row>
    <row r="40" customFormat="false" ht="15.75" hidden="false" customHeight="true" outlineLevel="0" collapsed="false">
      <c r="A40" s="181" t="str">
        <f aca="false">IF(B40="","","RH"&amp;TEXT(ROW()-26,"00000"))</f>
        <v/>
      </c>
      <c r="B40" s="182"/>
      <c r="C40" s="182"/>
      <c r="D40" s="182"/>
      <c r="E40" s="181" t="str">
        <f aca="false">IF(B40="","",TRIM(B40&amp;" "&amp;C40&amp;" "&amp;D40))</f>
        <v/>
      </c>
      <c r="F40" s="182"/>
      <c r="G40" s="183"/>
      <c r="H40" s="181" t="str">
        <f aca="true">IF(G40="","",DATEDIF(G40,TODAY(),"y"))</f>
        <v/>
      </c>
      <c r="I40" s="182"/>
      <c r="J40" s="182"/>
      <c r="K40" s="182"/>
      <c r="L40" s="184"/>
      <c r="M40" s="184"/>
      <c r="N40" s="182"/>
      <c r="O40" s="182"/>
      <c r="P40" s="182"/>
      <c r="Q40" s="182"/>
      <c r="R40" s="182"/>
      <c r="S40" s="182"/>
      <c r="T40" s="182"/>
      <c r="U40" s="182"/>
      <c r="V40" s="183"/>
      <c r="W40" s="181" t="str">
        <f aca="false">IF(V40="","",YEAR(V40))</f>
        <v/>
      </c>
      <c r="X40" s="181" t="str">
        <f aca="true">IF(V40="","",DATEDIF(V40,TODAY(),"y")&amp;" ans "&amp;DATEDIF(V40,TODAY(),"ym")&amp;" mois")</f>
        <v/>
      </c>
      <c r="Y40" s="182"/>
      <c r="Z40" s="182"/>
      <c r="AA40" s="183"/>
      <c r="AB40" s="183"/>
      <c r="AC40" s="181" t="str">
        <f aca="false">IF(OR(AA40="",AB40=""),"",DATEDIF(AA40,AB40,"m")&amp;" mois")</f>
        <v/>
      </c>
      <c r="AD40" s="182"/>
      <c r="AE40" s="181" t="str">
        <f aca="true">IF(Y40="","",IF(Y40="CDI","Indetermine (CDI)",IF(AB40="","Non renseigne",IF(AB40&lt;TODAY(),"Expire",IF(AB40-TODAY()&lt;=60,"A renouveler bientot","Actif")))))</f>
        <v/>
      </c>
      <c r="AF40" s="185"/>
      <c r="AG40" s="182"/>
      <c r="AH40" s="182"/>
      <c r="AI40" s="185"/>
      <c r="AJ40" s="185"/>
      <c r="AK40" s="186" t="str">
        <f aca="false">IF(AF40="","",AF40+IF(AI40="",0,AI40)+IF(AJ40="",0,AJ40))</f>
        <v/>
      </c>
      <c r="AL40" s="182"/>
      <c r="AM40" s="182"/>
      <c r="AN40" s="182"/>
      <c r="AO40" s="183"/>
      <c r="AP40" s="182"/>
      <c r="AQ40" s="184"/>
    </row>
    <row r="41" customFormat="false" ht="15.75" hidden="false" customHeight="true" outlineLevel="0" collapsed="false">
      <c r="A41" s="181" t="str">
        <f aca="false">IF(B41="","","RH"&amp;TEXT(ROW()-26,"00000"))</f>
        <v/>
      </c>
      <c r="B41" s="182"/>
      <c r="C41" s="182"/>
      <c r="D41" s="182"/>
      <c r="E41" s="181" t="str">
        <f aca="false">IF(B41="","",TRIM(B41&amp;" "&amp;C41&amp;" "&amp;D41))</f>
        <v/>
      </c>
      <c r="F41" s="182"/>
      <c r="G41" s="183"/>
      <c r="H41" s="181" t="str">
        <f aca="true">IF(G41="","",DATEDIF(G41,TODAY(),"y"))</f>
        <v/>
      </c>
      <c r="I41" s="182"/>
      <c r="J41" s="182"/>
      <c r="K41" s="182"/>
      <c r="L41" s="184"/>
      <c r="M41" s="184"/>
      <c r="N41" s="182"/>
      <c r="O41" s="182"/>
      <c r="P41" s="182"/>
      <c r="Q41" s="182"/>
      <c r="R41" s="182"/>
      <c r="S41" s="182"/>
      <c r="T41" s="182"/>
      <c r="U41" s="182"/>
      <c r="V41" s="183"/>
      <c r="W41" s="181" t="str">
        <f aca="false">IF(V41="","",YEAR(V41))</f>
        <v/>
      </c>
      <c r="X41" s="181" t="str">
        <f aca="true">IF(V41="","",DATEDIF(V41,TODAY(),"y")&amp;" ans "&amp;DATEDIF(V41,TODAY(),"ym")&amp;" mois")</f>
        <v/>
      </c>
      <c r="Y41" s="182"/>
      <c r="Z41" s="182"/>
      <c r="AA41" s="183"/>
      <c r="AB41" s="183"/>
      <c r="AC41" s="181" t="str">
        <f aca="false">IF(OR(AA41="",AB41=""),"",DATEDIF(AA41,AB41,"m")&amp;" mois")</f>
        <v/>
      </c>
      <c r="AD41" s="182"/>
      <c r="AE41" s="181" t="str">
        <f aca="true">IF(Y41="","",IF(Y41="CDI","Indetermine (CDI)",IF(AB41="","Non renseigne",IF(AB41&lt;TODAY(),"Expire",IF(AB41-TODAY()&lt;=60,"A renouveler bientot","Actif")))))</f>
        <v/>
      </c>
      <c r="AF41" s="185"/>
      <c r="AG41" s="182"/>
      <c r="AH41" s="182"/>
      <c r="AI41" s="185"/>
      <c r="AJ41" s="185"/>
      <c r="AK41" s="186" t="str">
        <f aca="false">IF(AF41="","",AF41+IF(AI41="",0,AI41)+IF(AJ41="",0,AJ41))</f>
        <v/>
      </c>
      <c r="AL41" s="182"/>
      <c r="AM41" s="182"/>
      <c r="AN41" s="182"/>
      <c r="AO41" s="183"/>
      <c r="AP41" s="182"/>
      <c r="AQ41" s="184"/>
    </row>
    <row r="42" customFormat="false" ht="15.75" hidden="false" customHeight="true" outlineLevel="0" collapsed="false">
      <c r="A42" s="181" t="str">
        <f aca="false">IF(B42="","","RH"&amp;TEXT(ROW()-26,"00000"))</f>
        <v/>
      </c>
      <c r="B42" s="182"/>
      <c r="C42" s="182"/>
      <c r="D42" s="182"/>
      <c r="E42" s="181" t="str">
        <f aca="false">IF(B42="","",TRIM(B42&amp;" "&amp;C42&amp;" "&amp;D42))</f>
        <v/>
      </c>
      <c r="F42" s="182"/>
      <c r="G42" s="183"/>
      <c r="H42" s="181" t="str">
        <f aca="true">IF(G42="","",DATEDIF(G42,TODAY(),"y"))</f>
        <v/>
      </c>
      <c r="I42" s="182"/>
      <c r="J42" s="182"/>
      <c r="K42" s="182"/>
      <c r="L42" s="184"/>
      <c r="M42" s="184"/>
      <c r="N42" s="182"/>
      <c r="O42" s="182"/>
      <c r="P42" s="182"/>
      <c r="Q42" s="182"/>
      <c r="R42" s="182"/>
      <c r="S42" s="182"/>
      <c r="T42" s="182"/>
      <c r="U42" s="182"/>
      <c r="V42" s="183"/>
      <c r="W42" s="181" t="str">
        <f aca="false">IF(V42="","",YEAR(V42))</f>
        <v/>
      </c>
      <c r="X42" s="181" t="str">
        <f aca="true">IF(V42="","",DATEDIF(V42,TODAY(),"y")&amp;" ans "&amp;DATEDIF(V42,TODAY(),"ym")&amp;" mois")</f>
        <v/>
      </c>
      <c r="Y42" s="182"/>
      <c r="Z42" s="182"/>
      <c r="AA42" s="183"/>
      <c r="AB42" s="183"/>
      <c r="AC42" s="181" t="str">
        <f aca="false">IF(OR(AA42="",AB42=""),"",DATEDIF(AA42,AB42,"m")&amp;" mois")</f>
        <v/>
      </c>
      <c r="AD42" s="182"/>
      <c r="AE42" s="181" t="str">
        <f aca="true">IF(Y42="","",IF(Y42="CDI","Indetermine (CDI)",IF(AB42="","Non renseigne",IF(AB42&lt;TODAY(),"Expire",IF(AB42-TODAY()&lt;=60,"A renouveler bientot","Actif")))))</f>
        <v/>
      </c>
      <c r="AF42" s="185"/>
      <c r="AG42" s="182"/>
      <c r="AH42" s="182"/>
      <c r="AI42" s="185"/>
      <c r="AJ42" s="185"/>
      <c r="AK42" s="186" t="str">
        <f aca="false">IF(AF42="","",AF42+IF(AI42="",0,AI42)+IF(AJ42="",0,AJ42))</f>
        <v/>
      </c>
      <c r="AL42" s="182"/>
      <c r="AM42" s="182"/>
      <c r="AN42" s="182"/>
      <c r="AO42" s="183"/>
      <c r="AP42" s="182"/>
      <c r="AQ42" s="184"/>
    </row>
    <row r="43" customFormat="false" ht="15.75" hidden="false" customHeight="true" outlineLevel="0" collapsed="false">
      <c r="A43" s="181" t="str">
        <f aca="false">IF(B43="","","RH"&amp;TEXT(ROW()-26,"00000"))</f>
        <v/>
      </c>
      <c r="B43" s="182"/>
      <c r="C43" s="182"/>
      <c r="D43" s="182"/>
      <c r="E43" s="181" t="str">
        <f aca="false">IF(B43="","",TRIM(B43&amp;" "&amp;C43&amp;" "&amp;D43))</f>
        <v/>
      </c>
      <c r="F43" s="182"/>
      <c r="G43" s="183"/>
      <c r="H43" s="181" t="str">
        <f aca="true">IF(G43="","",DATEDIF(G43,TODAY(),"y"))</f>
        <v/>
      </c>
      <c r="I43" s="182"/>
      <c r="J43" s="182"/>
      <c r="K43" s="182"/>
      <c r="L43" s="184"/>
      <c r="M43" s="184"/>
      <c r="N43" s="182"/>
      <c r="O43" s="182"/>
      <c r="P43" s="182"/>
      <c r="Q43" s="182"/>
      <c r="R43" s="182"/>
      <c r="S43" s="182"/>
      <c r="T43" s="182"/>
      <c r="U43" s="182"/>
      <c r="V43" s="183"/>
      <c r="W43" s="181" t="str">
        <f aca="false">IF(V43="","",YEAR(V43))</f>
        <v/>
      </c>
      <c r="X43" s="181" t="str">
        <f aca="true">IF(V43="","",DATEDIF(V43,TODAY(),"y")&amp;" ans "&amp;DATEDIF(V43,TODAY(),"ym")&amp;" mois")</f>
        <v/>
      </c>
      <c r="Y43" s="182"/>
      <c r="Z43" s="182"/>
      <c r="AA43" s="183"/>
      <c r="AB43" s="183"/>
      <c r="AC43" s="181" t="str">
        <f aca="false">IF(OR(AA43="",AB43=""),"",DATEDIF(AA43,AB43,"m")&amp;" mois")</f>
        <v/>
      </c>
      <c r="AD43" s="182"/>
      <c r="AE43" s="181" t="str">
        <f aca="true">IF(Y43="","",IF(Y43="CDI","Indetermine (CDI)",IF(AB43="","Non renseigne",IF(AB43&lt;TODAY(),"Expire",IF(AB43-TODAY()&lt;=60,"A renouveler bientot","Actif")))))</f>
        <v/>
      </c>
      <c r="AF43" s="185"/>
      <c r="AG43" s="182"/>
      <c r="AH43" s="182"/>
      <c r="AI43" s="185"/>
      <c r="AJ43" s="185"/>
      <c r="AK43" s="186" t="str">
        <f aca="false">IF(AF43="","",AF43+IF(AI43="",0,AI43)+IF(AJ43="",0,AJ43))</f>
        <v/>
      </c>
      <c r="AL43" s="182"/>
      <c r="AM43" s="182"/>
      <c r="AN43" s="182"/>
      <c r="AO43" s="183"/>
      <c r="AP43" s="182"/>
      <c r="AQ43" s="184"/>
    </row>
    <row r="44" customFormat="false" ht="15.75" hidden="false" customHeight="true" outlineLevel="0" collapsed="false">
      <c r="A44" s="181" t="str">
        <f aca="false">IF(B44="","","RH"&amp;TEXT(ROW()-26,"00000"))</f>
        <v/>
      </c>
      <c r="B44" s="182"/>
      <c r="C44" s="182"/>
      <c r="D44" s="182"/>
      <c r="E44" s="181" t="str">
        <f aca="false">IF(B44="","",TRIM(B44&amp;" "&amp;C44&amp;" "&amp;D44))</f>
        <v/>
      </c>
      <c r="F44" s="182"/>
      <c r="G44" s="183"/>
      <c r="H44" s="181" t="str">
        <f aca="true">IF(G44="","",DATEDIF(G44,TODAY(),"y"))</f>
        <v/>
      </c>
      <c r="I44" s="182"/>
      <c r="J44" s="182"/>
      <c r="K44" s="182"/>
      <c r="L44" s="184"/>
      <c r="M44" s="184"/>
      <c r="N44" s="182"/>
      <c r="O44" s="182"/>
      <c r="P44" s="182"/>
      <c r="Q44" s="182"/>
      <c r="R44" s="182"/>
      <c r="S44" s="182"/>
      <c r="T44" s="182"/>
      <c r="U44" s="182"/>
      <c r="V44" s="183"/>
      <c r="W44" s="181" t="str">
        <f aca="false">IF(V44="","",YEAR(V44))</f>
        <v/>
      </c>
      <c r="X44" s="181" t="str">
        <f aca="true">IF(V44="","",DATEDIF(V44,TODAY(),"y")&amp;" ans "&amp;DATEDIF(V44,TODAY(),"ym")&amp;" mois")</f>
        <v/>
      </c>
      <c r="Y44" s="182"/>
      <c r="Z44" s="182"/>
      <c r="AA44" s="183"/>
      <c r="AB44" s="183"/>
      <c r="AC44" s="181" t="str">
        <f aca="false">IF(OR(AA44="",AB44=""),"",DATEDIF(AA44,AB44,"m")&amp;" mois")</f>
        <v/>
      </c>
      <c r="AD44" s="182"/>
      <c r="AE44" s="181" t="str">
        <f aca="true">IF(Y44="","",IF(Y44="CDI","Indetermine (CDI)",IF(AB44="","Non renseigne",IF(AB44&lt;TODAY(),"Expire",IF(AB44-TODAY()&lt;=60,"A renouveler bientot","Actif")))))</f>
        <v/>
      </c>
      <c r="AF44" s="185"/>
      <c r="AG44" s="182"/>
      <c r="AH44" s="182"/>
      <c r="AI44" s="185"/>
      <c r="AJ44" s="185"/>
      <c r="AK44" s="186" t="str">
        <f aca="false">IF(AF44="","",AF44+IF(AI44="",0,AI44)+IF(AJ44="",0,AJ44))</f>
        <v/>
      </c>
      <c r="AL44" s="182"/>
      <c r="AM44" s="182"/>
      <c r="AN44" s="182"/>
      <c r="AO44" s="183"/>
      <c r="AP44" s="182"/>
      <c r="AQ44" s="184"/>
    </row>
    <row r="45" customFormat="false" ht="15.75" hidden="false" customHeight="true" outlineLevel="0" collapsed="false">
      <c r="A45" s="181" t="str">
        <f aca="false">IF(B45="","","RH"&amp;TEXT(ROW()-26,"00000"))</f>
        <v/>
      </c>
      <c r="B45" s="182"/>
      <c r="C45" s="182"/>
      <c r="D45" s="182"/>
      <c r="E45" s="181" t="str">
        <f aca="false">IF(B45="","",TRIM(B45&amp;" "&amp;C45&amp;" "&amp;D45))</f>
        <v/>
      </c>
      <c r="F45" s="182"/>
      <c r="G45" s="183"/>
      <c r="H45" s="181" t="str">
        <f aca="true">IF(G45="","",DATEDIF(G45,TODAY(),"y"))</f>
        <v/>
      </c>
      <c r="I45" s="182"/>
      <c r="J45" s="182"/>
      <c r="K45" s="182"/>
      <c r="L45" s="184"/>
      <c r="M45" s="184"/>
      <c r="N45" s="182"/>
      <c r="O45" s="182"/>
      <c r="P45" s="182"/>
      <c r="Q45" s="182"/>
      <c r="R45" s="182"/>
      <c r="S45" s="182"/>
      <c r="T45" s="182"/>
      <c r="U45" s="182"/>
      <c r="V45" s="183"/>
      <c r="W45" s="181" t="str">
        <f aca="false">IF(V45="","",YEAR(V45))</f>
        <v/>
      </c>
      <c r="X45" s="181" t="str">
        <f aca="true">IF(V45="","",DATEDIF(V45,TODAY(),"y")&amp;" ans "&amp;DATEDIF(V45,TODAY(),"ym")&amp;" mois")</f>
        <v/>
      </c>
      <c r="Y45" s="182"/>
      <c r="Z45" s="182"/>
      <c r="AA45" s="183"/>
      <c r="AB45" s="183"/>
      <c r="AC45" s="181" t="str">
        <f aca="false">IF(OR(AA45="",AB45=""),"",DATEDIF(AA45,AB45,"m")&amp;" mois")</f>
        <v/>
      </c>
      <c r="AD45" s="182"/>
      <c r="AE45" s="181" t="str">
        <f aca="true">IF(Y45="","",IF(Y45="CDI","Indetermine (CDI)",IF(AB45="","Non renseigne",IF(AB45&lt;TODAY(),"Expire",IF(AB45-TODAY()&lt;=60,"A renouveler bientot","Actif")))))</f>
        <v/>
      </c>
      <c r="AF45" s="185"/>
      <c r="AG45" s="182"/>
      <c r="AH45" s="182"/>
      <c r="AI45" s="185"/>
      <c r="AJ45" s="185"/>
      <c r="AK45" s="186" t="str">
        <f aca="false">IF(AF45="","",AF45+IF(AI45="",0,AI45)+IF(AJ45="",0,AJ45))</f>
        <v/>
      </c>
      <c r="AL45" s="182"/>
      <c r="AM45" s="182"/>
      <c r="AN45" s="182"/>
      <c r="AO45" s="183"/>
      <c r="AP45" s="182"/>
      <c r="AQ45" s="184"/>
    </row>
    <row r="46" customFormat="false" ht="15.75" hidden="false" customHeight="true" outlineLevel="0" collapsed="false">
      <c r="A46" s="181" t="str">
        <f aca="false">IF(B46="","","RH"&amp;TEXT(ROW()-26,"00000"))</f>
        <v/>
      </c>
      <c r="B46" s="182"/>
      <c r="C46" s="182"/>
      <c r="D46" s="182"/>
      <c r="E46" s="181" t="str">
        <f aca="false">IF(B46="","",TRIM(B46&amp;" "&amp;C46&amp;" "&amp;D46))</f>
        <v/>
      </c>
      <c r="F46" s="182"/>
      <c r="G46" s="183"/>
      <c r="H46" s="181" t="str">
        <f aca="true">IF(G46="","",DATEDIF(G46,TODAY(),"y"))</f>
        <v/>
      </c>
      <c r="I46" s="182"/>
      <c r="J46" s="182"/>
      <c r="K46" s="182"/>
      <c r="L46" s="184"/>
      <c r="M46" s="184"/>
      <c r="N46" s="182"/>
      <c r="O46" s="182"/>
      <c r="P46" s="182"/>
      <c r="Q46" s="182"/>
      <c r="R46" s="182"/>
      <c r="S46" s="182"/>
      <c r="T46" s="182"/>
      <c r="U46" s="182"/>
      <c r="V46" s="183"/>
      <c r="W46" s="181" t="str">
        <f aca="false">IF(V46="","",YEAR(V46))</f>
        <v/>
      </c>
      <c r="X46" s="181" t="str">
        <f aca="true">IF(V46="","",DATEDIF(V46,TODAY(),"y")&amp;" ans "&amp;DATEDIF(V46,TODAY(),"ym")&amp;" mois")</f>
        <v/>
      </c>
      <c r="Y46" s="182"/>
      <c r="Z46" s="182"/>
      <c r="AA46" s="183"/>
      <c r="AB46" s="183"/>
      <c r="AC46" s="181" t="str">
        <f aca="false">IF(OR(AA46="",AB46=""),"",DATEDIF(AA46,AB46,"m")&amp;" mois")</f>
        <v/>
      </c>
      <c r="AD46" s="182"/>
      <c r="AE46" s="181" t="str">
        <f aca="true">IF(Y46="","",IF(Y46="CDI","Indetermine (CDI)",IF(AB46="","Non renseigne",IF(AB46&lt;TODAY(),"Expire",IF(AB46-TODAY()&lt;=60,"A renouveler bientot","Actif")))))</f>
        <v/>
      </c>
      <c r="AF46" s="185"/>
      <c r="AG46" s="182"/>
      <c r="AH46" s="182"/>
      <c r="AI46" s="185"/>
      <c r="AJ46" s="185"/>
      <c r="AK46" s="186" t="str">
        <f aca="false">IF(AF46="","",AF46+IF(AI46="",0,AI46)+IF(AJ46="",0,AJ46))</f>
        <v/>
      </c>
      <c r="AL46" s="182"/>
      <c r="AM46" s="182"/>
      <c r="AN46" s="182"/>
      <c r="AO46" s="183"/>
      <c r="AP46" s="182"/>
      <c r="AQ46" s="184"/>
    </row>
    <row r="47" customFormat="false" ht="15.75" hidden="false" customHeight="true" outlineLevel="0" collapsed="false">
      <c r="A47" s="181" t="str">
        <f aca="false">IF(B47="","","RH"&amp;TEXT(ROW()-26,"00000"))</f>
        <v/>
      </c>
      <c r="B47" s="182"/>
      <c r="C47" s="182"/>
      <c r="D47" s="182"/>
      <c r="E47" s="181" t="str">
        <f aca="false">IF(B47="","",TRIM(B47&amp;" "&amp;C47&amp;" "&amp;D47))</f>
        <v/>
      </c>
      <c r="F47" s="182"/>
      <c r="G47" s="183"/>
      <c r="H47" s="181" t="str">
        <f aca="true">IF(G47="","",DATEDIF(G47,TODAY(),"y"))</f>
        <v/>
      </c>
      <c r="I47" s="182"/>
      <c r="J47" s="182"/>
      <c r="K47" s="182"/>
      <c r="L47" s="184"/>
      <c r="M47" s="184"/>
      <c r="N47" s="182"/>
      <c r="O47" s="182"/>
      <c r="P47" s="182"/>
      <c r="Q47" s="182"/>
      <c r="R47" s="182"/>
      <c r="S47" s="182"/>
      <c r="T47" s="182"/>
      <c r="U47" s="182"/>
      <c r="V47" s="183"/>
      <c r="W47" s="181" t="str">
        <f aca="false">IF(V47="","",YEAR(V47))</f>
        <v/>
      </c>
      <c r="X47" s="181" t="str">
        <f aca="true">IF(V47="","",DATEDIF(V47,TODAY(),"y")&amp;" ans "&amp;DATEDIF(V47,TODAY(),"ym")&amp;" mois")</f>
        <v/>
      </c>
      <c r="Y47" s="182"/>
      <c r="Z47" s="182"/>
      <c r="AA47" s="183"/>
      <c r="AB47" s="183"/>
      <c r="AC47" s="181" t="str">
        <f aca="false">IF(OR(AA47="",AB47=""),"",DATEDIF(AA47,AB47,"m")&amp;" mois")</f>
        <v/>
      </c>
      <c r="AD47" s="182"/>
      <c r="AE47" s="181" t="str">
        <f aca="true">IF(Y47="","",IF(Y47="CDI","Indetermine (CDI)",IF(AB47="","Non renseigne",IF(AB47&lt;TODAY(),"Expire",IF(AB47-TODAY()&lt;=60,"A renouveler bientot","Actif")))))</f>
        <v/>
      </c>
      <c r="AF47" s="185"/>
      <c r="AG47" s="182"/>
      <c r="AH47" s="182"/>
      <c r="AI47" s="185"/>
      <c r="AJ47" s="185"/>
      <c r="AK47" s="186" t="str">
        <f aca="false">IF(AF47="","",AF47+IF(AI47="",0,AI47)+IF(AJ47="",0,AJ47))</f>
        <v/>
      </c>
      <c r="AL47" s="182"/>
      <c r="AM47" s="182"/>
      <c r="AN47" s="182"/>
      <c r="AO47" s="183"/>
      <c r="AP47" s="182"/>
      <c r="AQ47" s="184"/>
    </row>
    <row r="48" customFormat="false" ht="15.75" hidden="false" customHeight="true" outlineLevel="0" collapsed="false">
      <c r="A48" s="181" t="str">
        <f aca="false">IF(B48="","","RH"&amp;TEXT(ROW()-26,"00000"))</f>
        <v/>
      </c>
      <c r="B48" s="182"/>
      <c r="C48" s="182"/>
      <c r="D48" s="182"/>
      <c r="E48" s="181" t="str">
        <f aca="false">IF(B48="","",TRIM(B48&amp;" "&amp;C48&amp;" "&amp;D48))</f>
        <v/>
      </c>
      <c r="F48" s="182"/>
      <c r="G48" s="183"/>
      <c r="H48" s="181" t="str">
        <f aca="true">IF(G48="","",DATEDIF(G48,TODAY(),"y"))</f>
        <v/>
      </c>
      <c r="I48" s="182"/>
      <c r="J48" s="182"/>
      <c r="K48" s="182"/>
      <c r="L48" s="184"/>
      <c r="M48" s="184"/>
      <c r="N48" s="182"/>
      <c r="O48" s="182"/>
      <c r="P48" s="182"/>
      <c r="Q48" s="182"/>
      <c r="R48" s="182"/>
      <c r="S48" s="182"/>
      <c r="T48" s="182"/>
      <c r="U48" s="182"/>
      <c r="V48" s="183"/>
      <c r="W48" s="181" t="str">
        <f aca="false">IF(V48="","",YEAR(V48))</f>
        <v/>
      </c>
      <c r="X48" s="181" t="str">
        <f aca="true">IF(V48="","",DATEDIF(V48,TODAY(),"y")&amp;" ans "&amp;DATEDIF(V48,TODAY(),"ym")&amp;" mois")</f>
        <v/>
      </c>
      <c r="Y48" s="182"/>
      <c r="Z48" s="182"/>
      <c r="AA48" s="183"/>
      <c r="AB48" s="183"/>
      <c r="AC48" s="181" t="str">
        <f aca="false">IF(OR(AA48="",AB48=""),"",DATEDIF(AA48,AB48,"m")&amp;" mois")</f>
        <v/>
      </c>
      <c r="AD48" s="182"/>
      <c r="AE48" s="181" t="str">
        <f aca="true">IF(Y48="","",IF(Y48="CDI","Indetermine (CDI)",IF(AB48="","Non renseigne",IF(AB48&lt;TODAY(),"Expire",IF(AB48-TODAY()&lt;=60,"A renouveler bientot","Actif")))))</f>
        <v/>
      </c>
      <c r="AF48" s="185"/>
      <c r="AG48" s="182"/>
      <c r="AH48" s="182"/>
      <c r="AI48" s="185"/>
      <c r="AJ48" s="185"/>
      <c r="AK48" s="186" t="str">
        <f aca="false">IF(AF48="","",AF48+IF(AI48="",0,AI48)+IF(AJ48="",0,AJ48))</f>
        <v/>
      </c>
      <c r="AL48" s="182"/>
      <c r="AM48" s="182"/>
      <c r="AN48" s="182"/>
      <c r="AO48" s="183"/>
      <c r="AP48" s="182"/>
      <c r="AQ48" s="184"/>
    </row>
    <row r="49" customFormat="false" ht="15.75" hidden="false" customHeight="true" outlineLevel="0" collapsed="false">
      <c r="A49" s="181" t="str">
        <f aca="false">IF(B49="","","RH"&amp;TEXT(ROW()-26,"00000"))</f>
        <v/>
      </c>
      <c r="B49" s="182"/>
      <c r="C49" s="182"/>
      <c r="D49" s="182"/>
      <c r="E49" s="181" t="str">
        <f aca="false">IF(B49="","",TRIM(B49&amp;" "&amp;C49&amp;" "&amp;D49))</f>
        <v/>
      </c>
      <c r="F49" s="182"/>
      <c r="G49" s="183"/>
      <c r="H49" s="181" t="str">
        <f aca="true">IF(G49="","",DATEDIF(G49,TODAY(),"y"))</f>
        <v/>
      </c>
      <c r="I49" s="182"/>
      <c r="J49" s="182"/>
      <c r="K49" s="182"/>
      <c r="L49" s="184"/>
      <c r="M49" s="184"/>
      <c r="N49" s="182"/>
      <c r="O49" s="182"/>
      <c r="P49" s="182"/>
      <c r="Q49" s="182"/>
      <c r="R49" s="182"/>
      <c r="S49" s="182"/>
      <c r="T49" s="182"/>
      <c r="U49" s="182"/>
      <c r="V49" s="183"/>
      <c r="W49" s="181" t="str">
        <f aca="false">IF(V49="","",YEAR(V49))</f>
        <v/>
      </c>
      <c r="X49" s="181" t="str">
        <f aca="true">IF(V49="","",DATEDIF(V49,TODAY(),"y")&amp;" ans "&amp;DATEDIF(V49,TODAY(),"ym")&amp;" mois")</f>
        <v/>
      </c>
      <c r="Y49" s="182"/>
      <c r="Z49" s="182"/>
      <c r="AA49" s="183"/>
      <c r="AB49" s="183"/>
      <c r="AC49" s="181" t="str">
        <f aca="false">IF(OR(AA49="",AB49=""),"",DATEDIF(AA49,AB49,"m")&amp;" mois")</f>
        <v/>
      </c>
      <c r="AD49" s="182"/>
      <c r="AE49" s="181" t="str">
        <f aca="true">IF(Y49="","",IF(Y49="CDI","Indetermine (CDI)",IF(AB49="","Non renseigne",IF(AB49&lt;TODAY(),"Expire",IF(AB49-TODAY()&lt;=60,"A renouveler bientot","Actif")))))</f>
        <v/>
      </c>
      <c r="AF49" s="185"/>
      <c r="AG49" s="182"/>
      <c r="AH49" s="182"/>
      <c r="AI49" s="185"/>
      <c r="AJ49" s="185"/>
      <c r="AK49" s="186" t="str">
        <f aca="false">IF(AF49="","",AF49+IF(AI49="",0,AI49)+IF(AJ49="",0,AJ49))</f>
        <v/>
      </c>
      <c r="AL49" s="182"/>
      <c r="AM49" s="182"/>
      <c r="AN49" s="182"/>
      <c r="AO49" s="183"/>
      <c r="AP49" s="182"/>
      <c r="AQ49" s="184"/>
    </row>
    <row r="50" customFormat="false" ht="15.75" hidden="false" customHeight="true" outlineLevel="0" collapsed="false">
      <c r="A50" s="181" t="str">
        <f aca="false">IF(B50="","","RH"&amp;TEXT(ROW()-26,"00000"))</f>
        <v/>
      </c>
      <c r="B50" s="182"/>
      <c r="C50" s="182"/>
      <c r="D50" s="182"/>
      <c r="E50" s="181" t="str">
        <f aca="false">IF(B50="","",TRIM(B50&amp;" "&amp;C50&amp;" "&amp;D50))</f>
        <v/>
      </c>
      <c r="F50" s="182"/>
      <c r="G50" s="183"/>
      <c r="H50" s="181" t="str">
        <f aca="true">IF(G50="","",DATEDIF(G50,TODAY(),"y"))</f>
        <v/>
      </c>
      <c r="I50" s="182"/>
      <c r="J50" s="182"/>
      <c r="K50" s="182"/>
      <c r="L50" s="184"/>
      <c r="M50" s="184"/>
      <c r="N50" s="182"/>
      <c r="O50" s="182"/>
      <c r="P50" s="182"/>
      <c r="Q50" s="182"/>
      <c r="R50" s="182"/>
      <c r="S50" s="182"/>
      <c r="T50" s="182"/>
      <c r="U50" s="182"/>
      <c r="V50" s="183"/>
      <c r="W50" s="181" t="str">
        <f aca="false">IF(V50="","",YEAR(V50))</f>
        <v/>
      </c>
      <c r="X50" s="181" t="str">
        <f aca="true">IF(V50="","",DATEDIF(V50,TODAY(),"y")&amp;" ans "&amp;DATEDIF(V50,TODAY(),"ym")&amp;" mois")</f>
        <v/>
      </c>
      <c r="Y50" s="182"/>
      <c r="Z50" s="182"/>
      <c r="AA50" s="183"/>
      <c r="AB50" s="183"/>
      <c r="AC50" s="181" t="str">
        <f aca="false">IF(OR(AA50="",AB50=""),"",DATEDIF(AA50,AB50,"m")&amp;" mois")</f>
        <v/>
      </c>
      <c r="AD50" s="182"/>
      <c r="AE50" s="181" t="str">
        <f aca="true">IF(Y50="","",IF(Y50="CDI","Indetermine (CDI)",IF(AB50="","Non renseigne",IF(AB50&lt;TODAY(),"Expire",IF(AB50-TODAY()&lt;=60,"A renouveler bientot","Actif")))))</f>
        <v/>
      </c>
      <c r="AF50" s="185"/>
      <c r="AG50" s="182"/>
      <c r="AH50" s="182"/>
      <c r="AI50" s="185"/>
      <c r="AJ50" s="185"/>
      <c r="AK50" s="186" t="str">
        <f aca="false">IF(AF50="","",AF50+IF(AI50="",0,AI50)+IF(AJ50="",0,AJ50))</f>
        <v/>
      </c>
      <c r="AL50" s="182"/>
      <c r="AM50" s="182"/>
      <c r="AN50" s="182"/>
      <c r="AO50" s="183"/>
      <c r="AP50" s="182"/>
      <c r="AQ50" s="184"/>
    </row>
    <row r="51" customFormat="false" ht="15.75" hidden="false" customHeight="true" outlineLevel="0" collapsed="false">
      <c r="A51" s="181" t="str">
        <f aca="false">IF(B51="","","RH"&amp;TEXT(ROW()-26,"00000"))</f>
        <v/>
      </c>
      <c r="B51" s="182"/>
      <c r="C51" s="182"/>
      <c r="D51" s="182"/>
      <c r="E51" s="181" t="str">
        <f aca="false">IF(B51="","",TRIM(B51&amp;" "&amp;C51&amp;" "&amp;D51))</f>
        <v/>
      </c>
      <c r="F51" s="182"/>
      <c r="G51" s="183"/>
      <c r="H51" s="181" t="str">
        <f aca="true">IF(G51="","",DATEDIF(G51,TODAY(),"y"))</f>
        <v/>
      </c>
      <c r="I51" s="182"/>
      <c r="J51" s="182"/>
      <c r="K51" s="182"/>
      <c r="L51" s="184"/>
      <c r="M51" s="184"/>
      <c r="N51" s="182"/>
      <c r="O51" s="182"/>
      <c r="P51" s="182"/>
      <c r="Q51" s="182"/>
      <c r="R51" s="182"/>
      <c r="S51" s="182"/>
      <c r="T51" s="182"/>
      <c r="U51" s="182"/>
      <c r="V51" s="183"/>
      <c r="W51" s="181" t="str">
        <f aca="false">IF(V51="","",YEAR(V51))</f>
        <v/>
      </c>
      <c r="X51" s="181" t="str">
        <f aca="true">IF(V51="","",DATEDIF(V51,TODAY(),"y")&amp;" ans "&amp;DATEDIF(V51,TODAY(),"ym")&amp;" mois")</f>
        <v/>
      </c>
      <c r="Y51" s="182"/>
      <c r="Z51" s="182"/>
      <c r="AA51" s="183"/>
      <c r="AB51" s="183"/>
      <c r="AC51" s="181" t="str">
        <f aca="false">IF(OR(AA51="",AB51=""),"",DATEDIF(AA51,AB51,"m")&amp;" mois")</f>
        <v/>
      </c>
      <c r="AD51" s="182"/>
      <c r="AE51" s="181" t="str">
        <f aca="true">IF(Y51="","",IF(Y51="CDI","Indetermine (CDI)",IF(AB51="","Non renseigne",IF(AB51&lt;TODAY(),"Expire",IF(AB51-TODAY()&lt;=60,"A renouveler bientot","Actif")))))</f>
        <v/>
      </c>
      <c r="AF51" s="185"/>
      <c r="AG51" s="182"/>
      <c r="AH51" s="182"/>
      <c r="AI51" s="185"/>
      <c r="AJ51" s="185"/>
      <c r="AK51" s="186" t="str">
        <f aca="false">IF(AF51="","",AF51+IF(AI51="",0,AI51)+IF(AJ51="",0,AJ51))</f>
        <v/>
      </c>
      <c r="AL51" s="182"/>
      <c r="AM51" s="182"/>
      <c r="AN51" s="182"/>
      <c r="AO51" s="183"/>
      <c r="AP51" s="182"/>
      <c r="AQ51" s="184"/>
    </row>
    <row r="52" customFormat="false" ht="15.75" hidden="false" customHeight="true" outlineLevel="0" collapsed="false">
      <c r="A52" s="181" t="str">
        <f aca="false">IF(B52="","","RH"&amp;TEXT(ROW()-26,"00000"))</f>
        <v/>
      </c>
      <c r="B52" s="182"/>
      <c r="C52" s="182"/>
      <c r="D52" s="182"/>
      <c r="E52" s="181" t="str">
        <f aca="false">IF(B52="","",TRIM(B52&amp;" "&amp;C52&amp;" "&amp;D52))</f>
        <v/>
      </c>
      <c r="F52" s="182"/>
      <c r="G52" s="183"/>
      <c r="H52" s="181" t="str">
        <f aca="true">IF(G52="","",DATEDIF(G52,TODAY(),"y"))</f>
        <v/>
      </c>
      <c r="I52" s="182"/>
      <c r="J52" s="182"/>
      <c r="K52" s="182"/>
      <c r="L52" s="184"/>
      <c r="M52" s="184"/>
      <c r="N52" s="182"/>
      <c r="O52" s="182"/>
      <c r="P52" s="182"/>
      <c r="Q52" s="182"/>
      <c r="R52" s="182"/>
      <c r="S52" s="182"/>
      <c r="T52" s="182"/>
      <c r="U52" s="182"/>
      <c r="V52" s="183"/>
      <c r="W52" s="181" t="str">
        <f aca="false">IF(V52="","",YEAR(V52))</f>
        <v/>
      </c>
      <c r="X52" s="181" t="str">
        <f aca="true">IF(V52="","",DATEDIF(V52,TODAY(),"y")&amp;" ans "&amp;DATEDIF(V52,TODAY(),"ym")&amp;" mois")</f>
        <v/>
      </c>
      <c r="Y52" s="182"/>
      <c r="Z52" s="182"/>
      <c r="AA52" s="183"/>
      <c r="AB52" s="183"/>
      <c r="AC52" s="181" t="str">
        <f aca="false">IF(OR(AA52="",AB52=""),"",DATEDIF(AA52,AB52,"m")&amp;" mois")</f>
        <v/>
      </c>
      <c r="AD52" s="182"/>
      <c r="AE52" s="181" t="str">
        <f aca="true">IF(Y52="","",IF(Y52="CDI","Indetermine (CDI)",IF(AB52="","Non renseigne",IF(AB52&lt;TODAY(),"Expire",IF(AB52-TODAY()&lt;=60,"A renouveler bientot","Actif")))))</f>
        <v/>
      </c>
      <c r="AF52" s="185"/>
      <c r="AG52" s="182"/>
      <c r="AH52" s="182"/>
      <c r="AI52" s="185"/>
      <c r="AJ52" s="185"/>
      <c r="AK52" s="186" t="str">
        <f aca="false">IF(AF52="","",AF52+IF(AI52="",0,AI52)+IF(AJ52="",0,AJ52))</f>
        <v/>
      </c>
      <c r="AL52" s="182"/>
      <c r="AM52" s="182"/>
      <c r="AN52" s="182"/>
      <c r="AO52" s="183"/>
      <c r="AP52" s="182"/>
      <c r="AQ52" s="184"/>
    </row>
    <row r="53" customFormat="false" ht="15.75" hidden="false" customHeight="true" outlineLevel="0" collapsed="false">
      <c r="A53" s="181" t="str">
        <f aca="false">IF(B53="","","RH"&amp;TEXT(ROW()-26,"00000"))</f>
        <v/>
      </c>
      <c r="B53" s="182"/>
      <c r="C53" s="182"/>
      <c r="D53" s="182"/>
      <c r="E53" s="181" t="str">
        <f aca="false">IF(B53="","",TRIM(B53&amp;" "&amp;C53&amp;" "&amp;D53))</f>
        <v/>
      </c>
      <c r="F53" s="182"/>
      <c r="G53" s="183"/>
      <c r="H53" s="181" t="str">
        <f aca="true">IF(G53="","",DATEDIF(G53,TODAY(),"y"))</f>
        <v/>
      </c>
      <c r="I53" s="182"/>
      <c r="J53" s="182"/>
      <c r="K53" s="182"/>
      <c r="L53" s="184"/>
      <c r="M53" s="184"/>
      <c r="N53" s="182"/>
      <c r="O53" s="182"/>
      <c r="P53" s="182"/>
      <c r="Q53" s="182"/>
      <c r="R53" s="182"/>
      <c r="S53" s="182"/>
      <c r="T53" s="182"/>
      <c r="U53" s="182"/>
      <c r="V53" s="183"/>
      <c r="W53" s="181" t="str">
        <f aca="false">IF(V53="","",YEAR(V53))</f>
        <v/>
      </c>
      <c r="X53" s="181" t="str">
        <f aca="true">IF(V53="","",DATEDIF(V53,TODAY(),"y")&amp;" ans "&amp;DATEDIF(V53,TODAY(),"ym")&amp;" mois")</f>
        <v/>
      </c>
      <c r="Y53" s="182"/>
      <c r="Z53" s="182"/>
      <c r="AA53" s="183"/>
      <c r="AB53" s="183"/>
      <c r="AC53" s="181" t="str">
        <f aca="false">IF(OR(AA53="",AB53=""),"",DATEDIF(AA53,AB53,"m")&amp;" mois")</f>
        <v/>
      </c>
      <c r="AD53" s="182"/>
      <c r="AE53" s="181" t="str">
        <f aca="true">IF(Y53="","",IF(Y53="CDI","Indetermine (CDI)",IF(AB53="","Non renseigne",IF(AB53&lt;TODAY(),"Expire",IF(AB53-TODAY()&lt;=60,"A renouveler bientot","Actif")))))</f>
        <v/>
      </c>
      <c r="AF53" s="185"/>
      <c r="AG53" s="182"/>
      <c r="AH53" s="182"/>
      <c r="AI53" s="185"/>
      <c r="AJ53" s="185"/>
      <c r="AK53" s="186" t="str">
        <f aca="false">IF(AF53="","",AF53+IF(AI53="",0,AI53)+IF(AJ53="",0,AJ53))</f>
        <v/>
      </c>
      <c r="AL53" s="182"/>
      <c r="AM53" s="182"/>
      <c r="AN53" s="182"/>
      <c r="AO53" s="183"/>
      <c r="AP53" s="182"/>
      <c r="AQ53" s="184"/>
    </row>
    <row r="54" customFormat="false" ht="15.75" hidden="false" customHeight="true" outlineLevel="0" collapsed="false">
      <c r="A54" s="181" t="str">
        <f aca="false">IF(B54="","","RH"&amp;TEXT(ROW()-26,"00000"))</f>
        <v/>
      </c>
      <c r="B54" s="182"/>
      <c r="C54" s="182"/>
      <c r="D54" s="182"/>
      <c r="E54" s="181" t="str">
        <f aca="false">IF(B54="","",TRIM(B54&amp;" "&amp;C54&amp;" "&amp;D54))</f>
        <v/>
      </c>
      <c r="F54" s="182"/>
      <c r="G54" s="183"/>
      <c r="H54" s="181" t="str">
        <f aca="true">IF(G54="","",DATEDIF(G54,TODAY(),"y"))</f>
        <v/>
      </c>
      <c r="I54" s="182"/>
      <c r="J54" s="182"/>
      <c r="K54" s="182"/>
      <c r="L54" s="184"/>
      <c r="M54" s="184"/>
      <c r="N54" s="182"/>
      <c r="O54" s="182"/>
      <c r="P54" s="182"/>
      <c r="Q54" s="182"/>
      <c r="R54" s="182"/>
      <c r="S54" s="182"/>
      <c r="T54" s="182"/>
      <c r="U54" s="182"/>
      <c r="V54" s="183"/>
      <c r="W54" s="181" t="str">
        <f aca="false">IF(V54="","",YEAR(V54))</f>
        <v/>
      </c>
      <c r="X54" s="181" t="str">
        <f aca="true">IF(V54="","",DATEDIF(V54,TODAY(),"y")&amp;" ans "&amp;DATEDIF(V54,TODAY(),"ym")&amp;" mois")</f>
        <v/>
      </c>
      <c r="Y54" s="182"/>
      <c r="Z54" s="182"/>
      <c r="AA54" s="183"/>
      <c r="AB54" s="183"/>
      <c r="AC54" s="181" t="str">
        <f aca="false">IF(OR(AA54="",AB54=""),"",DATEDIF(AA54,AB54,"m")&amp;" mois")</f>
        <v/>
      </c>
      <c r="AD54" s="182"/>
      <c r="AE54" s="181" t="str">
        <f aca="true">IF(Y54="","",IF(Y54="CDI","Indetermine (CDI)",IF(AB54="","Non renseigne",IF(AB54&lt;TODAY(),"Expire",IF(AB54-TODAY()&lt;=60,"A renouveler bientot","Actif")))))</f>
        <v/>
      </c>
      <c r="AF54" s="185"/>
      <c r="AG54" s="182"/>
      <c r="AH54" s="182"/>
      <c r="AI54" s="185"/>
      <c r="AJ54" s="185"/>
      <c r="AK54" s="186" t="str">
        <f aca="false">IF(AF54="","",AF54+IF(AI54="",0,AI54)+IF(AJ54="",0,AJ54))</f>
        <v/>
      </c>
      <c r="AL54" s="182"/>
      <c r="AM54" s="182"/>
      <c r="AN54" s="182"/>
      <c r="AO54" s="183"/>
      <c r="AP54" s="182"/>
      <c r="AQ54" s="184"/>
    </row>
    <row r="55" customFormat="false" ht="15.75" hidden="false" customHeight="true" outlineLevel="0" collapsed="false">
      <c r="A55" s="181" t="str">
        <f aca="false">IF(B55="","","RH"&amp;TEXT(ROW()-26,"00000"))</f>
        <v/>
      </c>
      <c r="B55" s="182"/>
      <c r="C55" s="182"/>
      <c r="D55" s="182"/>
      <c r="E55" s="181" t="str">
        <f aca="false">IF(B55="","",TRIM(B55&amp;" "&amp;C55&amp;" "&amp;D55))</f>
        <v/>
      </c>
      <c r="F55" s="182"/>
      <c r="G55" s="183"/>
      <c r="H55" s="181" t="str">
        <f aca="true">IF(G55="","",DATEDIF(G55,TODAY(),"y"))</f>
        <v/>
      </c>
      <c r="I55" s="182"/>
      <c r="J55" s="182"/>
      <c r="K55" s="182"/>
      <c r="L55" s="184"/>
      <c r="M55" s="184"/>
      <c r="N55" s="182"/>
      <c r="O55" s="182"/>
      <c r="P55" s="182"/>
      <c r="Q55" s="182"/>
      <c r="R55" s="182"/>
      <c r="S55" s="182"/>
      <c r="T55" s="182"/>
      <c r="U55" s="182"/>
      <c r="V55" s="183"/>
      <c r="W55" s="181" t="str">
        <f aca="false">IF(V55="","",YEAR(V55))</f>
        <v/>
      </c>
      <c r="X55" s="181" t="str">
        <f aca="true">IF(V55="","",DATEDIF(V55,TODAY(),"y")&amp;" ans "&amp;DATEDIF(V55,TODAY(),"ym")&amp;" mois")</f>
        <v/>
      </c>
      <c r="Y55" s="182"/>
      <c r="Z55" s="182"/>
      <c r="AA55" s="183"/>
      <c r="AB55" s="183"/>
      <c r="AC55" s="181" t="str">
        <f aca="false">IF(OR(AA55="",AB55=""),"",DATEDIF(AA55,AB55,"m")&amp;" mois")</f>
        <v/>
      </c>
      <c r="AD55" s="182"/>
      <c r="AE55" s="181" t="str">
        <f aca="true">IF(Y55="","",IF(Y55="CDI","Indetermine (CDI)",IF(AB55="","Non renseigne",IF(AB55&lt;TODAY(),"Expire",IF(AB55-TODAY()&lt;=60,"A renouveler bientot","Actif")))))</f>
        <v/>
      </c>
      <c r="AF55" s="185"/>
      <c r="AG55" s="182"/>
      <c r="AH55" s="182"/>
      <c r="AI55" s="185"/>
      <c r="AJ55" s="185"/>
      <c r="AK55" s="186" t="str">
        <f aca="false">IF(AF55="","",AF55+IF(AI55="",0,AI55)+IF(AJ55="",0,AJ55))</f>
        <v/>
      </c>
      <c r="AL55" s="182"/>
      <c r="AM55" s="182"/>
      <c r="AN55" s="182"/>
      <c r="AO55" s="183"/>
      <c r="AP55" s="182"/>
      <c r="AQ55" s="184"/>
    </row>
    <row r="56" customFormat="false" ht="15.75" hidden="false" customHeight="true" outlineLevel="0" collapsed="false">
      <c r="A56" s="181" t="str">
        <f aca="false">IF(B56="","","RH"&amp;TEXT(ROW()-26,"00000"))</f>
        <v/>
      </c>
      <c r="B56" s="182"/>
      <c r="C56" s="182"/>
      <c r="D56" s="182"/>
      <c r="E56" s="181" t="str">
        <f aca="false">IF(B56="","",TRIM(B56&amp;" "&amp;C56&amp;" "&amp;D56))</f>
        <v/>
      </c>
      <c r="F56" s="182"/>
      <c r="G56" s="183"/>
      <c r="H56" s="181" t="str">
        <f aca="true">IF(G56="","",DATEDIF(G56,TODAY(),"y"))</f>
        <v/>
      </c>
      <c r="I56" s="182"/>
      <c r="J56" s="182"/>
      <c r="K56" s="182"/>
      <c r="L56" s="184"/>
      <c r="M56" s="184"/>
      <c r="N56" s="182"/>
      <c r="O56" s="182"/>
      <c r="P56" s="182"/>
      <c r="Q56" s="182"/>
      <c r="R56" s="182"/>
      <c r="S56" s="182"/>
      <c r="T56" s="182"/>
      <c r="U56" s="182"/>
      <c r="V56" s="183"/>
      <c r="W56" s="181" t="str">
        <f aca="false">IF(V56="","",YEAR(V56))</f>
        <v/>
      </c>
      <c r="X56" s="181" t="str">
        <f aca="true">IF(V56="","",DATEDIF(V56,TODAY(),"y")&amp;" ans "&amp;DATEDIF(V56,TODAY(),"ym")&amp;" mois")</f>
        <v/>
      </c>
      <c r="Y56" s="182"/>
      <c r="Z56" s="182"/>
      <c r="AA56" s="183"/>
      <c r="AB56" s="183"/>
      <c r="AC56" s="181" t="str">
        <f aca="false">IF(OR(AA56="",AB56=""),"",DATEDIF(AA56,AB56,"m")&amp;" mois")</f>
        <v/>
      </c>
      <c r="AD56" s="182"/>
      <c r="AE56" s="181" t="str">
        <f aca="true">IF(Y56="","",IF(Y56="CDI","Indetermine (CDI)",IF(AB56="","Non renseigne",IF(AB56&lt;TODAY(),"Expire",IF(AB56-TODAY()&lt;=60,"A renouveler bientot","Actif")))))</f>
        <v/>
      </c>
      <c r="AF56" s="185"/>
      <c r="AG56" s="182"/>
      <c r="AH56" s="182"/>
      <c r="AI56" s="185"/>
      <c r="AJ56" s="185"/>
      <c r="AK56" s="186" t="str">
        <f aca="false">IF(AF56="","",AF56+IF(AI56="",0,AI56)+IF(AJ56="",0,AJ56))</f>
        <v/>
      </c>
      <c r="AL56" s="182"/>
      <c r="AM56" s="182"/>
      <c r="AN56" s="182"/>
      <c r="AO56" s="183"/>
      <c r="AP56" s="182"/>
      <c r="AQ56" s="184"/>
    </row>
    <row r="57" customFormat="false" ht="15.75" hidden="false" customHeight="true" outlineLevel="0" collapsed="false">
      <c r="A57" s="181" t="str">
        <f aca="false">IF(B57="","","RH"&amp;TEXT(ROW()-26,"00000"))</f>
        <v/>
      </c>
      <c r="B57" s="182"/>
      <c r="C57" s="182"/>
      <c r="D57" s="182"/>
      <c r="E57" s="181" t="str">
        <f aca="false">IF(B57="","",TRIM(B57&amp;" "&amp;C57&amp;" "&amp;D57))</f>
        <v/>
      </c>
      <c r="F57" s="182"/>
      <c r="G57" s="183"/>
      <c r="H57" s="181" t="str">
        <f aca="true">IF(G57="","",DATEDIF(G57,TODAY(),"y"))</f>
        <v/>
      </c>
      <c r="I57" s="182"/>
      <c r="J57" s="182"/>
      <c r="K57" s="182"/>
      <c r="L57" s="184"/>
      <c r="M57" s="184"/>
      <c r="N57" s="182"/>
      <c r="O57" s="182"/>
      <c r="P57" s="182"/>
      <c r="Q57" s="182"/>
      <c r="R57" s="182"/>
      <c r="S57" s="182"/>
      <c r="T57" s="182"/>
      <c r="U57" s="182"/>
      <c r="V57" s="183"/>
      <c r="W57" s="181" t="str">
        <f aca="false">IF(V57="","",YEAR(V57))</f>
        <v/>
      </c>
      <c r="X57" s="181" t="str">
        <f aca="true">IF(V57="","",DATEDIF(V57,TODAY(),"y")&amp;" ans "&amp;DATEDIF(V57,TODAY(),"ym")&amp;" mois")</f>
        <v/>
      </c>
      <c r="Y57" s="182"/>
      <c r="Z57" s="182"/>
      <c r="AA57" s="183"/>
      <c r="AB57" s="183"/>
      <c r="AC57" s="181" t="str">
        <f aca="false">IF(OR(AA57="",AB57=""),"",DATEDIF(AA57,AB57,"m")&amp;" mois")</f>
        <v/>
      </c>
      <c r="AD57" s="182"/>
      <c r="AE57" s="181" t="str">
        <f aca="true">IF(Y57="","",IF(Y57="CDI","Indetermine (CDI)",IF(AB57="","Non renseigne",IF(AB57&lt;TODAY(),"Expire",IF(AB57-TODAY()&lt;=60,"A renouveler bientot","Actif")))))</f>
        <v/>
      </c>
      <c r="AF57" s="185"/>
      <c r="AG57" s="182"/>
      <c r="AH57" s="182"/>
      <c r="AI57" s="185"/>
      <c r="AJ57" s="185"/>
      <c r="AK57" s="186" t="str">
        <f aca="false">IF(AF57="","",AF57+IF(AI57="",0,AI57)+IF(AJ57="",0,AJ57))</f>
        <v/>
      </c>
      <c r="AL57" s="182"/>
      <c r="AM57" s="182"/>
      <c r="AN57" s="182"/>
      <c r="AO57" s="183"/>
      <c r="AP57" s="182"/>
      <c r="AQ57" s="184"/>
    </row>
    <row r="58" customFormat="false" ht="15.75" hidden="false" customHeight="true" outlineLevel="0" collapsed="false">
      <c r="A58" s="181" t="str">
        <f aca="false">IF(B58="","","RH"&amp;TEXT(ROW()-26,"00000"))</f>
        <v/>
      </c>
      <c r="B58" s="182"/>
      <c r="C58" s="182"/>
      <c r="D58" s="182"/>
      <c r="E58" s="181" t="str">
        <f aca="false">IF(B58="","",TRIM(B58&amp;" "&amp;C58&amp;" "&amp;D58))</f>
        <v/>
      </c>
      <c r="F58" s="182"/>
      <c r="G58" s="183"/>
      <c r="H58" s="181" t="str">
        <f aca="true">IF(G58="","",DATEDIF(G58,TODAY(),"y"))</f>
        <v/>
      </c>
      <c r="I58" s="182"/>
      <c r="J58" s="182"/>
      <c r="K58" s="182"/>
      <c r="L58" s="184"/>
      <c r="M58" s="184"/>
      <c r="N58" s="182"/>
      <c r="O58" s="182"/>
      <c r="P58" s="182"/>
      <c r="Q58" s="182"/>
      <c r="R58" s="182"/>
      <c r="S58" s="182"/>
      <c r="T58" s="182"/>
      <c r="U58" s="182"/>
      <c r="V58" s="183"/>
      <c r="W58" s="181" t="str">
        <f aca="false">IF(V58="","",YEAR(V58))</f>
        <v/>
      </c>
      <c r="X58" s="181" t="str">
        <f aca="true">IF(V58="","",DATEDIF(V58,TODAY(),"y")&amp;" ans "&amp;DATEDIF(V58,TODAY(),"ym")&amp;" mois")</f>
        <v/>
      </c>
      <c r="Y58" s="182"/>
      <c r="Z58" s="182"/>
      <c r="AA58" s="183"/>
      <c r="AB58" s="183"/>
      <c r="AC58" s="181" t="str">
        <f aca="false">IF(OR(AA58="",AB58=""),"",DATEDIF(AA58,AB58,"m")&amp;" mois")</f>
        <v/>
      </c>
      <c r="AD58" s="182"/>
      <c r="AE58" s="181" t="str">
        <f aca="true">IF(Y58="","",IF(Y58="CDI","Indetermine (CDI)",IF(AB58="","Non renseigne",IF(AB58&lt;TODAY(),"Expire",IF(AB58-TODAY()&lt;=60,"A renouveler bientot","Actif")))))</f>
        <v/>
      </c>
      <c r="AF58" s="185"/>
      <c r="AG58" s="182"/>
      <c r="AH58" s="182"/>
      <c r="AI58" s="185"/>
      <c r="AJ58" s="185"/>
      <c r="AK58" s="186" t="str">
        <f aca="false">IF(AF58="","",AF58+IF(AI58="",0,AI58)+IF(AJ58="",0,AJ58))</f>
        <v/>
      </c>
      <c r="AL58" s="182"/>
      <c r="AM58" s="182"/>
      <c r="AN58" s="182"/>
      <c r="AO58" s="183"/>
      <c r="AP58" s="182"/>
      <c r="AQ58" s="184"/>
    </row>
    <row r="59" customFormat="false" ht="15.75" hidden="false" customHeight="true" outlineLevel="0" collapsed="false">
      <c r="A59" s="181" t="str">
        <f aca="false">IF(B59="","","RH"&amp;TEXT(ROW()-26,"00000"))</f>
        <v/>
      </c>
      <c r="B59" s="182"/>
      <c r="C59" s="182"/>
      <c r="D59" s="182"/>
      <c r="E59" s="181" t="str">
        <f aca="false">IF(B59="","",TRIM(B59&amp;" "&amp;C59&amp;" "&amp;D59))</f>
        <v/>
      </c>
      <c r="F59" s="182"/>
      <c r="G59" s="183"/>
      <c r="H59" s="181" t="str">
        <f aca="true">IF(G59="","",DATEDIF(G59,TODAY(),"y"))</f>
        <v/>
      </c>
      <c r="I59" s="182"/>
      <c r="J59" s="182"/>
      <c r="K59" s="182"/>
      <c r="L59" s="184"/>
      <c r="M59" s="184"/>
      <c r="N59" s="182"/>
      <c r="O59" s="182"/>
      <c r="P59" s="182"/>
      <c r="Q59" s="182"/>
      <c r="R59" s="182"/>
      <c r="S59" s="182"/>
      <c r="T59" s="182"/>
      <c r="U59" s="182"/>
      <c r="V59" s="183"/>
      <c r="W59" s="181" t="str">
        <f aca="false">IF(V59="","",YEAR(V59))</f>
        <v/>
      </c>
      <c r="X59" s="181" t="str">
        <f aca="true">IF(V59="","",DATEDIF(V59,TODAY(),"y")&amp;" ans "&amp;DATEDIF(V59,TODAY(),"ym")&amp;" mois")</f>
        <v/>
      </c>
      <c r="Y59" s="182"/>
      <c r="Z59" s="182"/>
      <c r="AA59" s="183"/>
      <c r="AB59" s="183"/>
      <c r="AC59" s="181" t="str">
        <f aca="false">IF(OR(AA59="",AB59=""),"",DATEDIF(AA59,AB59,"m")&amp;" mois")</f>
        <v/>
      </c>
      <c r="AD59" s="182"/>
      <c r="AE59" s="181" t="str">
        <f aca="true">IF(Y59="","",IF(Y59="CDI","Indetermine (CDI)",IF(AB59="","Non renseigne",IF(AB59&lt;TODAY(),"Expire",IF(AB59-TODAY()&lt;=60,"A renouveler bientot","Actif")))))</f>
        <v/>
      </c>
      <c r="AF59" s="185"/>
      <c r="AG59" s="182"/>
      <c r="AH59" s="182"/>
      <c r="AI59" s="185"/>
      <c r="AJ59" s="185"/>
      <c r="AK59" s="186" t="str">
        <f aca="false">IF(AF59="","",AF59+IF(AI59="",0,AI59)+IF(AJ59="",0,AJ59))</f>
        <v/>
      </c>
      <c r="AL59" s="182"/>
      <c r="AM59" s="182"/>
      <c r="AN59" s="182"/>
      <c r="AO59" s="183"/>
      <c r="AP59" s="182"/>
      <c r="AQ59" s="184"/>
    </row>
    <row r="60" customFormat="false" ht="15.75" hidden="false" customHeight="true" outlineLevel="0" collapsed="false">
      <c r="A60" s="181" t="str">
        <f aca="false">IF(B60="","","RH"&amp;TEXT(ROW()-26,"00000"))</f>
        <v/>
      </c>
      <c r="B60" s="182"/>
      <c r="C60" s="182"/>
      <c r="D60" s="182"/>
      <c r="E60" s="181" t="str">
        <f aca="false">IF(B60="","",TRIM(B60&amp;" "&amp;C60&amp;" "&amp;D60))</f>
        <v/>
      </c>
      <c r="F60" s="182"/>
      <c r="G60" s="183"/>
      <c r="H60" s="181" t="str">
        <f aca="true">IF(G60="","",DATEDIF(G60,TODAY(),"y"))</f>
        <v/>
      </c>
      <c r="I60" s="182"/>
      <c r="J60" s="182"/>
      <c r="K60" s="182"/>
      <c r="L60" s="184"/>
      <c r="M60" s="184"/>
      <c r="N60" s="182"/>
      <c r="O60" s="182"/>
      <c r="P60" s="182"/>
      <c r="Q60" s="182"/>
      <c r="R60" s="182"/>
      <c r="S60" s="182"/>
      <c r="T60" s="182"/>
      <c r="U60" s="182"/>
      <c r="V60" s="183"/>
      <c r="W60" s="181" t="str">
        <f aca="false">IF(V60="","",YEAR(V60))</f>
        <v/>
      </c>
      <c r="X60" s="181" t="str">
        <f aca="true">IF(V60="","",DATEDIF(V60,TODAY(),"y")&amp;" ans "&amp;DATEDIF(V60,TODAY(),"ym")&amp;" mois")</f>
        <v/>
      </c>
      <c r="Y60" s="182"/>
      <c r="Z60" s="182"/>
      <c r="AA60" s="183"/>
      <c r="AB60" s="183"/>
      <c r="AC60" s="181" t="str">
        <f aca="false">IF(OR(AA60="",AB60=""),"",DATEDIF(AA60,AB60,"m")&amp;" mois")</f>
        <v/>
      </c>
      <c r="AD60" s="182"/>
      <c r="AE60" s="181" t="str">
        <f aca="true">IF(Y60="","",IF(Y60="CDI","Indetermine (CDI)",IF(AB60="","Non renseigne",IF(AB60&lt;TODAY(),"Expire",IF(AB60-TODAY()&lt;=60,"A renouveler bientot","Actif")))))</f>
        <v/>
      </c>
      <c r="AF60" s="185"/>
      <c r="AG60" s="182"/>
      <c r="AH60" s="182"/>
      <c r="AI60" s="185"/>
      <c r="AJ60" s="185"/>
      <c r="AK60" s="186" t="str">
        <f aca="false">IF(AF60="","",AF60+IF(AI60="",0,AI60)+IF(AJ60="",0,AJ60))</f>
        <v/>
      </c>
      <c r="AL60" s="182"/>
      <c r="AM60" s="182"/>
      <c r="AN60" s="182"/>
      <c r="AO60" s="183"/>
      <c r="AP60" s="182"/>
      <c r="AQ60" s="184"/>
    </row>
    <row r="61" customFormat="false" ht="15.75" hidden="false" customHeight="true" outlineLevel="0" collapsed="false">
      <c r="A61" s="181" t="str">
        <f aca="false">IF(B61="","","RH"&amp;TEXT(ROW()-26,"00000"))</f>
        <v/>
      </c>
      <c r="B61" s="182"/>
      <c r="C61" s="182"/>
      <c r="D61" s="182"/>
      <c r="E61" s="181" t="str">
        <f aca="false">IF(B61="","",TRIM(B61&amp;" "&amp;C61&amp;" "&amp;D61))</f>
        <v/>
      </c>
      <c r="F61" s="182"/>
      <c r="G61" s="183"/>
      <c r="H61" s="181" t="str">
        <f aca="true">IF(G61="","",DATEDIF(G61,TODAY(),"y"))</f>
        <v/>
      </c>
      <c r="I61" s="182"/>
      <c r="J61" s="182"/>
      <c r="K61" s="182"/>
      <c r="L61" s="184"/>
      <c r="M61" s="184"/>
      <c r="N61" s="182"/>
      <c r="O61" s="182"/>
      <c r="P61" s="182"/>
      <c r="Q61" s="182"/>
      <c r="R61" s="182"/>
      <c r="S61" s="182"/>
      <c r="T61" s="182"/>
      <c r="U61" s="182"/>
      <c r="V61" s="183"/>
      <c r="W61" s="181" t="str">
        <f aca="false">IF(V61="","",YEAR(V61))</f>
        <v/>
      </c>
      <c r="X61" s="181" t="str">
        <f aca="true">IF(V61="","",DATEDIF(V61,TODAY(),"y")&amp;" ans "&amp;DATEDIF(V61,TODAY(),"ym")&amp;" mois")</f>
        <v/>
      </c>
      <c r="Y61" s="182"/>
      <c r="Z61" s="182"/>
      <c r="AA61" s="183"/>
      <c r="AB61" s="183"/>
      <c r="AC61" s="181" t="str">
        <f aca="false">IF(OR(AA61="",AB61=""),"",DATEDIF(AA61,AB61,"m")&amp;" mois")</f>
        <v/>
      </c>
      <c r="AD61" s="182"/>
      <c r="AE61" s="181" t="str">
        <f aca="true">IF(Y61="","",IF(Y61="CDI","Indetermine (CDI)",IF(AB61="","Non renseigne",IF(AB61&lt;TODAY(),"Expire",IF(AB61-TODAY()&lt;=60,"A renouveler bientot","Actif")))))</f>
        <v/>
      </c>
      <c r="AF61" s="185"/>
      <c r="AG61" s="182"/>
      <c r="AH61" s="182"/>
      <c r="AI61" s="185"/>
      <c r="AJ61" s="185"/>
      <c r="AK61" s="186" t="str">
        <f aca="false">IF(AF61="","",AF61+IF(AI61="",0,AI61)+IF(AJ61="",0,AJ61))</f>
        <v/>
      </c>
      <c r="AL61" s="182"/>
      <c r="AM61" s="182"/>
      <c r="AN61" s="182"/>
      <c r="AO61" s="183"/>
      <c r="AP61" s="182"/>
      <c r="AQ61" s="184"/>
    </row>
    <row r="62" customFormat="false" ht="15.75" hidden="false" customHeight="true" outlineLevel="0" collapsed="false">
      <c r="A62" s="181" t="str">
        <f aca="false">IF(B62="","","RH"&amp;TEXT(ROW()-26,"00000"))</f>
        <v/>
      </c>
      <c r="B62" s="182"/>
      <c r="C62" s="182"/>
      <c r="D62" s="182"/>
      <c r="E62" s="181" t="str">
        <f aca="false">IF(B62="","",TRIM(B62&amp;" "&amp;C62&amp;" "&amp;D62))</f>
        <v/>
      </c>
      <c r="F62" s="182"/>
      <c r="G62" s="183"/>
      <c r="H62" s="181" t="str">
        <f aca="true">IF(G62="","",DATEDIF(G62,TODAY(),"y"))</f>
        <v/>
      </c>
      <c r="I62" s="182"/>
      <c r="J62" s="182"/>
      <c r="K62" s="182"/>
      <c r="L62" s="184"/>
      <c r="M62" s="184"/>
      <c r="N62" s="182"/>
      <c r="O62" s="182"/>
      <c r="P62" s="182"/>
      <c r="Q62" s="182"/>
      <c r="R62" s="182"/>
      <c r="S62" s="182"/>
      <c r="T62" s="182"/>
      <c r="U62" s="182"/>
      <c r="V62" s="183"/>
      <c r="W62" s="181" t="str">
        <f aca="false">IF(V62="","",YEAR(V62))</f>
        <v/>
      </c>
      <c r="X62" s="181" t="str">
        <f aca="true">IF(V62="","",DATEDIF(V62,TODAY(),"y")&amp;" ans "&amp;DATEDIF(V62,TODAY(),"ym")&amp;" mois")</f>
        <v/>
      </c>
      <c r="Y62" s="182"/>
      <c r="Z62" s="182"/>
      <c r="AA62" s="183"/>
      <c r="AB62" s="183"/>
      <c r="AC62" s="181" t="str">
        <f aca="false">IF(OR(AA62="",AB62=""),"",DATEDIF(AA62,AB62,"m")&amp;" mois")</f>
        <v/>
      </c>
      <c r="AD62" s="182"/>
      <c r="AE62" s="181" t="str">
        <f aca="true">IF(Y62="","",IF(Y62="CDI","Indetermine (CDI)",IF(AB62="","Non renseigne",IF(AB62&lt;TODAY(),"Expire",IF(AB62-TODAY()&lt;=60,"A renouveler bientot","Actif")))))</f>
        <v/>
      </c>
      <c r="AF62" s="185"/>
      <c r="AG62" s="182"/>
      <c r="AH62" s="182"/>
      <c r="AI62" s="185"/>
      <c r="AJ62" s="185"/>
      <c r="AK62" s="186" t="str">
        <f aca="false">IF(AF62="","",AF62+IF(AI62="",0,AI62)+IF(AJ62="",0,AJ62))</f>
        <v/>
      </c>
      <c r="AL62" s="182"/>
      <c r="AM62" s="182"/>
      <c r="AN62" s="182"/>
      <c r="AO62" s="183"/>
      <c r="AP62" s="182"/>
      <c r="AQ62" s="184"/>
    </row>
    <row r="63" customFormat="false" ht="15.75" hidden="false" customHeight="true" outlineLevel="0" collapsed="false">
      <c r="A63" s="181" t="str">
        <f aca="false">IF(B63="","","RH"&amp;TEXT(ROW()-26,"00000"))</f>
        <v/>
      </c>
      <c r="B63" s="182"/>
      <c r="C63" s="182"/>
      <c r="D63" s="182"/>
      <c r="E63" s="181" t="str">
        <f aca="false">IF(B63="","",TRIM(B63&amp;" "&amp;C63&amp;" "&amp;D63))</f>
        <v/>
      </c>
      <c r="F63" s="182"/>
      <c r="G63" s="183"/>
      <c r="H63" s="181" t="str">
        <f aca="true">IF(G63="","",DATEDIF(G63,TODAY(),"y"))</f>
        <v/>
      </c>
      <c r="I63" s="182"/>
      <c r="J63" s="182"/>
      <c r="K63" s="182"/>
      <c r="L63" s="184"/>
      <c r="M63" s="184"/>
      <c r="N63" s="182"/>
      <c r="O63" s="182"/>
      <c r="P63" s="182"/>
      <c r="Q63" s="182"/>
      <c r="R63" s="182"/>
      <c r="S63" s="182"/>
      <c r="T63" s="182"/>
      <c r="U63" s="182"/>
      <c r="V63" s="183"/>
      <c r="W63" s="181" t="str">
        <f aca="false">IF(V63="","",YEAR(V63))</f>
        <v/>
      </c>
      <c r="X63" s="181" t="str">
        <f aca="true">IF(V63="","",DATEDIF(V63,TODAY(),"y")&amp;" ans "&amp;DATEDIF(V63,TODAY(),"ym")&amp;" mois")</f>
        <v/>
      </c>
      <c r="Y63" s="182"/>
      <c r="Z63" s="182"/>
      <c r="AA63" s="183"/>
      <c r="AB63" s="183"/>
      <c r="AC63" s="181" t="str">
        <f aca="false">IF(OR(AA63="",AB63=""),"",DATEDIF(AA63,AB63,"m")&amp;" mois")</f>
        <v/>
      </c>
      <c r="AD63" s="182"/>
      <c r="AE63" s="181" t="str">
        <f aca="true">IF(Y63="","",IF(Y63="CDI","Indetermine (CDI)",IF(AB63="","Non renseigne",IF(AB63&lt;TODAY(),"Expire",IF(AB63-TODAY()&lt;=60,"A renouveler bientot","Actif")))))</f>
        <v/>
      </c>
      <c r="AF63" s="185"/>
      <c r="AG63" s="182"/>
      <c r="AH63" s="182"/>
      <c r="AI63" s="185"/>
      <c r="AJ63" s="185"/>
      <c r="AK63" s="186" t="str">
        <f aca="false">IF(AF63="","",AF63+IF(AI63="",0,AI63)+IF(AJ63="",0,AJ63))</f>
        <v/>
      </c>
      <c r="AL63" s="182"/>
      <c r="AM63" s="182"/>
      <c r="AN63" s="182"/>
      <c r="AO63" s="183"/>
      <c r="AP63" s="182"/>
      <c r="AQ63" s="184"/>
    </row>
    <row r="64" customFormat="false" ht="15.75" hidden="false" customHeight="true" outlineLevel="0" collapsed="false">
      <c r="A64" s="181" t="str">
        <f aca="false">IF(B64="","","RH"&amp;TEXT(ROW()-26,"00000"))</f>
        <v/>
      </c>
      <c r="B64" s="182"/>
      <c r="C64" s="182"/>
      <c r="D64" s="182"/>
      <c r="E64" s="181" t="str">
        <f aca="false">IF(B64="","",TRIM(B64&amp;" "&amp;C64&amp;" "&amp;D64))</f>
        <v/>
      </c>
      <c r="F64" s="182"/>
      <c r="G64" s="183"/>
      <c r="H64" s="181" t="str">
        <f aca="true">IF(G64="","",DATEDIF(G64,TODAY(),"y"))</f>
        <v/>
      </c>
      <c r="I64" s="182"/>
      <c r="J64" s="182"/>
      <c r="K64" s="182"/>
      <c r="L64" s="184"/>
      <c r="M64" s="184"/>
      <c r="N64" s="182"/>
      <c r="O64" s="182"/>
      <c r="P64" s="182"/>
      <c r="Q64" s="182"/>
      <c r="R64" s="182"/>
      <c r="S64" s="182"/>
      <c r="T64" s="182"/>
      <c r="U64" s="182"/>
      <c r="V64" s="183"/>
      <c r="W64" s="181" t="str">
        <f aca="false">IF(V64="","",YEAR(V64))</f>
        <v/>
      </c>
      <c r="X64" s="181" t="str">
        <f aca="true">IF(V64="","",DATEDIF(V64,TODAY(),"y")&amp;" ans "&amp;DATEDIF(V64,TODAY(),"ym")&amp;" mois")</f>
        <v/>
      </c>
      <c r="Y64" s="182"/>
      <c r="Z64" s="182"/>
      <c r="AA64" s="183"/>
      <c r="AB64" s="183"/>
      <c r="AC64" s="181" t="str">
        <f aca="false">IF(OR(AA64="",AB64=""),"",DATEDIF(AA64,AB64,"m")&amp;" mois")</f>
        <v/>
      </c>
      <c r="AD64" s="182"/>
      <c r="AE64" s="181" t="str">
        <f aca="true">IF(Y64="","",IF(Y64="CDI","Indetermine (CDI)",IF(AB64="","Non renseigne",IF(AB64&lt;TODAY(),"Expire",IF(AB64-TODAY()&lt;=60,"A renouveler bientot","Actif")))))</f>
        <v/>
      </c>
      <c r="AF64" s="185"/>
      <c r="AG64" s="182"/>
      <c r="AH64" s="182"/>
      <c r="AI64" s="185"/>
      <c r="AJ64" s="185"/>
      <c r="AK64" s="186" t="str">
        <f aca="false">IF(AF64="","",AF64+IF(AI64="",0,AI64)+IF(AJ64="",0,AJ64))</f>
        <v/>
      </c>
      <c r="AL64" s="182"/>
      <c r="AM64" s="182"/>
      <c r="AN64" s="182"/>
      <c r="AO64" s="183"/>
      <c r="AP64" s="182"/>
      <c r="AQ64" s="184"/>
    </row>
    <row r="65" customFormat="false" ht="15.75" hidden="false" customHeight="true" outlineLevel="0" collapsed="false">
      <c r="A65" s="181" t="str">
        <f aca="false">IF(B65="","","RH"&amp;TEXT(ROW()-26,"00000"))</f>
        <v/>
      </c>
      <c r="B65" s="182"/>
      <c r="C65" s="182"/>
      <c r="D65" s="182"/>
      <c r="E65" s="181" t="str">
        <f aca="false">IF(B65="","",TRIM(B65&amp;" "&amp;C65&amp;" "&amp;D65))</f>
        <v/>
      </c>
      <c r="F65" s="182"/>
      <c r="G65" s="183"/>
      <c r="H65" s="181" t="str">
        <f aca="true">IF(G65="","",DATEDIF(G65,TODAY(),"y"))</f>
        <v/>
      </c>
      <c r="I65" s="182"/>
      <c r="J65" s="182"/>
      <c r="K65" s="182"/>
      <c r="L65" s="184"/>
      <c r="M65" s="184"/>
      <c r="N65" s="182"/>
      <c r="O65" s="182"/>
      <c r="P65" s="182"/>
      <c r="Q65" s="182"/>
      <c r="R65" s="182"/>
      <c r="S65" s="182"/>
      <c r="T65" s="182"/>
      <c r="U65" s="182"/>
      <c r="V65" s="183"/>
      <c r="W65" s="181" t="str">
        <f aca="false">IF(V65="","",YEAR(V65))</f>
        <v/>
      </c>
      <c r="X65" s="181" t="str">
        <f aca="true">IF(V65="","",DATEDIF(V65,TODAY(),"y")&amp;" ans "&amp;DATEDIF(V65,TODAY(),"ym")&amp;" mois")</f>
        <v/>
      </c>
      <c r="Y65" s="182"/>
      <c r="Z65" s="182"/>
      <c r="AA65" s="183"/>
      <c r="AB65" s="183"/>
      <c r="AC65" s="181" t="str">
        <f aca="false">IF(OR(AA65="",AB65=""),"",DATEDIF(AA65,AB65,"m")&amp;" mois")</f>
        <v/>
      </c>
      <c r="AD65" s="182"/>
      <c r="AE65" s="181" t="str">
        <f aca="true">IF(Y65="","",IF(Y65="CDI","Indetermine (CDI)",IF(AB65="","Non renseigne",IF(AB65&lt;TODAY(),"Expire",IF(AB65-TODAY()&lt;=60,"A renouveler bientot","Actif")))))</f>
        <v/>
      </c>
      <c r="AF65" s="185"/>
      <c r="AG65" s="182"/>
      <c r="AH65" s="182"/>
      <c r="AI65" s="185"/>
      <c r="AJ65" s="185"/>
      <c r="AK65" s="186" t="str">
        <f aca="false">IF(AF65="","",AF65+IF(AI65="",0,AI65)+IF(AJ65="",0,AJ65))</f>
        <v/>
      </c>
      <c r="AL65" s="182"/>
      <c r="AM65" s="182"/>
      <c r="AN65" s="182"/>
      <c r="AO65" s="183"/>
      <c r="AP65" s="182"/>
      <c r="AQ65" s="184"/>
    </row>
    <row r="66" customFormat="false" ht="15.75" hidden="false" customHeight="true" outlineLevel="0" collapsed="false">
      <c r="A66" s="181" t="str">
        <f aca="false">IF(B66="","","RH"&amp;TEXT(ROW()-26,"00000"))</f>
        <v/>
      </c>
      <c r="B66" s="182"/>
      <c r="C66" s="182"/>
      <c r="D66" s="182"/>
      <c r="E66" s="181" t="str">
        <f aca="false">IF(B66="","",TRIM(B66&amp;" "&amp;C66&amp;" "&amp;D66))</f>
        <v/>
      </c>
      <c r="F66" s="182"/>
      <c r="G66" s="183"/>
      <c r="H66" s="181" t="str">
        <f aca="true">IF(G66="","",DATEDIF(G66,TODAY(),"y"))</f>
        <v/>
      </c>
      <c r="I66" s="182"/>
      <c r="J66" s="182"/>
      <c r="K66" s="182"/>
      <c r="L66" s="184"/>
      <c r="M66" s="184"/>
      <c r="N66" s="182"/>
      <c r="O66" s="182"/>
      <c r="P66" s="182"/>
      <c r="Q66" s="182"/>
      <c r="R66" s="182"/>
      <c r="S66" s="182"/>
      <c r="T66" s="182"/>
      <c r="U66" s="182"/>
      <c r="V66" s="183"/>
      <c r="W66" s="181" t="str">
        <f aca="false">IF(V66="","",YEAR(V66))</f>
        <v/>
      </c>
      <c r="X66" s="181" t="str">
        <f aca="true">IF(V66="","",DATEDIF(V66,TODAY(),"y")&amp;" ans "&amp;DATEDIF(V66,TODAY(),"ym")&amp;" mois")</f>
        <v/>
      </c>
      <c r="Y66" s="182"/>
      <c r="Z66" s="182"/>
      <c r="AA66" s="183"/>
      <c r="AB66" s="183"/>
      <c r="AC66" s="181" t="str">
        <f aca="false">IF(OR(AA66="",AB66=""),"",DATEDIF(AA66,AB66,"m")&amp;" mois")</f>
        <v/>
      </c>
      <c r="AD66" s="182"/>
      <c r="AE66" s="181" t="str">
        <f aca="true">IF(Y66="","",IF(Y66="CDI","Indetermine (CDI)",IF(AB66="","Non renseigne",IF(AB66&lt;TODAY(),"Expire",IF(AB66-TODAY()&lt;=60,"A renouveler bientot","Actif")))))</f>
        <v/>
      </c>
      <c r="AF66" s="185"/>
      <c r="AG66" s="182"/>
      <c r="AH66" s="182"/>
      <c r="AI66" s="185"/>
      <c r="AJ66" s="185"/>
      <c r="AK66" s="186" t="str">
        <f aca="false">IF(AF66="","",AF66+IF(AI66="",0,AI66)+IF(AJ66="",0,AJ66))</f>
        <v/>
      </c>
      <c r="AL66" s="182"/>
      <c r="AM66" s="182"/>
      <c r="AN66" s="182"/>
      <c r="AO66" s="183"/>
      <c r="AP66" s="182"/>
      <c r="AQ66" s="184"/>
    </row>
    <row r="67" customFormat="false" ht="15.75" hidden="false" customHeight="true" outlineLevel="0" collapsed="false">
      <c r="A67" s="181" t="str">
        <f aca="false">IF(B67="","","RH"&amp;TEXT(ROW()-26,"00000"))</f>
        <v/>
      </c>
      <c r="B67" s="182"/>
      <c r="C67" s="182"/>
      <c r="D67" s="182"/>
      <c r="E67" s="181" t="str">
        <f aca="false">IF(B67="","",TRIM(B67&amp;" "&amp;C67&amp;" "&amp;D67))</f>
        <v/>
      </c>
      <c r="F67" s="182"/>
      <c r="G67" s="183"/>
      <c r="H67" s="181" t="str">
        <f aca="true">IF(G67="","",DATEDIF(G67,TODAY(),"y"))</f>
        <v/>
      </c>
      <c r="I67" s="182"/>
      <c r="J67" s="182"/>
      <c r="K67" s="182"/>
      <c r="L67" s="184"/>
      <c r="M67" s="184"/>
      <c r="N67" s="182"/>
      <c r="O67" s="182"/>
      <c r="P67" s="182"/>
      <c r="Q67" s="182"/>
      <c r="R67" s="182"/>
      <c r="S67" s="182"/>
      <c r="T67" s="182"/>
      <c r="U67" s="182"/>
      <c r="V67" s="183"/>
      <c r="W67" s="181" t="str">
        <f aca="false">IF(V67="","",YEAR(V67))</f>
        <v/>
      </c>
      <c r="X67" s="181" t="str">
        <f aca="true">IF(V67="","",DATEDIF(V67,TODAY(),"y")&amp;" ans "&amp;DATEDIF(V67,TODAY(),"ym")&amp;" mois")</f>
        <v/>
      </c>
      <c r="Y67" s="182"/>
      <c r="Z67" s="182"/>
      <c r="AA67" s="183"/>
      <c r="AB67" s="183"/>
      <c r="AC67" s="181" t="str">
        <f aca="false">IF(OR(AA67="",AB67=""),"",DATEDIF(AA67,AB67,"m")&amp;" mois")</f>
        <v/>
      </c>
      <c r="AD67" s="182"/>
      <c r="AE67" s="181" t="str">
        <f aca="true">IF(Y67="","",IF(Y67="CDI","Indetermine (CDI)",IF(AB67="","Non renseigne",IF(AB67&lt;TODAY(),"Expire",IF(AB67-TODAY()&lt;=60,"A renouveler bientot","Actif")))))</f>
        <v/>
      </c>
      <c r="AF67" s="185"/>
      <c r="AG67" s="182"/>
      <c r="AH67" s="182"/>
      <c r="AI67" s="185"/>
      <c r="AJ67" s="185"/>
      <c r="AK67" s="186" t="str">
        <f aca="false">IF(AF67="","",AF67+IF(AI67="",0,AI67)+IF(AJ67="",0,AJ67))</f>
        <v/>
      </c>
      <c r="AL67" s="182"/>
      <c r="AM67" s="182"/>
      <c r="AN67" s="182"/>
      <c r="AO67" s="183"/>
      <c r="AP67" s="182"/>
      <c r="AQ67" s="184"/>
    </row>
    <row r="68" customFormat="false" ht="15.75" hidden="false" customHeight="true" outlineLevel="0" collapsed="false">
      <c r="A68" s="181" t="str">
        <f aca="false">IF(B68="","","RH"&amp;TEXT(ROW()-26,"00000"))</f>
        <v/>
      </c>
      <c r="B68" s="182"/>
      <c r="C68" s="182"/>
      <c r="D68" s="182"/>
      <c r="E68" s="181" t="str">
        <f aca="false">IF(B68="","",TRIM(B68&amp;" "&amp;C68&amp;" "&amp;D68))</f>
        <v/>
      </c>
      <c r="F68" s="182"/>
      <c r="G68" s="183"/>
      <c r="H68" s="181" t="str">
        <f aca="true">IF(G68="","",DATEDIF(G68,TODAY(),"y"))</f>
        <v/>
      </c>
      <c r="I68" s="182"/>
      <c r="J68" s="182"/>
      <c r="K68" s="182"/>
      <c r="L68" s="184"/>
      <c r="M68" s="184"/>
      <c r="N68" s="182"/>
      <c r="O68" s="182"/>
      <c r="P68" s="182"/>
      <c r="Q68" s="182"/>
      <c r="R68" s="182"/>
      <c r="S68" s="182"/>
      <c r="T68" s="182"/>
      <c r="U68" s="182"/>
      <c r="V68" s="183"/>
      <c r="W68" s="181" t="str">
        <f aca="false">IF(V68="","",YEAR(V68))</f>
        <v/>
      </c>
      <c r="X68" s="181" t="str">
        <f aca="true">IF(V68="","",DATEDIF(V68,TODAY(),"y")&amp;" ans "&amp;DATEDIF(V68,TODAY(),"ym")&amp;" mois")</f>
        <v/>
      </c>
      <c r="Y68" s="182"/>
      <c r="Z68" s="182"/>
      <c r="AA68" s="183"/>
      <c r="AB68" s="183"/>
      <c r="AC68" s="181" t="str">
        <f aca="false">IF(OR(AA68="",AB68=""),"",DATEDIF(AA68,AB68,"m")&amp;" mois")</f>
        <v/>
      </c>
      <c r="AD68" s="182"/>
      <c r="AE68" s="181" t="str">
        <f aca="true">IF(Y68="","",IF(Y68="CDI","Indetermine (CDI)",IF(AB68="","Non renseigne",IF(AB68&lt;TODAY(),"Expire",IF(AB68-TODAY()&lt;=60,"A renouveler bientot","Actif")))))</f>
        <v/>
      </c>
      <c r="AF68" s="185"/>
      <c r="AG68" s="182"/>
      <c r="AH68" s="182"/>
      <c r="AI68" s="185"/>
      <c r="AJ68" s="185"/>
      <c r="AK68" s="186" t="str">
        <f aca="false">IF(AF68="","",AF68+IF(AI68="",0,AI68)+IF(AJ68="",0,AJ68))</f>
        <v/>
      </c>
      <c r="AL68" s="182"/>
      <c r="AM68" s="182"/>
      <c r="AN68" s="182"/>
      <c r="AO68" s="183"/>
      <c r="AP68" s="182"/>
      <c r="AQ68" s="184"/>
    </row>
    <row r="69" customFormat="false" ht="15.75" hidden="false" customHeight="true" outlineLevel="0" collapsed="false">
      <c r="A69" s="181" t="str">
        <f aca="false">IF(B69="","","RH"&amp;TEXT(ROW()-26,"00000"))</f>
        <v/>
      </c>
      <c r="B69" s="182"/>
      <c r="C69" s="182"/>
      <c r="D69" s="182"/>
      <c r="E69" s="181" t="str">
        <f aca="false">IF(B69="","",TRIM(B69&amp;" "&amp;C69&amp;" "&amp;D69))</f>
        <v/>
      </c>
      <c r="F69" s="182"/>
      <c r="G69" s="183"/>
      <c r="H69" s="181" t="str">
        <f aca="true">IF(G69="","",DATEDIF(G69,TODAY(),"y"))</f>
        <v/>
      </c>
      <c r="I69" s="182"/>
      <c r="J69" s="182"/>
      <c r="K69" s="182"/>
      <c r="L69" s="184"/>
      <c r="M69" s="184"/>
      <c r="N69" s="182"/>
      <c r="O69" s="182"/>
      <c r="P69" s="182"/>
      <c r="Q69" s="182"/>
      <c r="R69" s="182"/>
      <c r="S69" s="182"/>
      <c r="T69" s="182"/>
      <c r="U69" s="182"/>
      <c r="V69" s="183"/>
      <c r="W69" s="181" t="str">
        <f aca="false">IF(V69="","",YEAR(V69))</f>
        <v/>
      </c>
      <c r="X69" s="181" t="str">
        <f aca="true">IF(V69="","",DATEDIF(V69,TODAY(),"y")&amp;" ans "&amp;DATEDIF(V69,TODAY(),"ym")&amp;" mois")</f>
        <v/>
      </c>
      <c r="Y69" s="182"/>
      <c r="Z69" s="182"/>
      <c r="AA69" s="183"/>
      <c r="AB69" s="183"/>
      <c r="AC69" s="181" t="str">
        <f aca="false">IF(OR(AA69="",AB69=""),"",DATEDIF(AA69,AB69,"m")&amp;" mois")</f>
        <v/>
      </c>
      <c r="AD69" s="182"/>
      <c r="AE69" s="181" t="str">
        <f aca="true">IF(Y69="","",IF(Y69="CDI","Indetermine (CDI)",IF(AB69="","Non renseigne",IF(AB69&lt;TODAY(),"Expire",IF(AB69-TODAY()&lt;=60,"A renouveler bientot","Actif")))))</f>
        <v/>
      </c>
      <c r="AF69" s="185"/>
      <c r="AG69" s="182"/>
      <c r="AH69" s="182"/>
      <c r="AI69" s="185"/>
      <c r="AJ69" s="185"/>
      <c r="AK69" s="186" t="str">
        <f aca="false">IF(AF69="","",AF69+IF(AI69="",0,AI69)+IF(AJ69="",0,AJ69))</f>
        <v/>
      </c>
      <c r="AL69" s="182"/>
      <c r="AM69" s="182"/>
      <c r="AN69" s="182"/>
      <c r="AO69" s="183"/>
      <c r="AP69" s="182"/>
      <c r="AQ69" s="184"/>
    </row>
    <row r="70" customFormat="false" ht="15.75" hidden="false" customHeight="true" outlineLevel="0" collapsed="false">
      <c r="A70" s="181" t="str">
        <f aca="false">IF(B70="","","RH"&amp;TEXT(ROW()-26,"00000"))</f>
        <v/>
      </c>
      <c r="B70" s="182"/>
      <c r="C70" s="182"/>
      <c r="D70" s="182"/>
      <c r="E70" s="181" t="str">
        <f aca="false">IF(B70="","",TRIM(B70&amp;" "&amp;C70&amp;" "&amp;D70))</f>
        <v/>
      </c>
      <c r="F70" s="182"/>
      <c r="G70" s="183"/>
      <c r="H70" s="181" t="str">
        <f aca="true">IF(G70="","",DATEDIF(G70,TODAY(),"y"))</f>
        <v/>
      </c>
      <c r="I70" s="182"/>
      <c r="J70" s="182"/>
      <c r="K70" s="182"/>
      <c r="L70" s="184"/>
      <c r="M70" s="184"/>
      <c r="N70" s="182"/>
      <c r="O70" s="182"/>
      <c r="P70" s="182"/>
      <c r="Q70" s="182"/>
      <c r="R70" s="182"/>
      <c r="S70" s="182"/>
      <c r="T70" s="182"/>
      <c r="U70" s="182"/>
      <c r="V70" s="183"/>
      <c r="W70" s="181" t="str">
        <f aca="false">IF(V70="","",YEAR(V70))</f>
        <v/>
      </c>
      <c r="X70" s="181" t="str">
        <f aca="true">IF(V70="","",DATEDIF(V70,TODAY(),"y")&amp;" ans "&amp;DATEDIF(V70,TODAY(),"ym")&amp;" mois")</f>
        <v/>
      </c>
      <c r="Y70" s="182"/>
      <c r="Z70" s="182"/>
      <c r="AA70" s="183"/>
      <c r="AB70" s="183"/>
      <c r="AC70" s="181" t="str">
        <f aca="false">IF(OR(AA70="",AB70=""),"",DATEDIF(AA70,AB70,"m")&amp;" mois")</f>
        <v/>
      </c>
      <c r="AD70" s="182"/>
      <c r="AE70" s="181" t="str">
        <f aca="true">IF(Y70="","",IF(Y70="CDI","Indetermine (CDI)",IF(AB70="","Non renseigne",IF(AB70&lt;TODAY(),"Expire",IF(AB70-TODAY()&lt;=60,"A renouveler bientot","Actif")))))</f>
        <v/>
      </c>
      <c r="AF70" s="185"/>
      <c r="AG70" s="182"/>
      <c r="AH70" s="182"/>
      <c r="AI70" s="185"/>
      <c r="AJ70" s="185"/>
      <c r="AK70" s="186" t="str">
        <f aca="false">IF(AF70="","",AF70+IF(AI70="",0,AI70)+IF(AJ70="",0,AJ70))</f>
        <v/>
      </c>
      <c r="AL70" s="182"/>
      <c r="AM70" s="182"/>
      <c r="AN70" s="182"/>
      <c r="AO70" s="183"/>
      <c r="AP70" s="182"/>
      <c r="AQ70" s="184"/>
    </row>
    <row r="71" customFormat="false" ht="15.75" hidden="false" customHeight="true" outlineLevel="0" collapsed="false">
      <c r="A71" s="181" t="str">
        <f aca="false">IF(B71="","","RH"&amp;TEXT(ROW()-26,"00000"))</f>
        <v/>
      </c>
      <c r="B71" s="182"/>
      <c r="C71" s="182"/>
      <c r="D71" s="182"/>
      <c r="E71" s="181" t="str">
        <f aca="false">IF(B71="","",TRIM(B71&amp;" "&amp;C71&amp;" "&amp;D71))</f>
        <v/>
      </c>
      <c r="F71" s="182"/>
      <c r="G71" s="183"/>
      <c r="H71" s="181" t="str">
        <f aca="true">IF(G71="","",DATEDIF(G71,TODAY(),"y"))</f>
        <v/>
      </c>
      <c r="I71" s="182"/>
      <c r="J71" s="182"/>
      <c r="K71" s="182"/>
      <c r="L71" s="184"/>
      <c r="M71" s="184"/>
      <c r="N71" s="182"/>
      <c r="O71" s="182"/>
      <c r="P71" s="182"/>
      <c r="Q71" s="182"/>
      <c r="R71" s="182"/>
      <c r="S71" s="182"/>
      <c r="T71" s="182"/>
      <c r="U71" s="182"/>
      <c r="V71" s="183"/>
      <c r="W71" s="181" t="str">
        <f aca="false">IF(V71="","",YEAR(V71))</f>
        <v/>
      </c>
      <c r="X71" s="181" t="str">
        <f aca="true">IF(V71="","",DATEDIF(V71,TODAY(),"y")&amp;" ans "&amp;DATEDIF(V71,TODAY(),"ym")&amp;" mois")</f>
        <v/>
      </c>
      <c r="Y71" s="182"/>
      <c r="Z71" s="182"/>
      <c r="AA71" s="183"/>
      <c r="AB71" s="183"/>
      <c r="AC71" s="181" t="str">
        <f aca="false">IF(OR(AA71="",AB71=""),"",DATEDIF(AA71,AB71,"m")&amp;" mois")</f>
        <v/>
      </c>
      <c r="AD71" s="182"/>
      <c r="AE71" s="181" t="str">
        <f aca="true">IF(Y71="","",IF(Y71="CDI","Indetermine (CDI)",IF(AB71="","Non renseigne",IF(AB71&lt;TODAY(),"Expire",IF(AB71-TODAY()&lt;=60,"A renouveler bientot","Actif")))))</f>
        <v/>
      </c>
      <c r="AF71" s="185"/>
      <c r="AG71" s="182"/>
      <c r="AH71" s="182"/>
      <c r="AI71" s="185"/>
      <c r="AJ71" s="185"/>
      <c r="AK71" s="186" t="str">
        <f aca="false">IF(AF71="","",AF71+IF(AI71="",0,AI71)+IF(AJ71="",0,AJ71))</f>
        <v/>
      </c>
      <c r="AL71" s="182"/>
      <c r="AM71" s="182"/>
      <c r="AN71" s="182"/>
      <c r="AO71" s="183"/>
      <c r="AP71" s="182"/>
      <c r="AQ71" s="184"/>
    </row>
    <row r="72" customFormat="false" ht="15.75" hidden="false" customHeight="true" outlineLevel="0" collapsed="false">
      <c r="A72" s="181" t="str">
        <f aca="false">IF(B72="","","RH"&amp;TEXT(ROW()-26,"00000"))</f>
        <v/>
      </c>
      <c r="B72" s="182"/>
      <c r="C72" s="182"/>
      <c r="D72" s="182"/>
      <c r="E72" s="181" t="str">
        <f aca="false">IF(B72="","",TRIM(B72&amp;" "&amp;C72&amp;" "&amp;D72))</f>
        <v/>
      </c>
      <c r="F72" s="182"/>
      <c r="G72" s="183"/>
      <c r="H72" s="181" t="str">
        <f aca="true">IF(G72="","",DATEDIF(G72,TODAY(),"y"))</f>
        <v/>
      </c>
      <c r="I72" s="182"/>
      <c r="J72" s="182"/>
      <c r="K72" s="182"/>
      <c r="L72" s="184"/>
      <c r="M72" s="184"/>
      <c r="N72" s="182"/>
      <c r="O72" s="182"/>
      <c r="P72" s="182"/>
      <c r="Q72" s="182"/>
      <c r="R72" s="182"/>
      <c r="S72" s="182"/>
      <c r="T72" s="182"/>
      <c r="U72" s="182"/>
      <c r="V72" s="183"/>
      <c r="W72" s="181" t="str">
        <f aca="false">IF(V72="","",YEAR(V72))</f>
        <v/>
      </c>
      <c r="X72" s="181" t="str">
        <f aca="true">IF(V72="","",DATEDIF(V72,TODAY(),"y")&amp;" ans "&amp;DATEDIF(V72,TODAY(),"ym")&amp;" mois")</f>
        <v/>
      </c>
      <c r="Y72" s="182"/>
      <c r="Z72" s="182"/>
      <c r="AA72" s="183"/>
      <c r="AB72" s="183"/>
      <c r="AC72" s="181" t="str">
        <f aca="false">IF(OR(AA72="",AB72=""),"",DATEDIF(AA72,AB72,"m")&amp;" mois")</f>
        <v/>
      </c>
      <c r="AD72" s="182"/>
      <c r="AE72" s="181" t="str">
        <f aca="true">IF(Y72="","",IF(Y72="CDI","Indetermine (CDI)",IF(AB72="","Non renseigne",IF(AB72&lt;TODAY(),"Expire",IF(AB72-TODAY()&lt;=60,"A renouveler bientot","Actif")))))</f>
        <v/>
      </c>
      <c r="AF72" s="185"/>
      <c r="AG72" s="182"/>
      <c r="AH72" s="182"/>
      <c r="AI72" s="185"/>
      <c r="AJ72" s="185"/>
      <c r="AK72" s="186" t="str">
        <f aca="false">IF(AF72="","",AF72+IF(AI72="",0,AI72)+IF(AJ72="",0,AJ72))</f>
        <v/>
      </c>
      <c r="AL72" s="182"/>
      <c r="AM72" s="182"/>
      <c r="AN72" s="182"/>
      <c r="AO72" s="183"/>
      <c r="AP72" s="182"/>
      <c r="AQ72" s="184"/>
    </row>
    <row r="73" customFormat="false" ht="15.75" hidden="false" customHeight="true" outlineLevel="0" collapsed="false">
      <c r="A73" s="181" t="str">
        <f aca="false">IF(B73="","","RH"&amp;TEXT(ROW()-26,"00000"))</f>
        <v/>
      </c>
      <c r="B73" s="182"/>
      <c r="C73" s="182"/>
      <c r="D73" s="182"/>
      <c r="E73" s="181" t="str">
        <f aca="false">IF(B73="","",TRIM(B73&amp;" "&amp;C73&amp;" "&amp;D73))</f>
        <v/>
      </c>
      <c r="F73" s="182"/>
      <c r="G73" s="183"/>
      <c r="H73" s="181" t="str">
        <f aca="true">IF(G73="","",DATEDIF(G73,TODAY(),"y"))</f>
        <v/>
      </c>
      <c r="I73" s="182"/>
      <c r="J73" s="182"/>
      <c r="K73" s="182"/>
      <c r="L73" s="184"/>
      <c r="M73" s="184"/>
      <c r="N73" s="182"/>
      <c r="O73" s="182"/>
      <c r="P73" s="182"/>
      <c r="Q73" s="182"/>
      <c r="R73" s="182"/>
      <c r="S73" s="182"/>
      <c r="T73" s="182"/>
      <c r="U73" s="182"/>
      <c r="V73" s="183"/>
      <c r="W73" s="181" t="str">
        <f aca="false">IF(V73="","",YEAR(V73))</f>
        <v/>
      </c>
      <c r="X73" s="181" t="str">
        <f aca="true">IF(V73="","",DATEDIF(V73,TODAY(),"y")&amp;" ans "&amp;DATEDIF(V73,TODAY(),"ym")&amp;" mois")</f>
        <v/>
      </c>
      <c r="Y73" s="182"/>
      <c r="Z73" s="182"/>
      <c r="AA73" s="183"/>
      <c r="AB73" s="183"/>
      <c r="AC73" s="181" t="str">
        <f aca="false">IF(OR(AA73="",AB73=""),"",DATEDIF(AA73,AB73,"m")&amp;" mois")</f>
        <v/>
      </c>
      <c r="AD73" s="182"/>
      <c r="AE73" s="181" t="str">
        <f aca="true">IF(Y73="","",IF(Y73="CDI","Indetermine (CDI)",IF(AB73="","Non renseigne",IF(AB73&lt;TODAY(),"Expire",IF(AB73-TODAY()&lt;=60,"A renouveler bientot","Actif")))))</f>
        <v/>
      </c>
      <c r="AF73" s="185"/>
      <c r="AG73" s="182"/>
      <c r="AH73" s="182"/>
      <c r="AI73" s="185"/>
      <c r="AJ73" s="185"/>
      <c r="AK73" s="186" t="str">
        <f aca="false">IF(AF73="","",AF73+IF(AI73="",0,AI73)+IF(AJ73="",0,AJ73))</f>
        <v/>
      </c>
      <c r="AL73" s="182"/>
      <c r="AM73" s="182"/>
      <c r="AN73" s="182"/>
      <c r="AO73" s="183"/>
      <c r="AP73" s="182"/>
      <c r="AQ73" s="184"/>
    </row>
    <row r="74" customFormat="false" ht="15.75" hidden="false" customHeight="true" outlineLevel="0" collapsed="false">
      <c r="A74" s="181" t="str">
        <f aca="false">IF(B74="","","RH"&amp;TEXT(ROW()-26,"00000"))</f>
        <v/>
      </c>
      <c r="B74" s="182"/>
      <c r="C74" s="182"/>
      <c r="D74" s="182"/>
      <c r="E74" s="181" t="str">
        <f aca="false">IF(B74="","",TRIM(B74&amp;" "&amp;C74&amp;" "&amp;D74))</f>
        <v/>
      </c>
      <c r="F74" s="182"/>
      <c r="G74" s="183"/>
      <c r="H74" s="181" t="str">
        <f aca="true">IF(G74="","",DATEDIF(G74,TODAY(),"y"))</f>
        <v/>
      </c>
      <c r="I74" s="182"/>
      <c r="J74" s="182"/>
      <c r="K74" s="182"/>
      <c r="L74" s="184"/>
      <c r="M74" s="184"/>
      <c r="N74" s="182"/>
      <c r="O74" s="182"/>
      <c r="P74" s="182"/>
      <c r="Q74" s="182"/>
      <c r="R74" s="182"/>
      <c r="S74" s="182"/>
      <c r="T74" s="182"/>
      <c r="U74" s="182"/>
      <c r="V74" s="183"/>
      <c r="W74" s="181" t="str">
        <f aca="false">IF(V74="","",YEAR(V74))</f>
        <v/>
      </c>
      <c r="X74" s="181" t="str">
        <f aca="true">IF(V74="","",DATEDIF(V74,TODAY(),"y")&amp;" ans "&amp;DATEDIF(V74,TODAY(),"ym")&amp;" mois")</f>
        <v/>
      </c>
      <c r="Y74" s="182"/>
      <c r="Z74" s="182"/>
      <c r="AA74" s="183"/>
      <c r="AB74" s="183"/>
      <c r="AC74" s="181" t="str">
        <f aca="false">IF(OR(AA74="",AB74=""),"",DATEDIF(AA74,AB74,"m")&amp;" mois")</f>
        <v/>
      </c>
      <c r="AD74" s="182"/>
      <c r="AE74" s="181" t="str">
        <f aca="true">IF(Y74="","",IF(Y74="CDI","Indetermine (CDI)",IF(AB74="","Non renseigne",IF(AB74&lt;TODAY(),"Expire",IF(AB74-TODAY()&lt;=60,"A renouveler bientot","Actif")))))</f>
        <v/>
      </c>
      <c r="AF74" s="185"/>
      <c r="AG74" s="182"/>
      <c r="AH74" s="182"/>
      <c r="AI74" s="185"/>
      <c r="AJ74" s="185"/>
      <c r="AK74" s="186" t="str">
        <f aca="false">IF(AF74="","",AF74+IF(AI74="",0,AI74)+IF(AJ74="",0,AJ74))</f>
        <v/>
      </c>
      <c r="AL74" s="182"/>
      <c r="AM74" s="182"/>
      <c r="AN74" s="182"/>
      <c r="AO74" s="183"/>
      <c r="AP74" s="182"/>
      <c r="AQ74" s="184"/>
    </row>
    <row r="75" customFormat="false" ht="15.75" hidden="false" customHeight="true" outlineLevel="0" collapsed="false">
      <c r="A75" s="181" t="str">
        <f aca="false">IF(B75="","","RH"&amp;TEXT(ROW()-26,"00000"))</f>
        <v/>
      </c>
      <c r="B75" s="182"/>
      <c r="C75" s="182"/>
      <c r="D75" s="182"/>
      <c r="E75" s="181" t="str">
        <f aca="false">IF(B75="","",TRIM(B75&amp;" "&amp;C75&amp;" "&amp;D75))</f>
        <v/>
      </c>
      <c r="F75" s="182"/>
      <c r="G75" s="183"/>
      <c r="H75" s="181" t="str">
        <f aca="true">IF(G75="","",DATEDIF(G75,TODAY(),"y"))</f>
        <v/>
      </c>
      <c r="I75" s="182"/>
      <c r="J75" s="182"/>
      <c r="K75" s="182"/>
      <c r="L75" s="184"/>
      <c r="M75" s="184"/>
      <c r="N75" s="182"/>
      <c r="O75" s="182"/>
      <c r="P75" s="182"/>
      <c r="Q75" s="182"/>
      <c r="R75" s="182"/>
      <c r="S75" s="182"/>
      <c r="T75" s="182"/>
      <c r="U75" s="182"/>
      <c r="V75" s="183"/>
      <c r="W75" s="181" t="str">
        <f aca="false">IF(V75="","",YEAR(V75))</f>
        <v/>
      </c>
      <c r="X75" s="181" t="str">
        <f aca="true">IF(V75="","",DATEDIF(V75,TODAY(),"y")&amp;" ans "&amp;DATEDIF(V75,TODAY(),"ym")&amp;" mois")</f>
        <v/>
      </c>
      <c r="Y75" s="182"/>
      <c r="Z75" s="182"/>
      <c r="AA75" s="183"/>
      <c r="AB75" s="183"/>
      <c r="AC75" s="181" t="str">
        <f aca="false">IF(OR(AA75="",AB75=""),"",DATEDIF(AA75,AB75,"m")&amp;" mois")</f>
        <v/>
      </c>
      <c r="AD75" s="182"/>
      <c r="AE75" s="181" t="str">
        <f aca="true">IF(Y75="","",IF(Y75="CDI","Indetermine (CDI)",IF(AB75="","Non renseigne",IF(AB75&lt;TODAY(),"Expire",IF(AB75-TODAY()&lt;=60,"A renouveler bientot","Actif")))))</f>
        <v/>
      </c>
      <c r="AF75" s="185"/>
      <c r="AG75" s="182"/>
      <c r="AH75" s="182"/>
      <c r="AI75" s="185"/>
      <c r="AJ75" s="185"/>
      <c r="AK75" s="186" t="str">
        <f aca="false">IF(AF75="","",AF75+IF(AI75="",0,AI75)+IF(AJ75="",0,AJ75))</f>
        <v/>
      </c>
      <c r="AL75" s="182"/>
      <c r="AM75" s="182"/>
      <c r="AN75" s="182"/>
      <c r="AO75" s="183"/>
      <c r="AP75" s="182"/>
      <c r="AQ75" s="184"/>
    </row>
    <row r="76" customFormat="false" ht="15.75" hidden="false" customHeight="true" outlineLevel="0" collapsed="false">
      <c r="A76" s="181" t="str">
        <f aca="false">IF(B76="","","RH"&amp;TEXT(ROW()-26,"00000"))</f>
        <v/>
      </c>
      <c r="B76" s="182"/>
      <c r="C76" s="182"/>
      <c r="D76" s="182"/>
      <c r="E76" s="181" t="str">
        <f aca="false">IF(B76="","",TRIM(B76&amp;" "&amp;C76&amp;" "&amp;D76))</f>
        <v/>
      </c>
      <c r="F76" s="182"/>
      <c r="G76" s="183"/>
      <c r="H76" s="181" t="str">
        <f aca="true">IF(G76="","",DATEDIF(G76,TODAY(),"y"))</f>
        <v/>
      </c>
      <c r="I76" s="182"/>
      <c r="J76" s="182"/>
      <c r="K76" s="182"/>
      <c r="L76" s="184"/>
      <c r="M76" s="184"/>
      <c r="N76" s="182"/>
      <c r="O76" s="182"/>
      <c r="P76" s="182"/>
      <c r="Q76" s="182"/>
      <c r="R76" s="182"/>
      <c r="S76" s="182"/>
      <c r="T76" s="182"/>
      <c r="U76" s="182"/>
      <c r="V76" s="183"/>
      <c r="W76" s="181" t="str">
        <f aca="false">IF(V76="","",YEAR(V76))</f>
        <v/>
      </c>
      <c r="X76" s="181" t="str">
        <f aca="true">IF(V76="","",DATEDIF(V76,TODAY(),"y")&amp;" ans "&amp;DATEDIF(V76,TODAY(),"ym")&amp;" mois")</f>
        <v/>
      </c>
      <c r="Y76" s="182"/>
      <c r="Z76" s="182"/>
      <c r="AA76" s="183"/>
      <c r="AB76" s="183"/>
      <c r="AC76" s="181" t="str">
        <f aca="false">IF(OR(AA76="",AB76=""),"",DATEDIF(AA76,AB76,"m")&amp;" mois")</f>
        <v/>
      </c>
      <c r="AD76" s="182"/>
      <c r="AE76" s="181" t="str">
        <f aca="true">IF(Y76="","",IF(Y76="CDI","Indetermine (CDI)",IF(AB76="","Non renseigne",IF(AB76&lt;TODAY(),"Expire",IF(AB76-TODAY()&lt;=60,"A renouveler bientot","Actif")))))</f>
        <v/>
      </c>
      <c r="AF76" s="185"/>
      <c r="AG76" s="182"/>
      <c r="AH76" s="182"/>
      <c r="AI76" s="185"/>
      <c r="AJ76" s="185"/>
      <c r="AK76" s="186" t="str">
        <f aca="false">IF(AF76="","",AF76+IF(AI76="",0,AI76)+IF(AJ76="",0,AJ76))</f>
        <v/>
      </c>
      <c r="AL76" s="182"/>
      <c r="AM76" s="182"/>
      <c r="AN76" s="182"/>
      <c r="AO76" s="183"/>
      <c r="AP76" s="182"/>
      <c r="AQ76" s="184"/>
    </row>
    <row r="78" customFormat="false" ht="15" hidden="false" customHeight="true" outlineLevel="0" collapsed="false">
      <c r="A78" s="187" t="s">
        <v>2289</v>
      </c>
      <c r="B78" s="187"/>
      <c r="C78" s="187"/>
      <c r="D78" s="187"/>
      <c r="E78" s="187"/>
      <c r="F78" s="187"/>
      <c r="G78" s="187"/>
      <c r="H78" s="187"/>
      <c r="I78" s="187"/>
    </row>
    <row r="79" customFormat="false" ht="15" hidden="false" customHeight="true" outlineLevel="0" collapsed="false">
      <c r="A79" s="25" t="s">
        <v>2290</v>
      </c>
      <c r="B79" s="25" t="s">
        <v>2264</v>
      </c>
      <c r="C79" s="25" t="s">
        <v>1570</v>
      </c>
      <c r="D79" s="25" t="s">
        <v>805</v>
      </c>
      <c r="E79" s="25" t="s">
        <v>2291</v>
      </c>
      <c r="F79" s="25" t="s">
        <v>1857</v>
      </c>
      <c r="G79" s="25" t="s">
        <v>1858</v>
      </c>
      <c r="H79" s="25" t="s">
        <v>2292</v>
      </c>
      <c r="I79" s="25" t="s">
        <v>54</v>
      </c>
    </row>
    <row r="80" customFormat="false" ht="14.25" hidden="false" customHeight="true" outlineLevel="0" collapsed="false">
      <c r="A80" s="188" t="str">
        <f aca="false">IF(B80="","","AFP"&amp;TEXT(ROW()-79,"00000"))</f>
        <v/>
      </c>
      <c r="B80" s="189"/>
      <c r="C80" s="189"/>
      <c r="D80" s="188" t="n">
        <f aca="false">IFERROR(INDEX(tbl_Projets[Titre complet du projet],MATCH(C80,tbl_Projets[ID Projet],0)),"")</f>
        <v>0</v>
      </c>
      <c r="E80" s="189"/>
      <c r="F80" s="190"/>
      <c r="G80" s="190"/>
      <c r="H80" s="191"/>
      <c r="I80" s="189"/>
    </row>
    <row r="82" customFormat="false" ht="14.25" hidden="false" customHeight="true" outlineLevel="0" collapsed="false">
      <c r="A82" s="188" t="str">
        <f aca="false">IF(B82="","","AFP"&amp;TEXT(ROW()-79,"00000"))</f>
        <v/>
      </c>
      <c r="B82" s="189"/>
      <c r="C82" s="189"/>
      <c r="D82" s="188" t="n">
        <f aca="false">IFERROR(INDEX(tbl_Projets[Titre complet du projet],MATCH(C82,tbl_Projets[ID Projet],0)),"")</f>
        <v>0</v>
      </c>
      <c r="E82" s="189"/>
      <c r="F82" s="190"/>
      <c r="G82" s="190"/>
      <c r="H82" s="191"/>
      <c r="I82" s="189"/>
    </row>
    <row r="84" customFormat="false" ht="14.25" hidden="false" customHeight="true" outlineLevel="0" collapsed="false">
      <c r="A84" s="188" t="str">
        <f aca="false">IF(B84="","","AFP"&amp;TEXT(ROW()-79,"00000"))</f>
        <v/>
      </c>
      <c r="B84" s="189"/>
      <c r="C84" s="189"/>
      <c r="D84" s="188" t="n">
        <f aca="false">IFERROR(INDEX(tbl_Projets[Titre complet du projet],MATCH(C84,tbl_Projets[ID Projet],0)),"")</f>
        <v>0</v>
      </c>
      <c r="E84" s="189"/>
      <c r="F84" s="190"/>
      <c r="G84" s="190"/>
      <c r="H84" s="191"/>
      <c r="I84" s="189"/>
    </row>
    <row r="86" customFormat="false" ht="14.25" hidden="false" customHeight="true" outlineLevel="0" collapsed="false">
      <c r="A86" s="188" t="str">
        <f aca="false">IF(B86="","","AFP"&amp;TEXT(ROW()-79,"00000"))</f>
        <v/>
      </c>
      <c r="B86" s="189"/>
      <c r="C86" s="189"/>
      <c r="D86" s="188" t="n">
        <f aca="false">IFERROR(INDEX(tbl_Projets[Titre complet du projet],MATCH(C86,tbl_Projets[ID Projet],0)),"")</f>
        <v>0</v>
      </c>
      <c r="E86" s="189"/>
      <c r="F86" s="190"/>
      <c r="G86" s="190"/>
      <c r="H86" s="191"/>
      <c r="I86" s="189"/>
    </row>
    <row r="88" customFormat="false" ht="14.25" hidden="false" customHeight="true" outlineLevel="0" collapsed="false">
      <c r="A88" s="188" t="str">
        <f aca="false">IF(B88="","","AFP"&amp;TEXT(ROW()-79,"00000"))</f>
        <v/>
      </c>
      <c r="B88" s="189"/>
      <c r="C88" s="189"/>
      <c r="D88" s="188" t="n">
        <f aca="false">IFERROR(INDEX(tbl_Projets[Titre complet du projet],MATCH(C88,tbl_Projets[ID Projet],0)),"")</f>
        <v>0</v>
      </c>
      <c r="E88" s="189"/>
      <c r="F88" s="190"/>
      <c r="G88" s="190"/>
      <c r="H88" s="191"/>
      <c r="I88" s="189"/>
    </row>
    <row r="90" customFormat="false" ht="14.25" hidden="false" customHeight="true" outlineLevel="0" collapsed="false">
      <c r="A90" s="188" t="str">
        <f aca="false">IF(B90="","","AFP"&amp;TEXT(ROW()-79,"00000"))</f>
        <v/>
      </c>
      <c r="B90" s="189"/>
      <c r="C90" s="189"/>
      <c r="D90" s="188" t="n">
        <f aca="false">IFERROR(INDEX(tbl_Projets[Titre complet du projet],MATCH(C90,tbl_Projets[ID Projet],0)),"")</f>
        <v>0</v>
      </c>
      <c r="E90" s="189"/>
      <c r="F90" s="190"/>
      <c r="G90" s="190"/>
      <c r="H90" s="191"/>
      <c r="I90" s="189"/>
    </row>
    <row r="92" customFormat="false" ht="14.25" hidden="false" customHeight="true" outlineLevel="0" collapsed="false">
      <c r="A92" s="188" t="str">
        <f aca="false">IF(B92="","","AFP"&amp;TEXT(ROW()-79,"00000"))</f>
        <v/>
      </c>
      <c r="B92" s="189"/>
      <c r="C92" s="189"/>
      <c r="D92" s="188" t="n">
        <f aca="false">IFERROR(INDEX(tbl_Projets[Titre complet du projet],MATCH(C92,tbl_Projets[ID Projet],0)),"")</f>
        <v>0</v>
      </c>
      <c r="E92" s="189"/>
      <c r="F92" s="190"/>
      <c r="G92" s="190"/>
      <c r="H92" s="191"/>
      <c r="I92" s="189"/>
    </row>
    <row r="94" customFormat="false" ht="14.25" hidden="false" customHeight="true" outlineLevel="0" collapsed="false">
      <c r="A94" s="188" t="str">
        <f aca="false">IF(B94="","","AFP"&amp;TEXT(ROW()-79,"00000"))</f>
        <v/>
      </c>
      <c r="B94" s="189"/>
      <c r="C94" s="189"/>
      <c r="D94" s="188" t="n">
        <f aca="false">IFERROR(INDEX(tbl_Projets[Titre complet du projet],MATCH(C94,tbl_Projets[ID Projet],0)),"")</f>
        <v>0</v>
      </c>
      <c r="E94" s="189"/>
      <c r="F94" s="190"/>
      <c r="G94" s="190"/>
      <c r="H94" s="191"/>
      <c r="I94" s="189"/>
    </row>
    <row r="96" customFormat="false" ht="14.25" hidden="false" customHeight="true" outlineLevel="0" collapsed="false">
      <c r="A96" s="188" t="str">
        <f aca="false">IF(B96="","","AFP"&amp;TEXT(ROW()-79,"00000"))</f>
        <v/>
      </c>
      <c r="B96" s="189"/>
      <c r="C96" s="189"/>
      <c r="D96" s="188" t="n">
        <f aca="false">IFERROR(INDEX(tbl_Projets[Titre complet du projet],MATCH(C96,tbl_Projets[ID Projet],0)),"")</f>
        <v>0</v>
      </c>
      <c r="E96" s="189"/>
      <c r="F96" s="190"/>
      <c r="G96" s="190"/>
      <c r="H96" s="191"/>
      <c r="I96" s="189"/>
    </row>
    <row r="98" customFormat="false" ht="14.25" hidden="false" customHeight="true" outlineLevel="0" collapsed="false">
      <c r="A98" s="188" t="str">
        <f aca="false">IF(B98="","","AFP"&amp;TEXT(ROW()-79,"00000"))</f>
        <v/>
      </c>
      <c r="B98" s="189"/>
      <c r="C98" s="189"/>
      <c r="D98" s="188" t="n">
        <f aca="false">IFERROR(INDEX(tbl_Projets[Titre complet du projet],MATCH(C98,tbl_Projets[ID Projet],0)),"")</f>
        <v>0</v>
      </c>
      <c r="E98" s="189"/>
      <c r="F98" s="190"/>
      <c r="G98" s="190"/>
      <c r="H98" s="191"/>
      <c r="I98" s="189"/>
    </row>
    <row r="100" customFormat="false" ht="14.25" hidden="false" customHeight="true" outlineLevel="0" collapsed="false">
      <c r="A100" s="188" t="str">
        <f aca="false">IF(B100="","","AFP"&amp;TEXT(ROW()-79,"00000"))</f>
        <v/>
      </c>
      <c r="B100" s="189"/>
      <c r="C100" s="189"/>
      <c r="D100" s="188" t="n">
        <f aca="false">IFERROR(INDEX(tbl_Projets[Titre complet du projet],MATCH(C100,tbl_Projets[ID Projet],0)),"")</f>
        <v>0</v>
      </c>
      <c r="E100" s="189"/>
      <c r="F100" s="190"/>
      <c r="G100" s="190"/>
      <c r="H100" s="191"/>
      <c r="I100" s="189"/>
    </row>
    <row r="102" customFormat="false" ht="14.25" hidden="false" customHeight="true" outlineLevel="0" collapsed="false">
      <c r="A102" s="188" t="str">
        <f aca="false">IF(B102="","","AFP"&amp;TEXT(ROW()-79,"00000"))</f>
        <v/>
      </c>
      <c r="B102" s="189"/>
      <c r="C102" s="189"/>
      <c r="D102" s="188" t="n">
        <f aca="false">IFERROR(INDEX(tbl_Projets[Titre complet du projet],MATCH(C102,tbl_Projets[ID Projet],0)),"")</f>
        <v>0</v>
      </c>
      <c r="E102" s="189"/>
      <c r="F102" s="190"/>
      <c r="G102" s="190"/>
      <c r="H102" s="191"/>
      <c r="I102" s="189"/>
    </row>
    <row r="104" customFormat="false" ht="14.25" hidden="false" customHeight="true" outlineLevel="0" collapsed="false">
      <c r="A104" s="188" t="str">
        <f aca="false">IF(B104="","","AFP"&amp;TEXT(ROW()-79,"00000"))</f>
        <v/>
      </c>
      <c r="B104" s="189"/>
      <c r="C104" s="189"/>
      <c r="D104" s="188" t="n">
        <f aca="false">IFERROR(INDEX(tbl_Projets[Titre complet du projet],MATCH(C104,tbl_Projets[ID Projet],0)),"")</f>
        <v>0</v>
      </c>
      <c r="E104" s="189"/>
      <c r="F104" s="190"/>
      <c r="G104" s="190"/>
      <c r="H104" s="191"/>
      <c r="I104" s="189"/>
    </row>
    <row r="106" customFormat="false" ht="14.25" hidden="false" customHeight="true" outlineLevel="0" collapsed="false">
      <c r="A106" s="188" t="str">
        <f aca="false">IF(B106="","","AFP"&amp;TEXT(ROW()-79,"00000"))</f>
        <v/>
      </c>
      <c r="B106" s="189"/>
      <c r="C106" s="189"/>
      <c r="D106" s="188" t="n">
        <f aca="false">IFERROR(INDEX(tbl_Projets[Titre complet du projet],MATCH(C106,tbl_Projets[ID Projet],0)),"")</f>
        <v>0</v>
      </c>
      <c r="E106" s="189"/>
      <c r="F106" s="190"/>
      <c r="G106" s="190"/>
      <c r="H106" s="191"/>
      <c r="I106" s="189"/>
    </row>
    <row r="108" customFormat="false" ht="14.25" hidden="false" customHeight="true" outlineLevel="0" collapsed="false">
      <c r="A108" s="188" t="str">
        <f aca="false">IF(B108="","","AFP"&amp;TEXT(ROW()-79,"00000"))</f>
        <v/>
      </c>
      <c r="B108" s="189"/>
      <c r="C108" s="189"/>
      <c r="D108" s="188" t="n">
        <f aca="false">IFERROR(INDEX(tbl_Projets[Titre complet du projet],MATCH(C108,tbl_Projets[ID Projet],0)),"")</f>
        <v>0</v>
      </c>
      <c r="E108" s="189"/>
      <c r="F108" s="190"/>
      <c r="G108" s="190"/>
      <c r="H108" s="191"/>
      <c r="I108" s="189"/>
    </row>
    <row r="110" customFormat="false" ht="14.25" hidden="false" customHeight="true" outlineLevel="0" collapsed="false">
      <c r="A110" s="188" t="str">
        <f aca="false">IF(B110="","","AFP"&amp;TEXT(ROW()-79,"00000"))</f>
        <v/>
      </c>
      <c r="B110" s="189"/>
      <c r="C110" s="189"/>
      <c r="D110" s="188" t="n">
        <f aca="false">IFERROR(INDEX(tbl_Projets[Titre complet du projet],MATCH(C110,tbl_Projets[ID Projet],0)),"")</f>
        <v>0</v>
      </c>
      <c r="E110" s="189"/>
      <c r="F110" s="190"/>
      <c r="G110" s="190"/>
      <c r="H110" s="191"/>
      <c r="I110" s="189"/>
    </row>
    <row r="111" customFormat="false" ht="15" hidden="false" customHeight="true" outlineLevel="0" collapsed="false">
      <c r="A111" s="187" t="s">
        <v>2293</v>
      </c>
      <c r="B111" s="187"/>
      <c r="C111" s="187"/>
      <c r="D111" s="187"/>
      <c r="E111" s="187"/>
      <c r="F111" s="187"/>
      <c r="G111" s="187"/>
    </row>
    <row r="112" customFormat="false" ht="14.25" hidden="false" customHeight="true" outlineLevel="0" collapsed="false">
      <c r="A112" s="25" t="s">
        <v>2290</v>
      </c>
      <c r="B112" s="25" t="s">
        <v>2264</v>
      </c>
      <c r="C112" s="25" t="s">
        <v>1696</v>
      </c>
      <c r="D112" s="25" t="s">
        <v>1544</v>
      </c>
      <c r="E112" s="25" t="s">
        <v>1651</v>
      </c>
      <c r="F112" s="192" t="s">
        <v>1357</v>
      </c>
      <c r="G112" s="192" t="s">
        <v>1335</v>
      </c>
      <c r="H112" s="191"/>
      <c r="I112" s="189"/>
    </row>
    <row r="113" customFormat="false" ht="14.25" hidden="false" customHeight="true" outlineLevel="0" collapsed="false">
      <c r="A113" s="188" t="str">
        <f aca="false">IF(B113="","","AFA"&amp;TEXT(ROW()-112,"00000"))</f>
        <v/>
      </c>
      <c r="B113" s="189"/>
      <c r="C113" s="189"/>
      <c r="D113" s="188" t="n">
        <f aca="false">IFERROR(INDEX(tbl_Activites[Intitule de l''activite],MATCH(C113,tbl_Activites[ID Activite],0)),"")</f>
        <v>0</v>
      </c>
      <c r="E113" s="189"/>
      <c r="F113" s="190"/>
      <c r="G113" s="189"/>
    </row>
    <row r="114" customFormat="false" ht="14.25" hidden="false" customHeight="true" outlineLevel="0" collapsed="false">
      <c r="A114" s="188" t="str">
        <f aca="false">IF(B114="","","AFP"&amp;TEXT(ROW()-79,"00000"))</f>
        <v/>
      </c>
      <c r="B114" s="189"/>
      <c r="C114" s="189"/>
      <c r="D114" s="188" t="n">
        <f aca="false">IFERROR(INDEX(tbl_Projets[Titre complet du projet],MATCH(C114,tbl_Projets[ID Projet],0)),"")</f>
        <v>0</v>
      </c>
      <c r="E114" s="189"/>
      <c r="F114" s="190"/>
      <c r="G114" s="190"/>
      <c r="H114" s="191"/>
      <c r="I114" s="189"/>
    </row>
    <row r="115" customFormat="false" ht="14.25" hidden="false" customHeight="true" outlineLevel="0" collapsed="false">
      <c r="A115" s="188" t="str">
        <f aca="false">IF(B115="","","AFA"&amp;TEXT(ROW()-112,"00000"))</f>
        <v/>
      </c>
      <c r="B115" s="189"/>
      <c r="C115" s="189"/>
      <c r="D115" s="188" t="n">
        <f aca="false">IFERROR(INDEX(tbl_Activites[Intitule de l''activite],MATCH(C115,tbl_Activites[ID Activite],0)),"")</f>
        <v>0</v>
      </c>
      <c r="E115" s="189"/>
      <c r="F115" s="190"/>
      <c r="G115" s="189"/>
    </row>
    <row r="116" customFormat="false" ht="14.25" hidden="false" customHeight="true" outlineLevel="0" collapsed="false">
      <c r="A116" s="188" t="str">
        <f aca="false">IF(B116="","","AFP"&amp;TEXT(ROW()-79,"00000"))</f>
        <v/>
      </c>
      <c r="B116" s="189"/>
      <c r="C116" s="189"/>
      <c r="D116" s="188" t="n">
        <f aca="false">IFERROR(INDEX(tbl_Projets[Titre complet du projet],MATCH(C116,tbl_Projets[ID Projet],0)),"")</f>
        <v>0</v>
      </c>
      <c r="E116" s="189"/>
      <c r="F116" s="190"/>
      <c r="G116" s="190"/>
      <c r="H116" s="191"/>
      <c r="I116" s="189"/>
    </row>
    <row r="117" customFormat="false" ht="14.25" hidden="false" customHeight="true" outlineLevel="0" collapsed="false">
      <c r="A117" s="188" t="str">
        <f aca="false">IF(B117="","","AFA"&amp;TEXT(ROW()-112,"00000"))</f>
        <v/>
      </c>
      <c r="B117" s="189"/>
      <c r="C117" s="189"/>
      <c r="D117" s="188" t="n">
        <f aca="false">IFERROR(INDEX(tbl_Activites[Intitule de l''activite],MATCH(C117,tbl_Activites[ID Activite],0)),"")</f>
        <v>0</v>
      </c>
      <c r="E117" s="189"/>
      <c r="F117" s="190"/>
      <c r="G117" s="189"/>
    </row>
    <row r="118" customFormat="false" ht="14.25" hidden="false" customHeight="true" outlineLevel="0" collapsed="false">
      <c r="A118" s="188" t="str">
        <f aca="false">IF(B118="","","AFP"&amp;TEXT(ROW()-79,"00000"))</f>
        <v/>
      </c>
      <c r="B118" s="189"/>
      <c r="C118" s="189"/>
      <c r="D118" s="188" t="n">
        <f aca="false">IFERROR(INDEX(tbl_Projets[Titre complet du projet],MATCH(C118,tbl_Projets[ID Projet],0)),"")</f>
        <v>0</v>
      </c>
      <c r="E118" s="189"/>
      <c r="F118" s="190"/>
      <c r="G118" s="190"/>
      <c r="H118" s="191"/>
      <c r="I118" s="189"/>
    </row>
    <row r="119" customFormat="false" ht="14.25" hidden="false" customHeight="true" outlineLevel="0" collapsed="false">
      <c r="A119" s="188" t="str">
        <f aca="false">IF(B119="","","AFA"&amp;TEXT(ROW()-112,"00000"))</f>
        <v/>
      </c>
      <c r="B119" s="189"/>
      <c r="C119" s="189"/>
      <c r="D119" s="188" t="n">
        <f aca="false">IFERROR(INDEX(tbl_Activites[Intitule de l''activite],MATCH(C119,tbl_Activites[ID Activite],0)),"")</f>
        <v>0</v>
      </c>
      <c r="E119" s="189"/>
      <c r="F119" s="190"/>
      <c r="G119" s="189"/>
    </row>
    <row r="120" customFormat="false" ht="14.25" hidden="false" customHeight="true" outlineLevel="0" collapsed="false">
      <c r="A120" s="188" t="str">
        <f aca="false">IF(B120="","","AFP"&amp;TEXT(ROW()-79,"00000"))</f>
        <v/>
      </c>
      <c r="B120" s="189"/>
      <c r="C120" s="189"/>
      <c r="D120" s="188" t="n">
        <f aca="false">IFERROR(INDEX(tbl_Projets[Titre complet du projet],MATCH(C120,tbl_Projets[ID Projet],0)),"")</f>
        <v>0</v>
      </c>
      <c r="E120" s="189"/>
      <c r="F120" s="190"/>
      <c r="G120" s="190"/>
      <c r="H120" s="191"/>
      <c r="I120" s="189"/>
    </row>
    <row r="121" customFormat="false" ht="14.25" hidden="false" customHeight="true" outlineLevel="0" collapsed="false">
      <c r="A121" s="188" t="str">
        <f aca="false">IF(B121="","","AFA"&amp;TEXT(ROW()-112,"00000"))</f>
        <v/>
      </c>
      <c r="B121" s="189"/>
      <c r="C121" s="189"/>
      <c r="D121" s="188" t="n">
        <f aca="false">IFERROR(INDEX(tbl_Activites[Intitule de l''activite],MATCH(C121,tbl_Activites[ID Activite],0)),"")</f>
        <v>0</v>
      </c>
      <c r="E121" s="189"/>
      <c r="F121" s="190"/>
      <c r="G121" s="189"/>
    </row>
    <row r="122" customFormat="false" ht="14.25" hidden="false" customHeight="true" outlineLevel="0" collapsed="false">
      <c r="A122" s="188" t="str">
        <f aca="false">IF(B122="","","AFP"&amp;TEXT(ROW()-79,"00000"))</f>
        <v/>
      </c>
      <c r="B122" s="189"/>
      <c r="C122" s="189"/>
      <c r="D122" s="188" t="n">
        <f aca="false">IFERROR(INDEX(tbl_Projets[Titre complet du projet],MATCH(C122,tbl_Projets[ID Projet],0)),"")</f>
        <v>0</v>
      </c>
      <c r="E122" s="189"/>
      <c r="F122" s="190"/>
      <c r="G122" s="190"/>
      <c r="H122" s="191"/>
      <c r="I122" s="189"/>
    </row>
    <row r="123" customFormat="false" ht="14.25" hidden="false" customHeight="true" outlineLevel="0" collapsed="false">
      <c r="A123" s="188" t="str">
        <f aca="false">IF(B123="","","AFA"&amp;TEXT(ROW()-112,"00000"))</f>
        <v/>
      </c>
      <c r="B123" s="189"/>
      <c r="C123" s="189"/>
      <c r="D123" s="188" t="n">
        <f aca="false">IFERROR(INDEX(tbl_Activites[Intitule de l''activite],MATCH(C123,tbl_Activites[ID Activite],0)),"")</f>
        <v>0</v>
      </c>
      <c r="E123" s="189"/>
      <c r="F123" s="190"/>
      <c r="G123" s="189"/>
    </row>
    <row r="124" customFormat="false" ht="14.25" hidden="false" customHeight="true" outlineLevel="0" collapsed="false">
      <c r="A124" s="188" t="str">
        <f aca="false">IF(B124="","","AFP"&amp;TEXT(ROW()-79,"00000"))</f>
        <v/>
      </c>
      <c r="B124" s="189"/>
      <c r="C124" s="189"/>
      <c r="D124" s="188" t="n">
        <f aca="false">IFERROR(INDEX(tbl_Projets[Titre complet du projet],MATCH(C124,tbl_Projets[ID Projet],0)),"")</f>
        <v>0</v>
      </c>
      <c r="E124" s="189"/>
      <c r="F124" s="190"/>
      <c r="G124" s="190"/>
      <c r="H124" s="191"/>
      <c r="I124" s="189"/>
    </row>
    <row r="125" customFormat="false" ht="14.25" hidden="false" customHeight="true" outlineLevel="0" collapsed="false">
      <c r="A125" s="188" t="str">
        <f aca="false">IF(B125="","","AFA"&amp;TEXT(ROW()-112,"00000"))</f>
        <v/>
      </c>
      <c r="B125" s="189"/>
      <c r="C125" s="189"/>
      <c r="D125" s="188" t="n">
        <f aca="false">IFERROR(INDEX(tbl_Activites[Intitule de l''activite],MATCH(C125,tbl_Activites[ID Activite],0)),"")</f>
        <v>0</v>
      </c>
      <c r="E125" s="189"/>
      <c r="F125" s="190"/>
      <c r="G125" s="189"/>
    </row>
    <row r="126" customFormat="false" ht="14.25" hidden="false" customHeight="true" outlineLevel="0" collapsed="false">
      <c r="A126" s="188" t="str">
        <f aca="false">IF(B126="","","AFP"&amp;TEXT(ROW()-79,"00000"))</f>
        <v/>
      </c>
      <c r="B126" s="189"/>
      <c r="C126" s="189"/>
      <c r="D126" s="188" t="n">
        <f aca="false">IFERROR(INDEX(tbl_Projets[Titre complet du projet],MATCH(C126,tbl_Projets[ID Projet],0)),"")</f>
        <v>0</v>
      </c>
      <c r="E126" s="189"/>
      <c r="F126" s="190"/>
      <c r="G126" s="190"/>
      <c r="H126" s="191"/>
      <c r="I126" s="189"/>
    </row>
    <row r="127" customFormat="false" ht="14.25" hidden="false" customHeight="true" outlineLevel="0" collapsed="false">
      <c r="A127" s="188" t="str">
        <f aca="false">IF(B127="","","AFA"&amp;TEXT(ROW()-112,"00000"))</f>
        <v/>
      </c>
      <c r="B127" s="189"/>
      <c r="C127" s="189"/>
      <c r="D127" s="188" t="n">
        <f aca="false">IFERROR(INDEX(tbl_Activites[Intitule de l''activite],MATCH(C127,tbl_Activites[ID Activite],0)),"")</f>
        <v>0</v>
      </c>
      <c r="E127" s="189"/>
      <c r="F127" s="190"/>
      <c r="G127" s="189"/>
    </row>
    <row r="128" customFormat="false" ht="14.25" hidden="false" customHeight="true" outlineLevel="0" collapsed="false">
      <c r="A128" s="188" t="str">
        <f aca="false">IF(B128="","","AFP"&amp;TEXT(ROW()-79,"00000"))</f>
        <v/>
      </c>
      <c r="B128" s="189"/>
      <c r="C128" s="189"/>
      <c r="D128" s="188" t="n">
        <f aca="false">IFERROR(INDEX(tbl_Projets[Titre complet du projet],MATCH(C128,tbl_Projets[ID Projet],0)),"")</f>
        <v>0</v>
      </c>
      <c r="E128" s="189"/>
      <c r="F128" s="190"/>
      <c r="G128" s="190"/>
      <c r="H128" s="191"/>
      <c r="I128" s="189"/>
    </row>
    <row r="129" customFormat="false" ht="14.25" hidden="false" customHeight="true" outlineLevel="0" collapsed="false">
      <c r="A129" s="188" t="str">
        <f aca="false">IF(B129="","","AFA"&amp;TEXT(ROW()-112,"00000"))</f>
        <v/>
      </c>
      <c r="B129" s="189"/>
      <c r="C129" s="189"/>
      <c r="D129" s="188" t="n">
        <f aca="false">IFERROR(INDEX(tbl_Activites[Intitule de l''activite],MATCH(C129,tbl_Activites[ID Activite],0)),"")</f>
        <v>0</v>
      </c>
      <c r="E129" s="189"/>
      <c r="F129" s="190"/>
      <c r="G129" s="189"/>
    </row>
    <row r="130" customFormat="false" ht="14.25" hidden="false" customHeight="true" outlineLevel="0" collapsed="false">
      <c r="A130" s="188" t="str">
        <f aca="false">IF(B130="","","AFP"&amp;TEXT(ROW()-79,"00000"))</f>
        <v/>
      </c>
      <c r="B130" s="189"/>
      <c r="C130" s="189"/>
      <c r="D130" s="188" t="n">
        <f aca="false">IFERROR(INDEX(tbl_Projets[Titre complet du projet],MATCH(C130,tbl_Projets[ID Projet],0)),"")</f>
        <v>0</v>
      </c>
      <c r="E130" s="189"/>
      <c r="F130" s="190"/>
      <c r="G130" s="190"/>
      <c r="H130" s="191"/>
      <c r="I130" s="189"/>
    </row>
    <row r="131" customFormat="false" ht="14.25" hidden="false" customHeight="true" outlineLevel="0" collapsed="false">
      <c r="A131" s="188" t="str">
        <f aca="false">IF(B131="","","AFA"&amp;TEXT(ROW()-112,"00000"))</f>
        <v/>
      </c>
      <c r="B131" s="189"/>
      <c r="C131" s="189"/>
      <c r="D131" s="188" t="n">
        <f aca="false">IFERROR(INDEX(tbl_Activites[Intitule de l''activite],MATCH(C131,tbl_Activites[ID Activite],0)),"")</f>
        <v>0</v>
      </c>
      <c r="E131" s="189"/>
      <c r="F131" s="190"/>
      <c r="G131" s="189"/>
    </row>
    <row r="132" customFormat="false" ht="14.25" hidden="false" customHeight="true" outlineLevel="0" collapsed="false">
      <c r="A132" s="188" t="str">
        <f aca="false">IF(B132="","","AFP"&amp;TEXT(ROW()-79,"00000"))</f>
        <v/>
      </c>
      <c r="B132" s="189"/>
      <c r="C132" s="189"/>
      <c r="D132" s="188" t="n">
        <f aca="false">IFERROR(INDEX(tbl_Projets[Titre complet du projet],MATCH(C132,tbl_Projets[ID Projet],0)),"")</f>
        <v>0</v>
      </c>
      <c r="E132" s="189"/>
      <c r="F132" s="190"/>
      <c r="G132" s="190"/>
      <c r="H132" s="191"/>
      <c r="I132" s="189"/>
    </row>
    <row r="133" customFormat="false" ht="14.25" hidden="false" customHeight="true" outlineLevel="0" collapsed="false">
      <c r="A133" s="188" t="str">
        <f aca="false">IF(B133="","","AFA"&amp;TEXT(ROW()-112,"00000"))</f>
        <v/>
      </c>
      <c r="B133" s="189"/>
      <c r="C133" s="189"/>
      <c r="D133" s="188" t="n">
        <f aca="false">IFERROR(INDEX(tbl_Activites[Intitule de l''activite],MATCH(C133,tbl_Activites[ID Activite],0)),"")</f>
        <v>0</v>
      </c>
      <c r="E133" s="189"/>
      <c r="F133" s="190"/>
      <c r="G133" s="189"/>
    </row>
    <row r="134" customFormat="false" ht="14.25" hidden="false" customHeight="true" outlineLevel="0" collapsed="false">
      <c r="A134" s="188" t="str">
        <f aca="false">IF(B134="","","AFP"&amp;TEXT(ROW()-79,"00000"))</f>
        <v/>
      </c>
      <c r="B134" s="189"/>
      <c r="C134" s="189"/>
      <c r="D134" s="188" t="n">
        <f aca="false">IFERROR(INDEX(tbl_Projets[Titre complet du projet],MATCH(C134,tbl_Projets[ID Projet],0)),"")</f>
        <v>0</v>
      </c>
      <c r="E134" s="189"/>
      <c r="F134" s="190"/>
      <c r="G134" s="190"/>
      <c r="H134" s="191"/>
      <c r="I134" s="189"/>
    </row>
    <row r="135" customFormat="false" ht="14.25" hidden="false" customHeight="true" outlineLevel="0" collapsed="false">
      <c r="A135" s="188" t="str">
        <f aca="false">IF(B135="","","AFA"&amp;TEXT(ROW()-112,"00000"))</f>
        <v/>
      </c>
      <c r="B135" s="189"/>
      <c r="C135" s="189"/>
      <c r="D135" s="188" t="n">
        <f aca="false">IFERROR(INDEX(tbl_Activites[Intitule de l''activite],MATCH(C135,tbl_Activites[ID Activite],0)),"")</f>
        <v>0</v>
      </c>
      <c r="E135" s="189"/>
      <c r="F135" s="190"/>
      <c r="G135" s="189"/>
    </row>
    <row r="136" customFormat="false" ht="14.25" hidden="false" customHeight="true" outlineLevel="0" collapsed="false">
      <c r="A136" s="188" t="str">
        <f aca="false">IF(B136="","","AFP"&amp;TEXT(ROW()-79,"00000"))</f>
        <v/>
      </c>
      <c r="B136" s="189"/>
      <c r="C136" s="189"/>
      <c r="D136" s="188" t="n">
        <f aca="false">IFERROR(INDEX(tbl_Projets[Titre complet du projet],MATCH(C136,tbl_Projets[ID Projet],0)),"")</f>
        <v>0</v>
      </c>
      <c r="E136" s="189"/>
      <c r="F136" s="190"/>
      <c r="G136" s="190"/>
      <c r="H136" s="191"/>
      <c r="I136" s="189"/>
    </row>
    <row r="137" customFormat="false" ht="14.25" hidden="false" customHeight="true" outlineLevel="0" collapsed="false">
      <c r="A137" s="188" t="str">
        <f aca="false">IF(B137="","","AFA"&amp;TEXT(ROW()-112,"00000"))</f>
        <v/>
      </c>
      <c r="B137" s="189"/>
      <c r="C137" s="189"/>
      <c r="D137" s="188" t="n">
        <f aca="false">IFERROR(INDEX(tbl_Activites[Intitule de l''activite],MATCH(C137,tbl_Activites[ID Activite],0)),"")</f>
        <v>0</v>
      </c>
      <c r="E137" s="189"/>
      <c r="F137" s="190"/>
      <c r="G137" s="189"/>
    </row>
    <row r="138" customFormat="false" ht="14.25" hidden="false" customHeight="true" outlineLevel="0" collapsed="false">
      <c r="A138" s="188" t="str">
        <f aca="false">IF(B138="","","AFP"&amp;TEXT(ROW()-79,"00000"))</f>
        <v/>
      </c>
      <c r="B138" s="189"/>
      <c r="C138" s="189"/>
      <c r="D138" s="188" t="n">
        <f aca="false">IFERROR(INDEX(tbl_Projets[Titre complet du projet],MATCH(C138,tbl_Projets[ID Projet],0)),"")</f>
        <v>0</v>
      </c>
      <c r="E138" s="189"/>
      <c r="F138" s="190"/>
      <c r="G138" s="190"/>
      <c r="H138" s="191"/>
      <c r="I138" s="189"/>
    </row>
    <row r="139" customFormat="false" ht="14.25" hidden="false" customHeight="true" outlineLevel="0" collapsed="false">
      <c r="A139" s="188" t="str">
        <f aca="false">IF(B139="","","AFA"&amp;TEXT(ROW()-112,"00000"))</f>
        <v/>
      </c>
      <c r="B139" s="189"/>
      <c r="C139" s="189"/>
      <c r="D139" s="188" t="n">
        <f aca="false">IFERROR(INDEX(tbl_Activites[Intitule de l''activite],MATCH(C139,tbl_Activites[ID Activite],0)),"")</f>
        <v>0</v>
      </c>
      <c r="E139" s="189"/>
      <c r="F139" s="190"/>
      <c r="G139" s="189"/>
    </row>
    <row r="141" customFormat="false" ht="14.25" hidden="false" customHeight="true" outlineLevel="0" collapsed="false">
      <c r="A141" s="188" t="str">
        <f aca="false">IF(B141="","","AFA"&amp;TEXT(ROW()-112,"00000"))</f>
        <v/>
      </c>
      <c r="B141" s="189"/>
      <c r="C141" s="189"/>
      <c r="D141" s="188" t="n">
        <f aca="false">IFERROR(INDEX(tbl_Activites[Intitule de l''activite],MATCH(C141,tbl_Activites[ID Activite],0)),"")</f>
        <v>0</v>
      </c>
      <c r="E141" s="189"/>
      <c r="F141" s="190"/>
      <c r="G141" s="189"/>
    </row>
    <row r="143" customFormat="false" ht="14.25" hidden="false" customHeight="true" outlineLevel="0" collapsed="false">
      <c r="A143" s="188" t="str">
        <f aca="false">IF(B143="","","AFA"&amp;TEXT(ROW()-112,"00000"))</f>
        <v/>
      </c>
      <c r="B143" s="189"/>
      <c r="C143" s="189"/>
      <c r="D143" s="188" t="n">
        <f aca="false">IFERROR(INDEX(tbl_Activites[Intitule de l''activite],MATCH(C143,tbl_Activites[ID Activite],0)),"")</f>
        <v>0</v>
      </c>
      <c r="E143" s="189"/>
      <c r="F143" s="190"/>
      <c r="G143" s="189"/>
    </row>
    <row r="144" customFormat="false" ht="15" hidden="false" customHeight="true" outlineLevel="0" collapsed="false">
      <c r="A144" s="187" t="s">
        <v>2294</v>
      </c>
      <c r="B144" s="187"/>
      <c r="C144" s="187"/>
      <c r="D144" s="187"/>
      <c r="E144" s="187"/>
      <c r="F144" s="187"/>
      <c r="G144" s="187"/>
      <c r="H144" s="187"/>
    </row>
    <row r="145" customFormat="false" ht="14.25" hidden="false" customHeight="true" outlineLevel="0" collapsed="false">
      <c r="A145" s="25" t="s">
        <v>2295</v>
      </c>
      <c r="B145" s="25" t="s">
        <v>2264</v>
      </c>
      <c r="C145" s="25" t="s">
        <v>316</v>
      </c>
      <c r="D145" s="25" t="s">
        <v>2296</v>
      </c>
      <c r="E145" s="25" t="s">
        <v>1357</v>
      </c>
      <c r="F145" s="192" t="s">
        <v>2297</v>
      </c>
      <c r="G145" s="25" t="s">
        <v>2298</v>
      </c>
      <c r="H145" s="25" t="s">
        <v>2299</v>
      </c>
    </row>
    <row r="146" customFormat="false" ht="14.25" hidden="false" customHeight="true" outlineLevel="0" collapsed="false">
      <c r="A146" s="188" t="str">
        <f aca="false">IF(B146="","","FOR"&amp;TEXT(ROW()-145,"00000"))</f>
        <v/>
      </c>
      <c r="B146" s="189"/>
      <c r="C146" s="189"/>
      <c r="D146" s="189"/>
      <c r="E146" s="190"/>
      <c r="F146" s="189"/>
      <c r="G146" s="193"/>
      <c r="H146" s="189"/>
    </row>
    <row r="147" customFormat="false" ht="14.25" hidden="false" customHeight="true" outlineLevel="0" collapsed="false">
      <c r="A147" s="188" t="str">
        <f aca="false">IF(B147="","","AFA"&amp;TEXT(ROW()-112,"00000"))</f>
        <v/>
      </c>
      <c r="B147" s="189"/>
      <c r="C147" s="189"/>
      <c r="D147" s="188" t="n">
        <f aca="false">IFERROR(INDEX(tbl_Activites[Intitule de l''activite],MATCH(C147,tbl_Activites[ID Activite],0)),"")</f>
        <v>0</v>
      </c>
      <c r="E147" s="189"/>
      <c r="F147" s="190"/>
      <c r="G147" s="189"/>
    </row>
    <row r="148" customFormat="false" ht="14.25" hidden="false" customHeight="true" outlineLevel="0" collapsed="false">
      <c r="A148" s="188" t="str">
        <f aca="false">IF(B148="","","FOR"&amp;TEXT(ROW()-145,"00000"))</f>
        <v/>
      </c>
      <c r="B148" s="189"/>
      <c r="C148" s="189"/>
      <c r="D148" s="189"/>
      <c r="E148" s="190"/>
      <c r="F148" s="189"/>
      <c r="G148" s="193"/>
      <c r="H148" s="189"/>
    </row>
    <row r="149" customFormat="false" ht="14.25" hidden="false" customHeight="true" outlineLevel="0" collapsed="false">
      <c r="A149" s="188" t="str">
        <f aca="false">IF(B149="","","AFA"&amp;TEXT(ROW()-112,"00000"))</f>
        <v/>
      </c>
      <c r="B149" s="189"/>
      <c r="C149" s="189"/>
      <c r="D149" s="188" t="n">
        <f aca="false">IFERROR(INDEX(tbl_Activites[Intitule de l''activite],MATCH(C149,tbl_Activites[ID Activite],0)),"")</f>
        <v>0</v>
      </c>
      <c r="E149" s="189"/>
      <c r="F149" s="190"/>
      <c r="G149" s="189"/>
    </row>
    <row r="150" customFormat="false" ht="14.25" hidden="false" customHeight="true" outlineLevel="0" collapsed="false">
      <c r="A150" s="188" t="str">
        <f aca="false">IF(B150="","","FOR"&amp;TEXT(ROW()-145,"00000"))</f>
        <v/>
      </c>
      <c r="B150" s="189"/>
      <c r="C150" s="189"/>
      <c r="D150" s="189"/>
      <c r="E150" s="190"/>
      <c r="F150" s="189"/>
      <c r="G150" s="193"/>
      <c r="H150" s="189"/>
    </row>
    <row r="151" customFormat="false" ht="14.25" hidden="false" customHeight="true" outlineLevel="0" collapsed="false">
      <c r="A151" s="188" t="str">
        <f aca="false">IF(B151="","","AFA"&amp;TEXT(ROW()-112,"00000"))</f>
        <v/>
      </c>
      <c r="B151" s="189"/>
      <c r="C151" s="189"/>
      <c r="D151" s="188" t="n">
        <f aca="false">IFERROR(INDEX(tbl_Activites[Intitule de l''activite],MATCH(C151,tbl_Activites[ID Activite],0)),"")</f>
        <v>0</v>
      </c>
      <c r="E151" s="189"/>
      <c r="F151" s="190"/>
      <c r="G151" s="189"/>
    </row>
    <row r="152" customFormat="false" ht="14.25" hidden="false" customHeight="true" outlineLevel="0" collapsed="false">
      <c r="A152" s="188" t="str">
        <f aca="false">IF(B152="","","FOR"&amp;TEXT(ROW()-145,"00000"))</f>
        <v/>
      </c>
      <c r="B152" s="189"/>
      <c r="C152" s="189"/>
      <c r="D152" s="189"/>
      <c r="E152" s="190"/>
      <c r="F152" s="189"/>
      <c r="G152" s="193"/>
      <c r="H152" s="189"/>
    </row>
    <row r="153" customFormat="false" ht="14.25" hidden="false" customHeight="true" outlineLevel="0" collapsed="false">
      <c r="A153" s="188" t="str">
        <f aca="false">IF(B153="","","AFA"&amp;TEXT(ROW()-112,"00000"))</f>
        <v/>
      </c>
      <c r="B153" s="189"/>
      <c r="C153" s="189"/>
      <c r="D153" s="188" t="n">
        <f aca="false">IFERROR(INDEX(tbl_Activites[Intitule de l''activite],MATCH(C153,tbl_Activites[ID Activite],0)),"")</f>
        <v>0</v>
      </c>
      <c r="E153" s="189"/>
      <c r="F153" s="190"/>
      <c r="G153" s="189"/>
    </row>
    <row r="154" customFormat="false" ht="14.25" hidden="false" customHeight="true" outlineLevel="0" collapsed="false">
      <c r="A154" s="188" t="str">
        <f aca="false">IF(B154="","","FOR"&amp;TEXT(ROW()-145,"00000"))</f>
        <v/>
      </c>
      <c r="B154" s="189"/>
      <c r="C154" s="189"/>
      <c r="D154" s="189"/>
      <c r="E154" s="190"/>
      <c r="F154" s="189"/>
      <c r="G154" s="193"/>
      <c r="H154" s="189"/>
    </row>
    <row r="155" customFormat="false" ht="14.25" hidden="false" customHeight="true" outlineLevel="0" collapsed="false">
      <c r="A155" s="188" t="str">
        <f aca="false">IF(B155="","","AFA"&amp;TEXT(ROW()-112,"00000"))</f>
        <v/>
      </c>
      <c r="B155" s="189"/>
      <c r="C155" s="189"/>
      <c r="D155" s="188" t="n">
        <f aca="false">IFERROR(INDEX(tbl_Activites[Intitule de l''activite],MATCH(C155,tbl_Activites[ID Activite],0)),"")</f>
        <v>0</v>
      </c>
      <c r="E155" s="189"/>
      <c r="F155" s="190"/>
      <c r="G155" s="189"/>
    </row>
    <row r="156" customFormat="false" ht="14.25" hidden="false" customHeight="true" outlineLevel="0" collapsed="false">
      <c r="A156" s="188" t="str">
        <f aca="false">IF(B156="","","FOR"&amp;TEXT(ROW()-145,"00000"))</f>
        <v/>
      </c>
      <c r="B156" s="189"/>
      <c r="C156" s="189"/>
      <c r="D156" s="189"/>
      <c r="E156" s="190"/>
      <c r="F156" s="189"/>
      <c r="G156" s="193"/>
      <c r="H156" s="189"/>
    </row>
    <row r="157" customFormat="false" ht="14.25" hidden="false" customHeight="true" outlineLevel="0" collapsed="false">
      <c r="A157" s="188" t="str">
        <f aca="false">IF(B157="","","AFA"&amp;TEXT(ROW()-112,"00000"))</f>
        <v/>
      </c>
      <c r="B157" s="189"/>
      <c r="C157" s="189"/>
      <c r="D157" s="188" t="n">
        <f aca="false">IFERROR(INDEX(tbl_Activites[Intitule de l''activite],MATCH(C157,tbl_Activites[ID Activite],0)),"")</f>
        <v>0</v>
      </c>
      <c r="E157" s="189"/>
      <c r="F157" s="190"/>
      <c r="G157" s="189"/>
    </row>
    <row r="158" customFormat="false" ht="14.25" hidden="false" customHeight="true" outlineLevel="0" collapsed="false">
      <c r="A158" s="188" t="str">
        <f aca="false">IF(B158="","","FOR"&amp;TEXT(ROW()-145,"00000"))</f>
        <v/>
      </c>
      <c r="B158" s="189"/>
      <c r="C158" s="189"/>
      <c r="D158" s="189"/>
      <c r="E158" s="190"/>
      <c r="F158" s="189"/>
      <c r="G158" s="193"/>
      <c r="H158" s="189"/>
    </row>
    <row r="159" customFormat="false" ht="14.25" hidden="false" customHeight="true" outlineLevel="0" collapsed="false">
      <c r="A159" s="188" t="str">
        <f aca="false">IF(B159="","","AFA"&amp;TEXT(ROW()-112,"00000"))</f>
        <v/>
      </c>
      <c r="B159" s="189"/>
      <c r="C159" s="189"/>
      <c r="D159" s="188" t="n">
        <f aca="false">IFERROR(INDEX(tbl_Activites[Intitule de l''activite],MATCH(C159,tbl_Activites[ID Activite],0)),"")</f>
        <v>0</v>
      </c>
      <c r="E159" s="189"/>
      <c r="F159" s="190"/>
      <c r="G159" s="189"/>
    </row>
    <row r="160" customFormat="false" ht="14.25" hidden="false" customHeight="true" outlineLevel="0" collapsed="false">
      <c r="A160" s="188" t="str">
        <f aca="false">IF(B160="","","FOR"&amp;TEXT(ROW()-145,"00000"))</f>
        <v/>
      </c>
      <c r="B160" s="189"/>
      <c r="C160" s="189"/>
      <c r="D160" s="189"/>
      <c r="E160" s="190"/>
      <c r="F160" s="189"/>
      <c r="G160" s="193"/>
      <c r="H160" s="189"/>
    </row>
    <row r="161" customFormat="false" ht="14.25" hidden="false" customHeight="true" outlineLevel="0" collapsed="false">
      <c r="A161" s="188" t="str">
        <f aca="false">IF(B161="","","AFA"&amp;TEXT(ROW()-112,"00000"))</f>
        <v/>
      </c>
      <c r="B161" s="189"/>
      <c r="C161" s="189"/>
      <c r="D161" s="188" t="n">
        <f aca="false">IFERROR(INDEX(tbl_Activites[Intitule de l''activite],MATCH(C161,tbl_Activites[ID Activite],0)),"")</f>
        <v>0</v>
      </c>
      <c r="E161" s="189"/>
      <c r="F161" s="190"/>
      <c r="G161" s="189"/>
    </row>
    <row r="162" customFormat="false" ht="14.25" hidden="false" customHeight="true" outlineLevel="0" collapsed="false">
      <c r="A162" s="188" t="str">
        <f aca="false">IF(B162="","","FOR"&amp;TEXT(ROW()-145,"00000"))</f>
        <v/>
      </c>
      <c r="B162" s="189"/>
      <c r="C162" s="189"/>
      <c r="D162" s="189"/>
      <c r="E162" s="190"/>
      <c r="F162" s="189"/>
      <c r="G162" s="193"/>
      <c r="H162" s="189"/>
    </row>
    <row r="163" customFormat="false" ht="14.25" hidden="false" customHeight="true" outlineLevel="0" collapsed="false">
      <c r="A163" s="188" t="str">
        <f aca="false">IF(B163="","","AFA"&amp;TEXT(ROW()-112,"00000"))</f>
        <v/>
      </c>
      <c r="B163" s="189"/>
      <c r="C163" s="189"/>
      <c r="D163" s="188" t="n">
        <f aca="false">IFERROR(INDEX(tbl_Activites[Intitule de l''activite],MATCH(C163,tbl_Activites[ID Activite],0)),"")</f>
        <v>0</v>
      </c>
      <c r="E163" s="189"/>
      <c r="F163" s="190"/>
      <c r="G163" s="189"/>
    </row>
    <row r="164" customFormat="false" ht="14.25" hidden="false" customHeight="true" outlineLevel="0" collapsed="false">
      <c r="A164" s="188" t="str">
        <f aca="false">IF(B164="","","FOR"&amp;TEXT(ROW()-145,"00000"))</f>
        <v/>
      </c>
      <c r="B164" s="189"/>
      <c r="C164" s="189"/>
      <c r="D164" s="189"/>
      <c r="E164" s="190"/>
      <c r="F164" s="189"/>
      <c r="G164" s="193"/>
      <c r="H164" s="189"/>
    </row>
    <row r="165" customFormat="false" ht="14.25" hidden="false" customHeight="true" outlineLevel="0" collapsed="false">
      <c r="A165" s="188" t="str">
        <f aca="false">IF(B165="","","AFA"&amp;TEXT(ROW()-112,"00000"))</f>
        <v/>
      </c>
      <c r="B165" s="189"/>
      <c r="C165" s="189"/>
      <c r="D165" s="188" t="n">
        <f aca="false">IFERROR(INDEX(tbl_Activites[Intitule de l''activite],MATCH(C165,tbl_Activites[ID Activite],0)),"")</f>
        <v>0</v>
      </c>
      <c r="E165" s="189"/>
      <c r="F165" s="190"/>
      <c r="G165" s="189"/>
    </row>
    <row r="166" customFormat="false" ht="14.25" hidden="false" customHeight="true" outlineLevel="0" collapsed="false">
      <c r="A166" s="188" t="str">
        <f aca="false">IF(B166="","","FOR"&amp;TEXT(ROW()-145,"00000"))</f>
        <v/>
      </c>
      <c r="B166" s="189"/>
      <c r="C166" s="189"/>
      <c r="D166" s="189"/>
      <c r="E166" s="190"/>
      <c r="F166" s="189"/>
      <c r="G166" s="193"/>
      <c r="H166" s="189"/>
    </row>
    <row r="167" customFormat="false" ht="14.25" hidden="false" customHeight="true" outlineLevel="0" collapsed="false">
      <c r="A167" s="188" t="str">
        <f aca="false">IF(B167="","","AFA"&amp;TEXT(ROW()-112,"00000"))</f>
        <v/>
      </c>
      <c r="B167" s="189"/>
      <c r="C167" s="189"/>
      <c r="D167" s="188" t="n">
        <f aca="false">IFERROR(INDEX(tbl_Activites[Intitule de l''activite],MATCH(C167,tbl_Activites[ID Activite],0)),"")</f>
        <v>0</v>
      </c>
      <c r="E167" s="189"/>
      <c r="F167" s="190"/>
      <c r="G167" s="189"/>
    </row>
    <row r="168" customFormat="false" ht="14.25" hidden="false" customHeight="true" outlineLevel="0" collapsed="false">
      <c r="A168" s="188" t="str">
        <f aca="false">IF(B168="","","FOR"&amp;TEXT(ROW()-145,"00000"))</f>
        <v/>
      </c>
      <c r="B168" s="189"/>
      <c r="C168" s="189"/>
      <c r="D168" s="189"/>
      <c r="E168" s="190"/>
      <c r="F168" s="189"/>
      <c r="G168" s="193"/>
      <c r="H168" s="189"/>
    </row>
    <row r="169" customFormat="false" ht="14.25" hidden="false" customHeight="true" outlineLevel="0" collapsed="false">
      <c r="A169" s="188" t="str">
        <f aca="false">IF(B169="","","AFA"&amp;TEXT(ROW()-112,"00000"))</f>
        <v/>
      </c>
      <c r="B169" s="189"/>
      <c r="C169" s="189"/>
      <c r="D169" s="188" t="n">
        <f aca="false">IFERROR(INDEX(tbl_Activites[Intitule de l''activite],MATCH(C169,tbl_Activites[ID Activite],0)),"")</f>
        <v>0</v>
      </c>
      <c r="E169" s="189"/>
      <c r="F169" s="190"/>
      <c r="G169" s="189"/>
    </row>
    <row r="170" customFormat="false" ht="14.25" hidden="false" customHeight="true" outlineLevel="0" collapsed="false">
      <c r="A170" s="188" t="str">
        <f aca="false">IF(B170="","","FOR"&amp;TEXT(ROW()-145,"00000"))</f>
        <v/>
      </c>
      <c r="B170" s="189"/>
      <c r="C170" s="189"/>
      <c r="D170" s="189"/>
      <c r="E170" s="190"/>
      <c r="F170" s="189"/>
      <c r="G170" s="193"/>
      <c r="H170" s="189"/>
    </row>
    <row r="171" customFormat="false" ht="14.25" hidden="false" customHeight="true" outlineLevel="0" collapsed="false">
      <c r="A171" s="188" t="str">
        <f aca="false">IF(B171="","","AFA"&amp;TEXT(ROW()-112,"00000"))</f>
        <v/>
      </c>
      <c r="B171" s="189"/>
      <c r="C171" s="189"/>
      <c r="D171" s="188" t="n">
        <f aca="false">IFERROR(INDEX(tbl_Activites[Intitule de l''activite],MATCH(C171,tbl_Activites[ID Activite],0)),"")</f>
        <v>0</v>
      </c>
      <c r="E171" s="189"/>
      <c r="F171" s="190"/>
      <c r="G171" s="189"/>
    </row>
    <row r="172" customFormat="false" ht="14.25" hidden="false" customHeight="true" outlineLevel="0" collapsed="false">
      <c r="A172" s="188" t="str">
        <f aca="false">IF(B172="","","FOR"&amp;TEXT(ROW()-145,"00000"))</f>
        <v/>
      </c>
      <c r="B172" s="189"/>
      <c r="C172" s="189"/>
      <c r="D172" s="189"/>
      <c r="E172" s="190"/>
      <c r="F172" s="189"/>
      <c r="G172" s="193"/>
      <c r="H172" s="189"/>
    </row>
    <row r="174" customFormat="false" ht="14.25" hidden="false" customHeight="true" outlineLevel="0" collapsed="false">
      <c r="A174" s="188" t="str">
        <f aca="false">IF(B174="","","FOR"&amp;TEXT(ROW()-145,"00000"))</f>
        <v/>
      </c>
      <c r="B174" s="189"/>
      <c r="C174" s="189"/>
      <c r="D174" s="189"/>
      <c r="E174" s="190"/>
      <c r="F174" s="189"/>
      <c r="G174" s="193"/>
      <c r="H174" s="189"/>
    </row>
    <row r="176" customFormat="false" ht="14.25" hidden="false" customHeight="true" outlineLevel="0" collapsed="false">
      <c r="A176" s="188" t="str">
        <f aca="false">IF(B176="","","FOR"&amp;TEXT(ROW()-145,"00000"))</f>
        <v/>
      </c>
      <c r="B176" s="189"/>
      <c r="C176" s="189"/>
      <c r="D176" s="189"/>
      <c r="E176" s="190"/>
      <c r="F176" s="189"/>
      <c r="G176" s="193"/>
      <c r="H176" s="189"/>
    </row>
    <row r="177" customFormat="false" ht="15" hidden="false" customHeight="true" outlineLevel="0" collapsed="false">
      <c r="A177" s="187" t="s">
        <v>2300</v>
      </c>
      <c r="B177" s="187"/>
      <c r="C177" s="187"/>
      <c r="D177" s="187"/>
      <c r="E177" s="187"/>
      <c r="F177" s="187"/>
      <c r="G177" s="187"/>
    </row>
    <row r="178" customFormat="false" ht="14.25" hidden="false" customHeight="true" outlineLevel="0" collapsed="false">
      <c r="A178" s="25" t="s">
        <v>2290</v>
      </c>
      <c r="B178" s="25" t="s">
        <v>2264</v>
      </c>
      <c r="C178" s="25" t="s">
        <v>2301</v>
      </c>
      <c r="D178" s="25" t="s">
        <v>1767</v>
      </c>
      <c r="E178" s="192" t="s">
        <v>2302</v>
      </c>
      <c r="F178" s="25" t="s">
        <v>2303</v>
      </c>
      <c r="G178" s="194" t="s">
        <v>2304</v>
      </c>
      <c r="H178" s="189"/>
    </row>
    <row r="179" customFormat="false" ht="14.25" hidden="false" customHeight="true" outlineLevel="0" collapsed="false">
      <c r="A179" s="188" t="str">
        <f aca="false">IF(B179="","","COM"&amp;TEXT(ROW()-178,"00000"))</f>
        <v/>
      </c>
      <c r="B179" s="189"/>
      <c r="C179" s="189"/>
      <c r="D179" s="189"/>
      <c r="E179" s="195"/>
      <c r="F179" s="189"/>
      <c r="G179" s="190"/>
    </row>
    <row r="180" customFormat="false" ht="14.25" hidden="false" customHeight="true" outlineLevel="0" collapsed="false">
      <c r="A180" s="188" t="str">
        <f aca="false">IF(B180="","","FOR"&amp;TEXT(ROW()-145,"00000"))</f>
        <v/>
      </c>
      <c r="B180" s="189"/>
      <c r="C180" s="189"/>
      <c r="D180" s="189"/>
      <c r="E180" s="190"/>
      <c r="F180" s="189"/>
      <c r="G180" s="193"/>
      <c r="H180" s="189"/>
    </row>
    <row r="181" customFormat="false" ht="14.25" hidden="false" customHeight="true" outlineLevel="0" collapsed="false">
      <c r="A181" s="188" t="str">
        <f aca="false">IF(B181="","","COM"&amp;TEXT(ROW()-178,"00000"))</f>
        <v/>
      </c>
      <c r="B181" s="189"/>
      <c r="C181" s="189"/>
      <c r="D181" s="189"/>
      <c r="E181" s="195"/>
      <c r="F181" s="189"/>
      <c r="G181" s="190"/>
    </row>
    <row r="182" customFormat="false" ht="14.25" hidden="false" customHeight="true" outlineLevel="0" collapsed="false">
      <c r="A182" s="188" t="str">
        <f aca="false">IF(B182="","","FOR"&amp;TEXT(ROW()-145,"00000"))</f>
        <v/>
      </c>
      <c r="B182" s="189"/>
      <c r="C182" s="189"/>
      <c r="D182" s="189"/>
      <c r="E182" s="190"/>
      <c r="F182" s="189"/>
      <c r="G182" s="193"/>
      <c r="H182" s="189"/>
    </row>
    <row r="183" customFormat="false" ht="14.25" hidden="false" customHeight="true" outlineLevel="0" collapsed="false">
      <c r="A183" s="188" t="str">
        <f aca="false">IF(B183="","","COM"&amp;TEXT(ROW()-178,"00000"))</f>
        <v/>
      </c>
      <c r="B183" s="189"/>
      <c r="C183" s="189"/>
      <c r="D183" s="189"/>
      <c r="E183" s="195"/>
      <c r="F183" s="189"/>
      <c r="G183" s="190"/>
    </row>
    <row r="184" customFormat="false" ht="14.25" hidden="false" customHeight="true" outlineLevel="0" collapsed="false">
      <c r="A184" s="188" t="str">
        <f aca="false">IF(B184="","","FOR"&amp;TEXT(ROW()-145,"00000"))</f>
        <v/>
      </c>
      <c r="B184" s="189"/>
      <c r="C184" s="189"/>
      <c r="D184" s="189"/>
      <c r="E184" s="190"/>
      <c r="F184" s="189"/>
      <c r="G184" s="193"/>
      <c r="H184" s="189"/>
    </row>
    <row r="185" customFormat="false" ht="14.25" hidden="false" customHeight="true" outlineLevel="0" collapsed="false">
      <c r="A185" s="188" t="str">
        <f aca="false">IF(B185="","","COM"&amp;TEXT(ROW()-178,"00000"))</f>
        <v/>
      </c>
      <c r="B185" s="189"/>
      <c r="C185" s="189"/>
      <c r="D185" s="189"/>
      <c r="E185" s="195"/>
      <c r="F185" s="189"/>
      <c r="G185" s="190"/>
    </row>
    <row r="186" customFormat="false" ht="14.25" hidden="false" customHeight="true" outlineLevel="0" collapsed="false">
      <c r="A186" s="188" t="str">
        <f aca="false">IF(B186="","","FOR"&amp;TEXT(ROW()-145,"00000"))</f>
        <v/>
      </c>
      <c r="B186" s="189"/>
      <c r="C186" s="189"/>
      <c r="D186" s="189"/>
      <c r="E186" s="190"/>
      <c r="F186" s="189"/>
      <c r="G186" s="193"/>
      <c r="H186" s="189"/>
    </row>
    <row r="187" customFormat="false" ht="14.25" hidden="false" customHeight="true" outlineLevel="0" collapsed="false">
      <c r="A187" s="188" t="str">
        <f aca="false">IF(B187="","","COM"&amp;TEXT(ROW()-178,"00000"))</f>
        <v/>
      </c>
      <c r="B187" s="189"/>
      <c r="C187" s="189"/>
      <c r="D187" s="189"/>
      <c r="E187" s="195"/>
      <c r="F187" s="189"/>
      <c r="G187" s="190"/>
    </row>
    <row r="188" customFormat="false" ht="14.25" hidden="false" customHeight="true" outlineLevel="0" collapsed="false">
      <c r="A188" s="188" t="str">
        <f aca="false">IF(B188="","","FOR"&amp;TEXT(ROW()-145,"00000"))</f>
        <v/>
      </c>
      <c r="B188" s="189"/>
      <c r="C188" s="189"/>
      <c r="D188" s="189"/>
      <c r="E188" s="190"/>
      <c r="F188" s="189"/>
      <c r="G188" s="193"/>
      <c r="H188" s="189"/>
    </row>
    <row r="189" customFormat="false" ht="14.25" hidden="false" customHeight="true" outlineLevel="0" collapsed="false">
      <c r="A189" s="188" t="str">
        <f aca="false">IF(B189="","","COM"&amp;TEXT(ROW()-178,"00000"))</f>
        <v/>
      </c>
      <c r="B189" s="189"/>
      <c r="C189" s="189"/>
      <c r="D189" s="189"/>
      <c r="E189" s="195"/>
      <c r="F189" s="189"/>
      <c r="G189" s="190"/>
    </row>
    <row r="190" customFormat="false" ht="14.25" hidden="false" customHeight="true" outlineLevel="0" collapsed="false">
      <c r="A190" s="188" t="str">
        <f aca="false">IF(B190="","","FOR"&amp;TEXT(ROW()-145,"00000"))</f>
        <v/>
      </c>
      <c r="B190" s="189"/>
      <c r="C190" s="189"/>
      <c r="D190" s="189"/>
      <c r="E190" s="190"/>
      <c r="F190" s="189"/>
      <c r="G190" s="193"/>
      <c r="H190" s="189"/>
    </row>
    <row r="191" customFormat="false" ht="14.25" hidden="false" customHeight="true" outlineLevel="0" collapsed="false">
      <c r="A191" s="188" t="str">
        <f aca="false">IF(B191="","","COM"&amp;TEXT(ROW()-178,"00000"))</f>
        <v/>
      </c>
      <c r="B191" s="189"/>
      <c r="C191" s="189"/>
      <c r="D191" s="189"/>
      <c r="E191" s="195"/>
      <c r="F191" s="189"/>
      <c r="G191" s="190"/>
    </row>
    <row r="192" customFormat="false" ht="14.25" hidden="false" customHeight="true" outlineLevel="0" collapsed="false">
      <c r="A192" s="188" t="str">
        <f aca="false">IF(B192="","","FOR"&amp;TEXT(ROW()-145,"00000"))</f>
        <v/>
      </c>
      <c r="B192" s="189"/>
      <c r="C192" s="189"/>
      <c r="D192" s="189"/>
      <c r="E192" s="190"/>
      <c r="F192" s="189"/>
      <c r="G192" s="193"/>
      <c r="H192" s="189"/>
    </row>
    <row r="193" customFormat="false" ht="14.25" hidden="false" customHeight="true" outlineLevel="0" collapsed="false">
      <c r="A193" s="188" t="str">
        <f aca="false">IF(B193="","","COM"&amp;TEXT(ROW()-178,"00000"))</f>
        <v/>
      </c>
      <c r="B193" s="189"/>
      <c r="C193" s="189"/>
      <c r="D193" s="189"/>
      <c r="E193" s="195"/>
      <c r="F193" s="189"/>
      <c r="G193" s="190"/>
    </row>
    <row r="194" customFormat="false" ht="14.25" hidden="false" customHeight="true" outlineLevel="0" collapsed="false">
      <c r="A194" s="188" t="str">
        <f aca="false">IF(B194="","","FOR"&amp;TEXT(ROW()-145,"00000"))</f>
        <v/>
      </c>
      <c r="B194" s="189"/>
      <c r="C194" s="189"/>
      <c r="D194" s="189"/>
      <c r="E194" s="190"/>
      <c r="F194" s="189"/>
      <c r="G194" s="193"/>
      <c r="H194" s="189"/>
    </row>
    <row r="195" customFormat="false" ht="14.25" hidden="false" customHeight="true" outlineLevel="0" collapsed="false">
      <c r="A195" s="188" t="str">
        <f aca="false">IF(B195="","","COM"&amp;TEXT(ROW()-178,"00000"))</f>
        <v/>
      </c>
      <c r="B195" s="189"/>
      <c r="C195" s="189"/>
      <c r="D195" s="189"/>
      <c r="E195" s="195"/>
      <c r="F195" s="189"/>
      <c r="G195" s="190"/>
    </row>
    <row r="196" customFormat="false" ht="14.25" hidden="false" customHeight="true" outlineLevel="0" collapsed="false">
      <c r="A196" s="188" t="str">
        <f aca="false">IF(B196="","","FOR"&amp;TEXT(ROW()-145,"00000"))</f>
        <v/>
      </c>
      <c r="B196" s="189"/>
      <c r="C196" s="189"/>
      <c r="D196" s="189"/>
      <c r="E196" s="190"/>
      <c r="F196" s="189"/>
      <c r="G196" s="193"/>
      <c r="H196" s="189"/>
    </row>
    <row r="197" customFormat="false" ht="14.25" hidden="false" customHeight="true" outlineLevel="0" collapsed="false">
      <c r="A197" s="188" t="str">
        <f aca="false">IF(B197="","","COM"&amp;TEXT(ROW()-178,"00000"))</f>
        <v/>
      </c>
      <c r="B197" s="189"/>
      <c r="C197" s="189"/>
      <c r="D197" s="189"/>
      <c r="E197" s="195"/>
      <c r="F197" s="189"/>
      <c r="G197" s="190"/>
    </row>
    <row r="198" customFormat="false" ht="14.25" hidden="false" customHeight="true" outlineLevel="0" collapsed="false">
      <c r="A198" s="188" t="str">
        <f aca="false">IF(B198="","","FOR"&amp;TEXT(ROW()-145,"00000"))</f>
        <v/>
      </c>
      <c r="B198" s="189"/>
      <c r="C198" s="189"/>
      <c r="D198" s="189"/>
      <c r="E198" s="190"/>
      <c r="F198" s="189"/>
      <c r="G198" s="193"/>
      <c r="H198" s="189"/>
    </row>
    <row r="199" customFormat="false" ht="14.25" hidden="false" customHeight="true" outlineLevel="0" collapsed="false">
      <c r="A199" s="188" t="str">
        <f aca="false">IF(B199="","","COM"&amp;TEXT(ROW()-178,"00000"))</f>
        <v/>
      </c>
      <c r="B199" s="189"/>
      <c r="C199" s="189"/>
      <c r="D199" s="189"/>
      <c r="E199" s="195"/>
      <c r="F199" s="189"/>
      <c r="G199" s="190"/>
    </row>
    <row r="200" customFormat="false" ht="14.25" hidden="false" customHeight="true" outlineLevel="0" collapsed="false">
      <c r="A200" s="188" t="str">
        <f aca="false">IF(B200="","","FOR"&amp;TEXT(ROW()-145,"00000"))</f>
        <v/>
      </c>
      <c r="B200" s="189"/>
      <c r="C200" s="189"/>
      <c r="D200" s="189"/>
      <c r="E200" s="190"/>
      <c r="F200" s="189"/>
      <c r="G200" s="193"/>
      <c r="H200" s="189"/>
    </row>
    <row r="201" customFormat="false" ht="14.25" hidden="false" customHeight="true" outlineLevel="0" collapsed="false">
      <c r="A201" s="188" t="str">
        <f aca="false">IF(B201="","","COM"&amp;TEXT(ROW()-178,"00000"))</f>
        <v/>
      </c>
      <c r="B201" s="189"/>
      <c r="C201" s="189"/>
      <c r="D201" s="189"/>
      <c r="E201" s="195"/>
      <c r="F201" s="189"/>
      <c r="G201" s="190"/>
    </row>
    <row r="202" customFormat="false" ht="14.25" hidden="false" customHeight="true" outlineLevel="0" collapsed="false">
      <c r="A202" s="188" t="str">
        <f aca="false">IF(B202="","","FOR"&amp;TEXT(ROW()-145,"00000"))</f>
        <v/>
      </c>
      <c r="B202" s="189"/>
      <c r="C202" s="189"/>
      <c r="D202" s="189"/>
      <c r="E202" s="190"/>
      <c r="F202" s="189"/>
      <c r="G202" s="193"/>
      <c r="H202" s="189"/>
    </row>
    <row r="203" customFormat="false" ht="14.25" hidden="false" customHeight="true" outlineLevel="0" collapsed="false">
      <c r="A203" s="188" t="str">
        <f aca="false">IF(B203="","","COM"&amp;TEXT(ROW()-178,"00000"))</f>
        <v/>
      </c>
      <c r="B203" s="189"/>
      <c r="C203" s="189"/>
      <c r="D203" s="189"/>
      <c r="E203" s="195"/>
      <c r="F203" s="189"/>
      <c r="G203" s="190"/>
    </row>
    <row r="204" customFormat="false" ht="14.25" hidden="false" customHeight="true" outlineLevel="0" collapsed="false">
      <c r="A204" s="188" t="str">
        <f aca="false">IF(B204="","","FOR"&amp;TEXT(ROW()-145,"00000"))</f>
        <v/>
      </c>
      <c r="B204" s="189"/>
      <c r="C204" s="189"/>
      <c r="D204" s="189"/>
      <c r="E204" s="190"/>
      <c r="F204" s="189"/>
      <c r="G204" s="193"/>
      <c r="H204" s="189"/>
    </row>
    <row r="205" customFormat="false" ht="14.25" hidden="false" customHeight="true" outlineLevel="0" collapsed="false">
      <c r="A205" s="188" t="str">
        <f aca="false">IF(B205="","","COM"&amp;TEXT(ROW()-178,"00000"))</f>
        <v/>
      </c>
      <c r="B205" s="189"/>
      <c r="C205" s="189"/>
      <c r="D205" s="189"/>
      <c r="E205" s="195"/>
      <c r="F205" s="189"/>
      <c r="G205" s="190"/>
    </row>
    <row r="207" customFormat="false" ht="14.25" hidden="false" customHeight="true" outlineLevel="0" collapsed="false">
      <c r="A207" s="188" t="str">
        <f aca="false">IF(B207="","","COM"&amp;TEXT(ROW()-178,"00000"))</f>
        <v/>
      </c>
      <c r="B207" s="189"/>
      <c r="C207" s="189"/>
      <c r="D207" s="189"/>
      <c r="E207" s="195"/>
      <c r="F207" s="189"/>
      <c r="G207" s="190"/>
    </row>
    <row r="209" customFormat="false" ht="14.25" hidden="false" customHeight="true" outlineLevel="0" collapsed="false">
      <c r="A209" s="188" t="str">
        <f aca="false">IF(B209="","","COM"&amp;TEXT(ROW()-178,"00000"))</f>
        <v/>
      </c>
      <c r="B209" s="189"/>
      <c r="C209" s="189"/>
      <c r="D209" s="189"/>
      <c r="E209" s="195"/>
      <c r="F209" s="189"/>
      <c r="G209" s="190"/>
    </row>
    <row r="210" customFormat="false" ht="15" hidden="false" customHeight="true" outlineLevel="0" collapsed="false">
      <c r="A210" s="187" t="s">
        <v>2305</v>
      </c>
      <c r="B210" s="187"/>
      <c r="C210" s="187"/>
      <c r="D210" s="187"/>
      <c r="E210" s="187"/>
      <c r="F210" s="187"/>
      <c r="G210" s="187"/>
    </row>
    <row r="211" customFormat="false" ht="14.25" hidden="false" customHeight="true" outlineLevel="0" collapsed="false">
      <c r="A211" s="25" t="s">
        <v>2290</v>
      </c>
      <c r="B211" s="25" t="s">
        <v>2264</v>
      </c>
      <c r="C211" s="25" t="s">
        <v>1198</v>
      </c>
      <c r="D211" s="25" t="s">
        <v>1327</v>
      </c>
      <c r="E211" s="196" t="s">
        <v>429</v>
      </c>
      <c r="F211" s="25" t="s">
        <v>53</v>
      </c>
      <c r="G211" s="192" t="s">
        <v>1767</v>
      </c>
    </row>
    <row r="212" customFormat="false" ht="14.25" hidden="false" customHeight="true" outlineLevel="0" collapsed="false">
      <c r="A212" s="188" t="str">
        <f aca="false">IF(B212="","","DIP"&amp;TEXT(ROW()-211,"00000"))</f>
        <v/>
      </c>
      <c r="B212" s="189"/>
      <c r="C212" s="189"/>
      <c r="D212" s="189"/>
      <c r="E212" s="189"/>
      <c r="F212" s="195"/>
      <c r="G212" s="189"/>
    </row>
    <row r="213" customFormat="false" ht="14.25" hidden="false" customHeight="true" outlineLevel="0" collapsed="false">
      <c r="A213" s="188" t="str">
        <f aca="false">IF(B213="","","COM"&amp;TEXT(ROW()-178,"00000"))</f>
        <v/>
      </c>
      <c r="B213" s="189"/>
      <c r="C213" s="189"/>
      <c r="D213" s="189"/>
      <c r="E213" s="195"/>
      <c r="F213" s="189"/>
      <c r="G213" s="190"/>
    </row>
    <row r="214" customFormat="false" ht="14.25" hidden="false" customHeight="true" outlineLevel="0" collapsed="false">
      <c r="A214" s="188" t="str">
        <f aca="false">IF(B214="","","DIP"&amp;TEXT(ROW()-211,"00000"))</f>
        <v/>
      </c>
      <c r="B214" s="189"/>
      <c r="C214" s="189"/>
      <c r="D214" s="189"/>
      <c r="E214" s="189"/>
      <c r="F214" s="195"/>
      <c r="G214" s="189"/>
    </row>
    <row r="215" customFormat="false" ht="14.25" hidden="false" customHeight="true" outlineLevel="0" collapsed="false">
      <c r="A215" s="188" t="str">
        <f aca="false">IF(B215="","","COM"&amp;TEXT(ROW()-178,"00000"))</f>
        <v/>
      </c>
      <c r="B215" s="189"/>
      <c r="C215" s="189"/>
      <c r="D215" s="189"/>
      <c r="E215" s="195"/>
      <c r="F215" s="189"/>
      <c r="G215" s="190"/>
    </row>
    <row r="216" customFormat="false" ht="14.25" hidden="false" customHeight="true" outlineLevel="0" collapsed="false">
      <c r="A216" s="188" t="str">
        <f aca="false">IF(B216="","","DIP"&amp;TEXT(ROW()-211,"00000"))</f>
        <v/>
      </c>
      <c r="B216" s="189"/>
      <c r="C216" s="189"/>
      <c r="D216" s="189"/>
      <c r="E216" s="189"/>
      <c r="F216" s="195"/>
      <c r="G216" s="189"/>
    </row>
    <row r="217" customFormat="false" ht="14.25" hidden="false" customHeight="true" outlineLevel="0" collapsed="false">
      <c r="A217" s="188" t="str">
        <f aca="false">IF(B217="","","COM"&amp;TEXT(ROW()-178,"00000"))</f>
        <v/>
      </c>
      <c r="B217" s="189"/>
      <c r="C217" s="189"/>
      <c r="D217" s="189"/>
      <c r="E217" s="195"/>
      <c r="F217" s="189"/>
      <c r="G217" s="190"/>
    </row>
    <row r="218" customFormat="false" ht="14.25" hidden="false" customHeight="true" outlineLevel="0" collapsed="false">
      <c r="A218" s="188" t="str">
        <f aca="false">IF(B218="","","DIP"&amp;TEXT(ROW()-211,"00000"))</f>
        <v/>
      </c>
      <c r="B218" s="189"/>
      <c r="C218" s="189"/>
      <c r="D218" s="189"/>
      <c r="E218" s="189"/>
      <c r="F218" s="195"/>
      <c r="G218" s="189"/>
    </row>
    <row r="219" customFormat="false" ht="14.25" hidden="false" customHeight="true" outlineLevel="0" collapsed="false">
      <c r="A219" s="188" t="str">
        <f aca="false">IF(B219="","","COM"&amp;TEXT(ROW()-178,"00000"))</f>
        <v/>
      </c>
      <c r="B219" s="189"/>
      <c r="C219" s="189"/>
      <c r="D219" s="189"/>
      <c r="E219" s="195"/>
      <c r="F219" s="189"/>
      <c r="G219" s="190"/>
    </row>
    <row r="220" customFormat="false" ht="14.25" hidden="false" customHeight="true" outlineLevel="0" collapsed="false">
      <c r="A220" s="188" t="str">
        <f aca="false">IF(B220="","","DIP"&amp;TEXT(ROW()-211,"00000"))</f>
        <v/>
      </c>
      <c r="B220" s="189"/>
      <c r="C220" s="189"/>
      <c r="D220" s="189"/>
      <c r="E220" s="189"/>
      <c r="F220" s="195"/>
      <c r="G220" s="189"/>
    </row>
    <row r="221" customFormat="false" ht="14.25" hidden="false" customHeight="true" outlineLevel="0" collapsed="false">
      <c r="A221" s="188" t="str">
        <f aca="false">IF(B221="","","COM"&amp;TEXT(ROW()-178,"00000"))</f>
        <v/>
      </c>
      <c r="B221" s="189"/>
      <c r="C221" s="189"/>
      <c r="D221" s="189"/>
      <c r="E221" s="195"/>
      <c r="F221" s="189"/>
      <c r="G221" s="190"/>
    </row>
    <row r="222" customFormat="false" ht="14.25" hidden="false" customHeight="true" outlineLevel="0" collapsed="false">
      <c r="A222" s="188" t="str">
        <f aca="false">IF(B222="","","DIP"&amp;TEXT(ROW()-211,"00000"))</f>
        <v/>
      </c>
      <c r="B222" s="189"/>
      <c r="C222" s="189"/>
      <c r="D222" s="189"/>
      <c r="E222" s="189"/>
      <c r="F222" s="195"/>
      <c r="G222" s="189"/>
    </row>
    <row r="223" customFormat="false" ht="14.25" hidden="false" customHeight="true" outlineLevel="0" collapsed="false">
      <c r="A223" s="188" t="str">
        <f aca="false">IF(B223="","","COM"&amp;TEXT(ROW()-178,"00000"))</f>
        <v/>
      </c>
      <c r="B223" s="189"/>
      <c r="C223" s="189"/>
      <c r="D223" s="189"/>
      <c r="E223" s="195"/>
      <c r="F223" s="189"/>
      <c r="G223" s="190"/>
    </row>
    <row r="224" customFormat="false" ht="14.25" hidden="false" customHeight="true" outlineLevel="0" collapsed="false">
      <c r="A224" s="188" t="str">
        <f aca="false">IF(B224="","","DIP"&amp;TEXT(ROW()-211,"00000"))</f>
        <v/>
      </c>
      <c r="B224" s="189"/>
      <c r="C224" s="189"/>
      <c r="D224" s="189"/>
      <c r="E224" s="189"/>
      <c r="F224" s="195"/>
      <c r="G224" s="189"/>
    </row>
    <row r="225" customFormat="false" ht="14.25" hidden="false" customHeight="true" outlineLevel="0" collapsed="false">
      <c r="A225" s="188" t="str">
        <f aca="false">IF(B225="","","COM"&amp;TEXT(ROW()-178,"00000"))</f>
        <v/>
      </c>
      <c r="B225" s="189"/>
      <c r="C225" s="189"/>
      <c r="D225" s="189"/>
      <c r="E225" s="195"/>
      <c r="F225" s="189"/>
      <c r="G225" s="190"/>
    </row>
    <row r="226" customFormat="false" ht="14.25" hidden="false" customHeight="true" outlineLevel="0" collapsed="false">
      <c r="A226" s="188" t="str">
        <f aca="false">IF(B226="","","DIP"&amp;TEXT(ROW()-211,"00000"))</f>
        <v/>
      </c>
      <c r="B226" s="189"/>
      <c r="C226" s="189"/>
      <c r="D226" s="189"/>
      <c r="E226" s="189"/>
      <c r="F226" s="195"/>
      <c r="G226" s="189"/>
    </row>
    <row r="227" customFormat="false" ht="14.25" hidden="false" customHeight="true" outlineLevel="0" collapsed="false">
      <c r="A227" s="188" t="str">
        <f aca="false">IF(B227="","","COM"&amp;TEXT(ROW()-178,"00000"))</f>
        <v/>
      </c>
      <c r="B227" s="189"/>
      <c r="C227" s="189"/>
      <c r="D227" s="189"/>
      <c r="E227" s="195"/>
      <c r="F227" s="189"/>
      <c r="G227" s="190"/>
    </row>
    <row r="228" customFormat="false" ht="14.25" hidden="false" customHeight="true" outlineLevel="0" collapsed="false">
      <c r="A228" s="188" t="str">
        <f aca="false">IF(B228="","","DIP"&amp;TEXT(ROW()-211,"00000"))</f>
        <v/>
      </c>
      <c r="B228" s="189"/>
      <c r="C228" s="189"/>
      <c r="D228" s="189"/>
      <c r="E228" s="189"/>
      <c r="F228" s="195"/>
      <c r="G228" s="189"/>
    </row>
    <row r="229" customFormat="false" ht="14.25" hidden="false" customHeight="true" outlineLevel="0" collapsed="false">
      <c r="A229" s="188" t="str">
        <f aca="false">IF(B229="","","COM"&amp;TEXT(ROW()-178,"00000"))</f>
        <v/>
      </c>
      <c r="B229" s="189"/>
      <c r="C229" s="189"/>
      <c r="D229" s="189"/>
      <c r="E229" s="195"/>
      <c r="F229" s="189"/>
      <c r="G229" s="190"/>
    </row>
    <row r="230" customFormat="false" ht="14.25" hidden="false" customHeight="true" outlineLevel="0" collapsed="false">
      <c r="A230" s="188" t="str">
        <f aca="false">IF(B230="","","DIP"&amp;TEXT(ROW()-211,"00000"))</f>
        <v/>
      </c>
      <c r="B230" s="189"/>
      <c r="C230" s="189"/>
      <c r="D230" s="189"/>
      <c r="E230" s="189"/>
      <c r="F230" s="195"/>
      <c r="G230" s="189"/>
    </row>
    <row r="231" customFormat="false" ht="14.25" hidden="false" customHeight="true" outlineLevel="0" collapsed="false">
      <c r="A231" s="188" t="str">
        <f aca="false">IF(B231="","","COM"&amp;TEXT(ROW()-178,"00000"))</f>
        <v/>
      </c>
      <c r="B231" s="189"/>
      <c r="C231" s="189"/>
      <c r="D231" s="189"/>
      <c r="E231" s="195"/>
      <c r="F231" s="189"/>
      <c r="G231" s="190"/>
    </row>
    <row r="232" customFormat="false" ht="14.25" hidden="false" customHeight="true" outlineLevel="0" collapsed="false">
      <c r="A232" s="188" t="str">
        <f aca="false">IF(B232="","","DIP"&amp;TEXT(ROW()-211,"00000"))</f>
        <v/>
      </c>
      <c r="B232" s="189"/>
      <c r="C232" s="189"/>
      <c r="D232" s="189"/>
      <c r="E232" s="189"/>
      <c r="F232" s="195"/>
      <c r="G232" s="189"/>
    </row>
    <row r="233" customFormat="false" ht="14.25" hidden="false" customHeight="true" outlineLevel="0" collapsed="false">
      <c r="A233" s="188" t="str">
        <f aca="false">IF(B233="","","COM"&amp;TEXT(ROW()-178,"00000"))</f>
        <v/>
      </c>
      <c r="B233" s="189"/>
      <c r="C233" s="189"/>
      <c r="D233" s="189"/>
      <c r="E233" s="195"/>
      <c r="F233" s="189"/>
      <c r="G233" s="190"/>
    </row>
    <row r="234" customFormat="false" ht="14.25" hidden="false" customHeight="true" outlineLevel="0" collapsed="false">
      <c r="A234" s="188" t="str">
        <f aca="false">IF(B234="","","DIP"&amp;TEXT(ROW()-211,"00000"))</f>
        <v/>
      </c>
      <c r="B234" s="189"/>
      <c r="C234" s="189"/>
      <c r="D234" s="189"/>
      <c r="E234" s="189"/>
      <c r="F234" s="195"/>
      <c r="G234" s="189"/>
    </row>
    <row r="235" customFormat="false" ht="14.25" hidden="false" customHeight="true" outlineLevel="0" collapsed="false">
      <c r="A235" s="188" t="str">
        <f aca="false">IF(B235="","","COM"&amp;TEXT(ROW()-178,"00000"))</f>
        <v/>
      </c>
      <c r="B235" s="189"/>
      <c r="C235" s="189"/>
      <c r="D235" s="189"/>
      <c r="E235" s="195"/>
      <c r="F235" s="189"/>
      <c r="G235" s="190"/>
    </row>
    <row r="236" customFormat="false" ht="14.25" hidden="false" customHeight="true" outlineLevel="0" collapsed="false">
      <c r="A236" s="188" t="str">
        <f aca="false">IF(B236="","","DIP"&amp;TEXT(ROW()-211,"00000"))</f>
        <v/>
      </c>
      <c r="B236" s="189"/>
      <c r="C236" s="189"/>
      <c r="D236" s="189"/>
      <c r="E236" s="189"/>
      <c r="F236" s="195"/>
      <c r="G236" s="189"/>
    </row>
    <row r="237" customFormat="false" ht="14.25" hidden="false" customHeight="true" outlineLevel="0" collapsed="false">
      <c r="A237" s="188" t="str">
        <f aca="false">IF(B237="","","COM"&amp;TEXT(ROW()-178,"00000"))</f>
        <v/>
      </c>
      <c r="B237" s="189"/>
      <c r="C237" s="189"/>
      <c r="D237" s="189"/>
      <c r="E237" s="195"/>
      <c r="F237" s="189"/>
      <c r="G237" s="190"/>
    </row>
    <row r="238" customFormat="false" ht="14.25" hidden="false" customHeight="true" outlineLevel="0" collapsed="false">
      <c r="A238" s="188" t="str">
        <f aca="false">IF(B238="","","DIP"&amp;TEXT(ROW()-211,"00000"))</f>
        <v/>
      </c>
      <c r="B238" s="189"/>
      <c r="C238" s="189"/>
      <c r="D238" s="189"/>
      <c r="E238" s="189"/>
      <c r="F238" s="195"/>
      <c r="G238" s="189"/>
    </row>
    <row r="240" customFormat="false" ht="14.25" hidden="false" customHeight="true" outlineLevel="0" collapsed="false">
      <c r="A240" s="188" t="str">
        <f aca="false">IF(B240="","","DIP"&amp;TEXT(ROW()-211,"00000"))</f>
        <v/>
      </c>
      <c r="B240" s="189"/>
      <c r="C240" s="189"/>
      <c r="D240" s="189"/>
      <c r="E240" s="189"/>
      <c r="F240" s="195"/>
      <c r="G240" s="189"/>
    </row>
    <row r="242" customFormat="false" ht="14.25" hidden="false" customHeight="true" outlineLevel="0" collapsed="false">
      <c r="A242" s="188" t="str">
        <f aca="false">IF(B242="","","DIP"&amp;TEXT(ROW()-211,"00000"))</f>
        <v/>
      </c>
      <c r="B242" s="189"/>
      <c r="C242" s="189"/>
      <c r="D242" s="189"/>
      <c r="E242" s="189"/>
      <c r="F242" s="195"/>
      <c r="G242" s="189"/>
    </row>
    <row r="243" customFormat="false" ht="15" hidden="false" customHeight="true" outlineLevel="0" collapsed="false">
      <c r="A243" s="187" t="s">
        <v>2306</v>
      </c>
      <c r="B243" s="187"/>
      <c r="C243" s="187"/>
      <c r="D243" s="187"/>
      <c r="E243" s="187"/>
      <c r="F243" s="187"/>
      <c r="G243" s="187"/>
      <c r="H243" s="187"/>
      <c r="I243" s="187"/>
      <c r="J243" s="187"/>
      <c r="K243" s="187"/>
    </row>
    <row r="244" customFormat="false" ht="14.25" hidden="false" customHeight="true" outlineLevel="0" collapsed="false">
      <c r="A244" s="25" t="s">
        <v>2290</v>
      </c>
      <c r="B244" s="25" t="s">
        <v>2264</v>
      </c>
      <c r="C244" s="25" t="s">
        <v>1357</v>
      </c>
      <c r="D244" s="25" t="s">
        <v>1754</v>
      </c>
      <c r="E244" s="25" t="s">
        <v>2307</v>
      </c>
      <c r="F244" s="196" t="s">
        <v>2308</v>
      </c>
      <c r="G244" s="25" t="s">
        <v>2309</v>
      </c>
      <c r="H244" s="25" t="s">
        <v>2310</v>
      </c>
      <c r="I244" s="25" t="s">
        <v>2311</v>
      </c>
      <c r="J244" s="25" t="s">
        <v>2312</v>
      </c>
      <c r="K244" s="25" t="s">
        <v>1959</v>
      </c>
    </row>
    <row r="245" customFormat="false" ht="14.25" hidden="false" customHeight="true" outlineLevel="0" collapsed="false">
      <c r="A245" s="188" t="str">
        <f aca="false">IF(B245="","","EVA"&amp;TEXT(ROW()-244,"00000"))</f>
        <v/>
      </c>
      <c r="B245" s="189"/>
      <c r="C245" s="190"/>
      <c r="D245" s="189"/>
      <c r="E245" s="189"/>
      <c r="F245" s="189"/>
      <c r="G245" s="189"/>
      <c r="H245" s="189"/>
      <c r="I245" s="189"/>
      <c r="J245" s="195"/>
      <c r="K245" s="189"/>
    </row>
    <row r="246" customFormat="false" ht="14.25" hidden="false" customHeight="true" outlineLevel="0" collapsed="false">
      <c r="A246" s="188" t="str">
        <f aca="false">IF(B246="","","DIP"&amp;TEXT(ROW()-211,"00000"))</f>
        <v/>
      </c>
      <c r="B246" s="189"/>
      <c r="C246" s="189"/>
      <c r="D246" s="189"/>
      <c r="E246" s="189"/>
      <c r="F246" s="195"/>
      <c r="G246" s="189"/>
    </row>
    <row r="247" customFormat="false" ht="14.25" hidden="false" customHeight="true" outlineLevel="0" collapsed="false">
      <c r="A247" s="188" t="str">
        <f aca="false">IF(B247="","","EVA"&amp;TEXT(ROW()-244,"00000"))</f>
        <v/>
      </c>
      <c r="B247" s="189"/>
      <c r="C247" s="190"/>
      <c r="D247" s="189"/>
      <c r="E247" s="189"/>
      <c r="F247" s="189"/>
      <c r="G247" s="189"/>
      <c r="H247" s="189"/>
      <c r="I247" s="189"/>
      <c r="J247" s="195"/>
      <c r="K247" s="189"/>
    </row>
    <row r="248" customFormat="false" ht="14.25" hidden="false" customHeight="true" outlineLevel="0" collapsed="false">
      <c r="A248" s="188" t="str">
        <f aca="false">IF(B248="","","DIP"&amp;TEXT(ROW()-211,"00000"))</f>
        <v/>
      </c>
      <c r="B248" s="189"/>
      <c r="C248" s="189"/>
      <c r="D248" s="189"/>
      <c r="E248" s="189"/>
      <c r="F248" s="195"/>
      <c r="G248" s="189"/>
    </row>
    <row r="249" customFormat="false" ht="14.25" hidden="false" customHeight="true" outlineLevel="0" collapsed="false">
      <c r="A249" s="188" t="str">
        <f aca="false">IF(B249="","","EVA"&amp;TEXT(ROW()-244,"00000"))</f>
        <v/>
      </c>
      <c r="B249" s="189"/>
      <c r="C249" s="190"/>
      <c r="D249" s="189"/>
      <c r="E249" s="189"/>
      <c r="F249" s="189"/>
      <c r="G249" s="189"/>
      <c r="H249" s="189"/>
      <c r="I249" s="189"/>
      <c r="J249" s="195"/>
      <c r="K249" s="189"/>
    </row>
    <row r="250" customFormat="false" ht="14.25" hidden="false" customHeight="true" outlineLevel="0" collapsed="false">
      <c r="A250" s="188" t="str">
        <f aca="false">IF(B250="","","DIP"&amp;TEXT(ROW()-211,"00000"))</f>
        <v/>
      </c>
      <c r="B250" s="189"/>
      <c r="C250" s="189"/>
      <c r="D250" s="189"/>
      <c r="E250" s="189"/>
      <c r="F250" s="195"/>
      <c r="G250" s="189"/>
    </row>
    <row r="251" customFormat="false" ht="14.25" hidden="false" customHeight="true" outlineLevel="0" collapsed="false">
      <c r="A251" s="188" t="str">
        <f aca="false">IF(B251="","","EVA"&amp;TEXT(ROW()-244,"00000"))</f>
        <v/>
      </c>
      <c r="B251" s="189"/>
      <c r="C251" s="190"/>
      <c r="D251" s="189"/>
      <c r="E251" s="189"/>
      <c r="F251" s="189"/>
      <c r="G251" s="189"/>
      <c r="H251" s="189"/>
      <c r="I251" s="189"/>
      <c r="J251" s="195"/>
      <c r="K251" s="189"/>
    </row>
    <row r="252" customFormat="false" ht="14.25" hidden="false" customHeight="true" outlineLevel="0" collapsed="false">
      <c r="A252" s="188" t="str">
        <f aca="false">IF(B252="","","DIP"&amp;TEXT(ROW()-211,"00000"))</f>
        <v/>
      </c>
      <c r="B252" s="189"/>
      <c r="C252" s="189"/>
      <c r="D252" s="189"/>
      <c r="E252" s="189"/>
      <c r="F252" s="195"/>
      <c r="G252" s="189"/>
    </row>
    <row r="253" customFormat="false" ht="14.25" hidden="false" customHeight="true" outlineLevel="0" collapsed="false">
      <c r="A253" s="188" t="str">
        <f aca="false">IF(B253="","","EVA"&amp;TEXT(ROW()-244,"00000"))</f>
        <v/>
      </c>
      <c r="B253" s="189"/>
      <c r="C253" s="190"/>
      <c r="D253" s="189"/>
      <c r="E253" s="189"/>
      <c r="F253" s="189"/>
      <c r="G253" s="189"/>
      <c r="H253" s="189"/>
      <c r="I253" s="189"/>
      <c r="J253" s="195"/>
      <c r="K253" s="189"/>
    </row>
    <row r="254" customFormat="false" ht="14.25" hidden="false" customHeight="true" outlineLevel="0" collapsed="false">
      <c r="A254" s="188" t="str">
        <f aca="false">IF(B254="","","DIP"&amp;TEXT(ROW()-211,"00000"))</f>
        <v/>
      </c>
      <c r="B254" s="189"/>
      <c r="C254" s="189"/>
      <c r="D254" s="189"/>
      <c r="E254" s="189"/>
      <c r="F254" s="195"/>
      <c r="G254" s="189"/>
    </row>
    <row r="255" customFormat="false" ht="14.25" hidden="false" customHeight="true" outlineLevel="0" collapsed="false">
      <c r="A255" s="188" t="str">
        <f aca="false">IF(B255="","","EVA"&amp;TEXT(ROW()-244,"00000"))</f>
        <v/>
      </c>
      <c r="B255" s="189"/>
      <c r="C255" s="190"/>
      <c r="D255" s="189"/>
      <c r="E255" s="189"/>
      <c r="F255" s="189"/>
      <c r="G255" s="189"/>
      <c r="H255" s="189"/>
      <c r="I255" s="189"/>
      <c r="J255" s="195"/>
      <c r="K255" s="189"/>
    </row>
    <row r="256" customFormat="false" ht="14.25" hidden="false" customHeight="true" outlineLevel="0" collapsed="false">
      <c r="A256" s="188" t="str">
        <f aca="false">IF(B256="","","DIP"&amp;TEXT(ROW()-211,"00000"))</f>
        <v/>
      </c>
      <c r="B256" s="189"/>
      <c r="C256" s="189"/>
      <c r="D256" s="189"/>
      <c r="E256" s="189"/>
      <c r="F256" s="195"/>
      <c r="G256" s="189"/>
    </row>
    <row r="257" customFormat="false" ht="14.25" hidden="false" customHeight="true" outlineLevel="0" collapsed="false">
      <c r="A257" s="188" t="str">
        <f aca="false">IF(B257="","","EVA"&amp;TEXT(ROW()-244,"00000"))</f>
        <v/>
      </c>
      <c r="B257" s="189"/>
      <c r="C257" s="190"/>
      <c r="D257" s="189"/>
      <c r="E257" s="189"/>
      <c r="F257" s="189"/>
      <c r="G257" s="189"/>
      <c r="H257" s="189"/>
      <c r="I257" s="189"/>
      <c r="J257" s="195"/>
      <c r="K257" s="189"/>
    </row>
    <row r="258" customFormat="false" ht="14.25" hidden="false" customHeight="true" outlineLevel="0" collapsed="false">
      <c r="A258" s="188" t="str">
        <f aca="false">IF(B258="","","DIP"&amp;TEXT(ROW()-211,"00000"))</f>
        <v/>
      </c>
      <c r="B258" s="189"/>
      <c r="C258" s="189"/>
      <c r="D258" s="189"/>
      <c r="E258" s="189"/>
      <c r="F258" s="195"/>
      <c r="G258" s="189"/>
    </row>
    <row r="259" customFormat="false" ht="14.25" hidden="false" customHeight="true" outlineLevel="0" collapsed="false">
      <c r="A259" s="188" t="str">
        <f aca="false">IF(B259="","","EVA"&amp;TEXT(ROW()-244,"00000"))</f>
        <v/>
      </c>
      <c r="B259" s="189"/>
      <c r="C259" s="190"/>
      <c r="D259" s="189"/>
      <c r="E259" s="189"/>
      <c r="F259" s="189"/>
      <c r="G259" s="189"/>
      <c r="H259" s="189"/>
      <c r="I259" s="189"/>
      <c r="J259" s="195"/>
      <c r="K259" s="189"/>
    </row>
    <row r="260" customFormat="false" ht="14.25" hidden="false" customHeight="true" outlineLevel="0" collapsed="false">
      <c r="A260" s="188" t="str">
        <f aca="false">IF(B260="","","DIP"&amp;TEXT(ROW()-211,"00000"))</f>
        <v/>
      </c>
      <c r="B260" s="189"/>
      <c r="C260" s="189"/>
      <c r="D260" s="189"/>
      <c r="E260" s="189"/>
      <c r="F260" s="195"/>
      <c r="G260" s="189"/>
    </row>
    <row r="261" customFormat="false" ht="14.25" hidden="false" customHeight="true" outlineLevel="0" collapsed="false">
      <c r="A261" s="188" t="str">
        <f aca="false">IF(B261="","","EVA"&amp;TEXT(ROW()-244,"00000"))</f>
        <v/>
      </c>
      <c r="B261" s="189"/>
      <c r="C261" s="190"/>
      <c r="D261" s="189"/>
      <c r="E261" s="189"/>
      <c r="F261" s="189"/>
      <c r="G261" s="189"/>
      <c r="H261" s="189"/>
      <c r="I261" s="189"/>
      <c r="J261" s="195"/>
      <c r="K261" s="189"/>
    </row>
    <row r="262" customFormat="false" ht="14.25" hidden="false" customHeight="true" outlineLevel="0" collapsed="false">
      <c r="A262" s="188" t="str">
        <f aca="false">IF(B262="","","DIP"&amp;TEXT(ROW()-211,"00000"))</f>
        <v/>
      </c>
      <c r="B262" s="189"/>
      <c r="C262" s="189"/>
      <c r="D262" s="189"/>
      <c r="E262" s="189"/>
      <c r="F262" s="195"/>
      <c r="G262" s="189"/>
    </row>
    <row r="263" customFormat="false" ht="14.25" hidden="false" customHeight="true" outlineLevel="0" collapsed="false">
      <c r="A263" s="188" t="str">
        <f aca="false">IF(B263="","","EVA"&amp;TEXT(ROW()-244,"00000"))</f>
        <v/>
      </c>
      <c r="B263" s="189"/>
      <c r="C263" s="190"/>
      <c r="D263" s="189"/>
      <c r="E263" s="189"/>
      <c r="F263" s="189"/>
      <c r="G263" s="189"/>
      <c r="H263" s="189"/>
      <c r="I263" s="189"/>
      <c r="J263" s="195"/>
      <c r="K263" s="189"/>
    </row>
    <row r="264" customFormat="false" ht="14.25" hidden="false" customHeight="true" outlineLevel="0" collapsed="false">
      <c r="A264" s="188" t="str">
        <f aca="false">IF(B264="","","DIP"&amp;TEXT(ROW()-211,"00000"))</f>
        <v/>
      </c>
      <c r="B264" s="189"/>
      <c r="C264" s="189"/>
      <c r="D264" s="189"/>
      <c r="E264" s="189"/>
      <c r="F264" s="195"/>
      <c r="G264" s="189"/>
    </row>
    <row r="265" customFormat="false" ht="14.25" hidden="false" customHeight="true" outlineLevel="0" collapsed="false">
      <c r="A265" s="188" t="str">
        <f aca="false">IF(B265="","","EVA"&amp;TEXT(ROW()-244,"00000"))</f>
        <v/>
      </c>
      <c r="B265" s="189"/>
      <c r="C265" s="190"/>
      <c r="D265" s="189"/>
      <c r="E265" s="189"/>
      <c r="F265" s="189"/>
      <c r="G265" s="189"/>
      <c r="H265" s="189"/>
      <c r="I265" s="189"/>
      <c r="J265" s="195"/>
      <c r="K265" s="189"/>
    </row>
    <row r="266" customFormat="false" ht="14.25" hidden="false" customHeight="true" outlineLevel="0" collapsed="false">
      <c r="A266" s="188" t="str">
        <f aca="false">IF(B266="","","DIP"&amp;TEXT(ROW()-211,"00000"))</f>
        <v/>
      </c>
      <c r="B266" s="189"/>
      <c r="C266" s="189"/>
      <c r="D266" s="189"/>
      <c r="E266" s="189"/>
      <c r="F266" s="195"/>
      <c r="G266" s="189"/>
    </row>
    <row r="267" customFormat="false" ht="14.25" hidden="false" customHeight="true" outlineLevel="0" collapsed="false">
      <c r="A267" s="188" t="str">
        <f aca="false">IF(B267="","","EVA"&amp;TEXT(ROW()-244,"00000"))</f>
        <v/>
      </c>
      <c r="B267" s="189"/>
      <c r="C267" s="190"/>
      <c r="D267" s="189"/>
      <c r="E267" s="189"/>
      <c r="F267" s="189"/>
      <c r="G267" s="189"/>
      <c r="H267" s="189"/>
      <c r="I267" s="189"/>
      <c r="J267" s="195"/>
      <c r="K267" s="189"/>
    </row>
    <row r="268" customFormat="false" ht="14.25" hidden="false" customHeight="true" outlineLevel="0" collapsed="false">
      <c r="A268" s="188" t="str">
        <f aca="false">IF(B268="","","DIP"&amp;TEXT(ROW()-211,"00000"))</f>
        <v/>
      </c>
      <c r="B268" s="189"/>
      <c r="C268" s="189"/>
      <c r="D268" s="189"/>
      <c r="E268" s="189"/>
      <c r="F268" s="195"/>
      <c r="G268" s="189"/>
    </row>
    <row r="269" customFormat="false" ht="14.25" hidden="false" customHeight="true" outlineLevel="0" collapsed="false">
      <c r="A269" s="188" t="str">
        <f aca="false">IF(B269="","","EVA"&amp;TEXT(ROW()-244,"00000"))</f>
        <v/>
      </c>
      <c r="B269" s="189"/>
      <c r="C269" s="190"/>
      <c r="D269" s="189"/>
      <c r="E269" s="189"/>
      <c r="F269" s="189"/>
      <c r="G269" s="189"/>
      <c r="H269" s="189"/>
      <c r="I269" s="189"/>
      <c r="J269" s="195"/>
      <c r="K269" s="189"/>
    </row>
    <row r="270" customFormat="false" ht="14.25" hidden="false" customHeight="true" outlineLevel="0" collapsed="false">
      <c r="A270" s="188" t="str">
        <f aca="false">IF(B270="","","DIP"&amp;TEXT(ROW()-211,"00000"))</f>
        <v/>
      </c>
      <c r="B270" s="189"/>
      <c r="C270" s="189"/>
      <c r="D270" s="189"/>
      <c r="E270" s="189"/>
      <c r="F270" s="195"/>
      <c r="G270" s="189"/>
    </row>
    <row r="271" customFormat="false" ht="14.25" hidden="false" customHeight="true" outlineLevel="0" collapsed="false">
      <c r="A271" s="188" t="str">
        <f aca="false">IF(B271="","","EVA"&amp;TEXT(ROW()-244,"00000"))</f>
        <v/>
      </c>
      <c r="B271" s="189"/>
      <c r="C271" s="190"/>
      <c r="D271" s="189"/>
      <c r="E271" s="189"/>
      <c r="F271" s="189"/>
      <c r="G271" s="189"/>
      <c r="H271" s="189"/>
      <c r="I271" s="189"/>
      <c r="J271" s="195"/>
      <c r="K271" s="189"/>
    </row>
    <row r="273" customFormat="false" ht="14.25" hidden="false" customHeight="true" outlineLevel="0" collapsed="false">
      <c r="A273" s="188" t="str">
        <f aca="false">IF(B273="","","EVA"&amp;TEXT(ROW()-244,"00000"))</f>
        <v/>
      </c>
      <c r="B273" s="189"/>
      <c r="C273" s="190"/>
      <c r="D273" s="189"/>
      <c r="E273" s="189"/>
      <c r="F273" s="189"/>
      <c r="G273" s="189"/>
      <c r="H273" s="189"/>
      <c r="I273" s="189"/>
      <c r="J273" s="195"/>
      <c r="K273" s="189"/>
    </row>
    <row r="275" customFormat="false" ht="14.25" hidden="false" customHeight="true" outlineLevel="0" collapsed="false">
      <c r="A275" s="188" t="str">
        <f aca="false">IF(B275="","","EVA"&amp;TEXT(ROW()-244,"00000"))</f>
        <v/>
      </c>
      <c r="B275" s="189"/>
      <c r="C275" s="190"/>
      <c r="D275" s="189"/>
      <c r="E275" s="189"/>
      <c r="F275" s="189"/>
      <c r="G275" s="189"/>
      <c r="H275" s="189"/>
      <c r="I275" s="189"/>
      <c r="J275" s="195"/>
      <c r="K275" s="189"/>
    </row>
    <row r="276" customFormat="false" ht="15" hidden="false" customHeight="true" outlineLevel="0" collapsed="false">
      <c r="A276" s="187" t="s">
        <v>2313</v>
      </c>
      <c r="B276" s="187"/>
      <c r="C276" s="187"/>
      <c r="D276" s="187"/>
      <c r="E276" s="187"/>
      <c r="F276" s="187"/>
      <c r="G276" s="187"/>
      <c r="H276" s="187"/>
      <c r="I276" s="187"/>
    </row>
    <row r="277" customFormat="false" ht="14.25" hidden="false" customHeight="true" outlineLevel="0" collapsed="false">
      <c r="A277" s="25" t="s">
        <v>2290</v>
      </c>
      <c r="B277" s="25" t="s">
        <v>2264</v>
      </c>
      <c r="C277" s="192" t="s">
        <v>2314</v>
      </c>
      <c r="D277" s="25" t="s">
        <v>1857</v>
      </c>
      <c r="E277" s="25" t="s">
        <v>1858</v>
      </c>
      <c r="F277" s="25" t="s">
        <v>2315</v>
      </c>
      <c r="G277" s="25" t="s">
        <v>2085</v>
      </c>
      <c r="H277" s="25" t="s">
        <v>54</v>
      </c>
      <c r="I277" s="25" t="s">
        <v>2218</v>
      </c>
      <c r="J277" s="195"/>
      <c r="K277" s="189"/>
    </row>
    <row r="278" customFormat="false" ht="14.25" hidden="false" customHeight="true" outlineLevel="0" collapsed="false">
      <c r="A278" s="188" t="str">
        <f aca="false">IF(B278="","","CNG"&amp;TEXT(ROW()-277,"00000"))</f>
        <v/>
      </c>
      <c r="B278" s="189"/>
      <c r="C278" s="189"/>
      <c r="D278" s="190"/>
      <c r="E278" s="190"/>
      <c r="F278" s="197" t="str">
        <f aca="false">IF(OR(D278="",E278=""),"",E278-D278+1)</f>
        <v/>
      </c>
      <c r="G278" s="189"/>
      <c r="H278" s="189"/>
      <c r="I278" s="189"/>
    </row>
    <row r="279" customFormat="false" ht="14.25" hidden="false" customHeight="true" outlineLevel="0" collapsed="false">
      <c r="A279" s="188" t="str">
        <f aca="false">IF(B279="","","EVA"&amp;TEXT(ROW()-244,"00000"))</f>
        <v/>
      </c>
      <c r="B279" s="189"/>
      <c r="C279" s="190"/>
      <c r="D279" s="189"/>
      <c r="E279" s="189"/>
      <c r="F279" s="189"/>
      <c r="G279" s="189"/>
      <c r="H279" s="189"/>
      <c r="I279" s="189"/>
      <c r="J279" s="195"/>
      <c r="K279" s="189"/>
    </row>
    <row r="280" customFormat="false" ht="14.25" hidden="false" customHeight="true" outlineLevel="0" collapsed="false">
      <c r="A280" s="188" t="str">
        <f aca="false">IF(B280="","","CNG"&amp;TEXT(ROW()-277,"00000"))</f>
        <v/>
      </c>
      <c r="B280" s="189"/>
      <c r="C280" s="189"/>
      <c r="D280" s="190"/>
      <c r="E280" s="190"/>
      <c r="F280" s="197" t="str">
        <f aca="false">IF(OR(D280="",E280=""),"",E280-D280+1)</f>
        <v/>
      </c>
      <c r="G280" s="189"/>
      <c r="H280" s="189"/>
      <c r="I280" s="189"/>
    </row>
    <row r="281" customFormat="false" ht="14.25" hidden="false" customHeight="true" outlineLevel="0" collapsed="false">
      <c r="A281" s="188" t="str">
        <f aca="false">IF(B281="","","EVA"&amp;TEXT(ROW()-244,"00000"))</f>
        <v/>
      </c>
      <c r="B281" s="189"/>
      <c r="C281" s="190"/>
      <c r="D281" s="189"/>
      <c r="E281" s="189"/>
      <c r="F281" s="189"/>
      <c r="G281" s="189"/>
      <c r="H281" s="189"/>
      <c r="I281" s="189"/>
      <c r="J281" s="195"/>
      <c r="K281" s="189"/>
    </row>
    <row r="282" customFormat="false" ht="14.25" hidden="false" customHeight="true" outlineLevel="0" collapsed="false">
      <c r="A282" s="188" t="str">
        <f aca="false">IF(B282="","","CNG"&amp;TEXT(ROW()-277,"00000"))</f>
        <v/>
      </c>
      <c r="B282" s="189"/>
      <c r="C282" s="189"/>
      <c r="D282" s="190"/>
      <c r="E282" s="190"/>
      <c r="F282" s="197" t="str">
        <f aca="false">IF(OR(D282="",E282=""),"",E282-D282+1)</f>
        <v/>
      </c>
      <c r="G282" s="189"/>
      <c r="H282" s="189"/>
      <c r="I282" s="189"/>
    </row>
    <row r="283" customFormat="false" ht="14.25" hidden="false" customHeight="true" outlineLevel="0" collapsed="false">
      <c r="A283" s="188" t="str">
        <f aca="false">IF(B283="","","EVA"&amp;TEXT(ROW()-244,"00000"))</f>
        <v/>
      </c>
      <c r="B283" s="189"/>
      <c r="C283" s="190"/>
      <c r="D283" s="189"/>
      <c r="E283" s="189"/>
      <c r="F283" s="189"/>
      <c r="G283" s="189"/>
      <c r="H283" s="189"/>
      <c r="I283" s="189"/>
      <c r="J283" s="195"/>
      <c r="K283" s="189"/>
    </row>
    <row r="284" customFormat="false" ht="14.25" hidden="false" customHeight="true" outlineLevel="0" collapsed="false">
      <c r="A284" s="188" t="str">
        <f aca="false">IF(B284="","","CNG"&amp;TEXT(ROW()-277,"00000"))</f>
        <v/>
      </c>
      <c r="B284" s="189"/>
      <c r="C284" s="189"/>
      <c r="D284" s="190"/>
      <c r="E284" s="190"/>
      <c r="F284" s="197" t="str">
        <f aca="false">IF(OR(D284="",E284=""),"",E284-D284+1)</f>
        <v/>
      </c>
      <c r="G284" s="189"/>
      <c r="H284" s="189"/>
      <c r="I284" s="189"/>
    </row>
    <row r="285" customFormat="false" ht="14.25" hidden="false" customHeight="true" outlineLevel="0" collapsed="false">
      <c r="A285" s="188" t="str">
        <f aca="false">IF(B285="","","EVA"&amp;TEXT(ROW()-244,"00000"))</f>
        <v/>
      </c>
      <c r="B285" s="189"/>
      <c r="C285" s="190"/>
      <c r="D285" s="189"/>
      <c r="E285" s="189"/>
      <c r="F285" s="189"/>
      <c r="G285" s="189"/>
      <c r="H285" s="189"/>
      <c r="I285" s="189"/>
      <c r="J285" s="195"/>
      <c r="K285" s="189"/>
    </row>
    <row r="286" customFormat="false" ht="14.25" hidden="false" customHeight="true" outlineLevel="0" collapsed="false">
      <c r="A286" s="188" t="str">
        <f aca="false">IF(B286="","","CNG"&amp;TEXT(ROW()-277,"00000"))</f>
        <v/>
      </c>
      <c r="B286" s="189"/>
      <c r="C286" s="189"/>
      <c r="D286" s="190"/>
      <c r="E286" s="190"/>
      <c r="F286" s="197" t="str">
        <f aca="false">IF(OR(D286="",E286=""),"",E286-D286+1)</f>
        <v/>
      </c>
      <c r="G286" s="189"/>
      <c r="H286" s="189"/>
      <c r="I286" s="189"/>
    </row>
    <row r="287" customFormat="false" ht="14.25" hidden="false" customHeight="true" outlineLevel="0" collapsed="false">
      <c r="A287" s="188" t="str">
        <f aca="false">IF(B287="","","EVA"&amp;TEXT(ROW()-244,"00000"))</f>
        <v/>
      </c>
      <c r="B287" s="189"/>
      <c r="C287" s="190"/>
      <c r="D287" s="189"/>
      <c r="E287" s="189"/>
      <c r="F287" s="189"/>
      <c r="G287" s="189"/>
      <c r="H287" s="189"/>
      <c r="I287" s="189"/>
      <c r="J287" s="195"/>
      <c r="K287" s="189"/>
    </row>
    <row r="288" customFormat="false" ht="14.25" hidden="false" customHeight="true" outlineLevel="0" collapsed="false">
      <c r="A288" s="188" t="str">
        <f aca="false">IF(B288="","","CNG"&amp;TEXT(ROW()-277,"00000"))</f>
        <v/>
      </c>
      <c r="B288" s="189"/>
      <c r="C288" s="189"/>
      <c r="D288" s="190"/>
      <c r="E288" s="190"/>
      <c r="F288" s="197" t="str">
        <f aca="false">IF(OR(D288="",E288=""),"",E288-D288+1)</f>
        <v/>
      </c>
      <c r="G288" s="189"/>
      <c r="H288" s="189"/>
      <c r="I288" s="189"/>
    </row>
    <row r="289" customFormat="false" ht="14.25" hidden="false" customHeight="true" outlineLevel="0" collapsed="false">
      <c r="A289" s="188" t="str">
        <f aca="false">IF(B289="","","EVA"&amp;TEXT(ROW()-244,"00000"))</f>
        <v/>
      </c>
      <c r="B289" s="189"/>
      <c r="C289" s="190"/>
      <c r="D289" s="189"/>
      <c r="E289" s="189"/>
      <c r="F289" s="189"/>
      <c r="G289" s="189"/>
      <c r="H289" s="189"/>
      <c r="I289" s="189"/>
      <c r="J289" s="195"/>
      <c r="K289" s="189"/>
    </row>
    <row r="290" customFormat="false" ht="14.25" hidden="false" customHeight="true" outlineLevel="0" collapsed="false">
      <c r="A290" s="188" t="str">
        <f aca="false">IF(B290="","","CNG"&amp;TEXT(ROW()-277,"00000"))</f>
        <v/>
      </c>
      <c r="B290" s="189"/>
      <c r="C290" s="189"/>
      <c r="D290" s="190"/>
      <c r="E290" s="190"/>
      <c r="F290" s="197" t="str">
        <f aca="false">IF(OR(D290="",E290=""),"",E290-D290+1)</f>
        <v/>
      </c>
      <c r="G290" s="189"/>
      <c r="H290" s="189"/>
      <c r="I290" s="189"/>
    </row>
    <row r="291" customFormat="false" ht="14.25" hidden="false" customHeight="true" outlineLevel="0" collapsed="false">
      <c r="A291" s="188" t="str">
        <f aca="false">IF(B291="","","EVA"&amp;TEXT(ROW()-244,"00000"))</f>
        <v/>
      </c>
      <c r="B291" s="189"/>
      <c r="C291" s="190"/>
      <c r="D291" s="189"/>
      <c r="E291" s="189"/>
      <c r="F291" s="189"/>
      <c r="G291" s="189"/>
      <c r="H291" s="189"/>
      <c r="I291" s="189"/>
      <c r="J291" s="195"/>
      <c r="K291" s="189"/>
    </row>
    <row r="292" customFormat="false" ht="14.25" hidden="false" customHeight="true" outlineLevel="0" collapsed="false">
      <c r="A292" s="188" t="str">
        <f aca="false">IF(B292="","","CNG"&amp;TEXT(ROW()-277,"00000"))</f>
        <v/>
      </c>
      <c r="B292" s="189"/>
      <c r="C292" s="189"/>
      <c r="D292" s="190"/>
      <c r="E292" s="190"/>
      <c r="F292" s="197" t="str">
        <f aca="false">IF(OR(D292="",E292=""),"",E292-D292+1)</f>
        <v/>
      </c>
      <c r="G292" s="189"/>
      <c r="H292" s="189"/>
      <c r="I292" s="189"/>
    </row>
    <row r="293" customFormat="false" ht="14.25" hidden="false" customHeight="true" outlineLevel="0" collapsed="false">
      <c r="A293" s="188" t="str">
        <f aca="false">IF(B293="","","EVA"&amp;TEXT(ROW()-244,"00000"))</f>
        <v/>
      </c>
      <c r="B293" s="189"/>
      <c r="C293" s="190"/>
      <c r="D293" s="189"/>
      <c r="E293" s="189"/>
      <c r="F293" s="189"/>
      <c r="G293" s="189"/>
      <c r="H293" s="189"/>
      <c r="I293" s="189"/>
      <c r="J293" s="195"/>
      <c r="K293" s="189"/>
    </row>
    <row r="294" customFormat="false" ht="14.25" hidden="false" customHeight="true" outlineLevel="0" collapsed="false">
      <c r="A294" s="188" t="str">
        <f aca="false">IF(B294="","","CNG"&amp;TEXT(ROW()-277,"00000"))</f>
        <v/>
      </c>
      <c r="B294" s="189"/>
      <c r="C294" s="189"/>
      <c r="D294" s="190"/>
      <c r="E294" s="190"/>
      <c r="F294" s="197" t="str">
        <f aca="false">IF(OR(D294="",E294=""),"",E294-D294+1)</f>
        <v/>
      </c>
      <c r="G294" s="189"/>
      <c r="H294" s="189"/>
      <c r="I294" s="189"/>
    </row>
    <row r="295" customFormat="false" ht="14.25" hidden="false" customHeight="true" outlineLevel="0" collapsed="false">
      <c r="A295" s="188" t="str">
        <f aca="false">IF(B295="","","EVA"&amp;TEXT(ROW()-244,"00000"))</f>
        <v/>
      </c>
      <c r="B295" s="189"/>
      <c r="C295" s="190"/>
      <c r="D295" s="189"/>
      <c r="E295" s="189"/>
      <c r="F295" s="189"/>
      <c r="G295" s="189"/>
      <c r="H295" s="189"/>
      <c r="I295" s="189"/>
      <c r="J295" s="195"/>
      <c r="K295" s="189"/>
    </row>
    <row r="296" customFormat="false" ht="14.25" hidden="false" customHeight="true" outlineLevel="0" collapsed="false">
      <c r="A296" s="188" t="str">
        <f aca="false">IF(B296="","","CNG"&amp;TEXT(ROW()-277,"00000"))</f>
        <v/>
      </c>
      <c r="B296" s="189"/>
      <c r="C296" s="189"/>
      <c r="D296" s="190"/>
      <c r="E296" s="190"/>
      <c r="F296" s="197" t="str">
        <f aca="false">IF(OR(D296="",E296=""),"",E296-D296+1)</f>
        <v/>
      </c>
      <c r="G296" s="189"/>
      <c r="H296" s="189"/>
      <c r="I296" s="189"/>
    </row>
    <row r="297" customFormat="false" ht="14.25" hidden="false" customHeight="true" outlineLevel="0" collapsed="false">
      <c r="A297" s="188" t="str">
        <f aca="false">IF(B297="","","EVA"&amp;TEXT(ROW()-244,"00000"))</f>
        <v/>
      </c>
      <c r="B297" s="189"/>
      <c r="C297" s="190"/>
      <c r="D297" s="189"/>
      <c r="E297" s="189"/>
      <c r="F297" s="189"/>
      <c r="G297" s="189"/>
      <c r="H297" s="189"/>
      <c r="I297" s="189"/>
      <c r="J297" s="195"/>
      <c r="K297" s="189"/>
    </row>
    <row r="298" customFormat="false" ht="14.25" hidden="false" customHeight="true" outlineLevel="0" collapsed="false">
      <c r="A298" s="188" t="str">
        <f aca="false">IF(B298="","","CNG"&amp;TEXT(ROW()-277,"00000"))</f>
        <v/>
      </c>
      <c r="B298" s="189"/>
      <c r="C298" s="189"/>
      <c r="D298" s="190"/>
      <c r="E298" s="190"/>
      <c r="F298" s="197" t="str">
        <f aca="false">IF(OR(D298="",E298=""),"",E298-D298+1)</f>
        <v/>
      </c>
      <c r="G298" s="189"/>
      <c r="H298" s="189"/>
      <c r="I298" s="189"/>
    </row>
    <row r="299" customFormat="false" ht="14.25" hidden="false" customHeight="true" outlineLevel="0" collapsed="false">
      <c r="A299" s="188" t="str">
        <f aca="false">IF(B299="","","EVA"&amp;TEXT(ROW()-244,"00000"))</f>
        <v/>
      </c>
      <c r="B299" s="189"/>
      <c r="C299" s="190"/>
      <c r="D299" s="189"/>
      <c r="E299" s="189"/>
      <c r="F299" s="189"/>
      <c r="G299" s="189"/>
      <c r="H299" s="189"/>
      <c r="I299" s="189"/>
      <c r="J299" s="195"/>
      <c r="K299" s="189"/>
    </row>
    <row r="300" customFormat="false" ht="14.25" hidden="false" customHeight="true" outlineLevel="0" collapsed="false">
      <c r="A300" s="188" t="str">
        <f aca="false">IF(B300="","","CNG"&amp;TEXT(ROW()-277,"00000"))</f>
        <v/>
      </c>
      <c r="B300" s="189"/>
      <c r="C300" s="189"/>
      <c r="D300" s="190"/>
      <c r="E300" s="190"/>
      <c r="F300" s="197" t="str">
        <f aca="false">IF(OR(D300="",E300=""),"",E300-D300+1)</f>
        <v/>
      </c>
      <c r="G300" s="189"/>
      <c r="H300" s="189"/>
      <c r="I300" s="189"/>
    </row>
    <row r="301" customFormat="false" ht="14.25" hidden="false" customHeight="true" outlineLevel="0" collapsed="false">
      <c r="A301" s="188" t="str">
        <f aca="false">IF(B301="","","EVA"&amp;TEXT(ROW()-244,"00000"))</f>
        <v/>
      </c>
      <c r="B301" s="189"/>
      <c r="C301" s="190"/>
      <c r="D301" s="189"/>
      <c r="E301" s="189"/>
      <c r="F301" s="189"/>
      <c r="G301" s="189"/>
      <c r="H301" s="189"/>
      <c r="I301" s="189"/>
      <c r="J301" s="195"/>
      <c r="K301" s="189"/>
    </row>
    <row r="302" customFormat="false" ht="14.25" hidden="false" customHeight="true" outlineLevel="0" collapsed="false">
      <c r="A302" s="188" t="str">
        <f aca="false">IF(B302="","","CNG"&amp;TEXT(ROW()-277,"00000"))</f>
        <v/>
      </c>
      <c r="B302" s="189"/>
      <c r="C302" s="189"/>
      <c r="D302" s="190"/>
      <c r="E302" s="190"/>
      <c r="F302" s="197" t="str">
        <f aca="false">IF(OR(D302="",E302=""),"",E302-D302+1)</f>
        <v/>
      </c>
      <c r="G302" s="189"/>
      <c r="H302" s="189"/>
      <c r="I302" s="189"/>
    </row>
    <row r="303" customFormat="false" ht="14.25" hidden="false" customHeight="true" outlineLevel="0" collapsed="false">
      <c r="A303" s="188" t="str">
        <f aca="false">IF(B303="","","EVA"&amp;TEXT(ROW()-244,"00000"))</f>
        <v/>
      </c>
      <c r="B303" s="189"/>
      <c r="C303" s="190"/>
      <c r="D303" s="189"/>
      <c r="E303" s="189"/>
      <c r="F303" s="189"/>
      <c r="G303" s="189"/>
      <c r="H303" s="189"/>
      <c r="I303" s="189"/>
      <c r="J303" s="195"/>
      <c r="K303" s="189"/>
    </row>
    <row r="304" customFormat="false" ht="14.25" hidden="false" customHeight="true" outlineLevel="0" collapsed="false">
      <c r="A304" s="188" t="str">
        <f aca="false">IF(B304="","","CNG"&amp;TEXT(ROW()-277,"00000"))</f>
        <v/>
      </c>
      <c r="B304" s="189"/>
      <c r="C304" s="189"/>
      <c r="D304" s="190"/>
      <c r="E304" s="190"/>
      <c r="F304" s="197" t="str">
        <f aca="false">IF(OR(D304="",E304=""),"",E304-D304+1)</f>
        <v/>
      </c>
      <c r="G304" s="189"/>
      <c r="H304" s="189"/>
      <c r="I304" s="189"/>
    </row>
    <row r="306" customFormat="false" ht="14.25" hidden="false" customHeight="true" outlineLevel="0" collapsed="false">
      <c r="A306" s="188" t="str">
        <f aca="false">IF(B306="","","CNG"&amp;TEXT(ROW()-277,"00000"))</f>
        <v/>
      </c>
      <c r="B306" s="189"/>
      <c r="C306" s="189"/>
      <c r="D306" s="190"/>
      <c r="E306" s="190"/>
      <c r="F306" s="197" t="str">
        <f aca="false">IF(OR(D306="",E306=""),"",E306-D306+1)</f>
        <v/>
      </c>
      <c r="G306" s="189"/>
      <c r="H306" s="189"/>
      <c r="I306" s="189"/>
    </row>
    <row r="308" customFormat="false" ht="14.25" hidden="false" customHeight="true" outlineLevel="0" collapsed="false">
      <c r="A308" s="188" t="str">
        <f aca="false">IF(B308="","","CNG"&amp;TEXT(ROW()-277,"00000"))</f>
        <v/>
      </c>
      <c r="B308" s="189"/>
      <c r="C308" s="189"/>
      <c r="D308" s="190"/>
      <c r="E308" s="190"/>
      <c r="F308" s="197" t="str">
        <f aca="false">IF(OR(D308="",E308=""),"",E308-D308+1)</f>
        <v/>
      </c>
      <c r="G308" s="189"/>
      <c r="H308" s="189"/>
      <c r="I308" s="189"/>
    </row>
    <row r="309" customFormat="false" ht="15" hidden="false" customHeight="true" outlineLevel="0" collapsed="false">
      <c r="A309" s="187" t="s">
        <v>2316</v>
      </c>
      <c r="B309" s="187"/>
      <c r="C309" s="187"/>
      <c r="D309" s="187"/>
      <c r="E309" s="187"/>
      <c r="F309" s="187"/>
      <c r="G309" s="187"/>
      <c r="H309" s="187"/>
      <c r="I309" s="187"/>
      <c r="J309" s="187"/>
    </row>
    <row r="310" customFormat="false" ht="14.25" hidden="false" customHeight="true" outlineLevel="0" collapsed="false">
      <c r="A310" s="25" t="s">
        <v>2317</v>
      </c>
      <c r="B310" s="25" t="s">
        <v>2264</v>
      </c>
      <c r="C310" s="25" t="s">
        <v>2318</v>
      </c>
      <c r="D310" s="192" t="s">
        <v>1886</v>
      </c>
      <c r="E310" s="192" t="s">
        <v>1570</v>
      </c>
      <c r="F310" s="196" t="s">
        <v>2319</v>
      </c>
      <c r="G310" s="25" t="s">
        <v>2320</v>
      </c>
      <c r="H310" s="25" t="s">
        <v>54</v>
      </c>
      <c r="I310" s="25" t="s">
        <v>2321</v>
      </c>
      <c r="J310" s="25" t="s">
        <v>2322</v>
      </c>
    </row>
    <row r="311" customFormat="false" ht="14.25" hidden="false" customHeight="true" outlineLevel="0" collapsed="false">
      <c r="A311" s="188" t="str">
        <f aca="false">IF(B311="","","MIS"&amp;TEXT(ROW()-310,"00000"))</f>
        <v/>
      </c>
      <c r="B311" s="189"/>
      <c r="C311" s="189"/>
      <c r="D311" s="189"/>
      <c r="E311" s="189"/>
      <c r="F311" s="190"/>
      <c r="G311" s="190"/>
      <c r="H311" s="189"/>
      <c r="I311" s="193"/>
      <c r="J311" s="189"/>
    </row>
    <row r="312" customFormat="false" ht="14.25" hidden="false" customHeight="true" outlineLevel="0" collapsed="false">
      <c r="A312" s="188" t="str">
        <f aca="false">IF(B312="","","CNG"&amp;TEXT(ROW()-277,"00000"))</f>
        <v/>
      </c>
      <c r="B312" s="189"/>
      <c r="C312" s="189"/>
      <c r="D312" s="190"/>
      <c r="E312" s="190"/>
      <c r="F312" s="197" t="str">
        <f aca="false">IF(OR(D312="",E312=""),"",E312-D312+1)</f>
        <v/>
      </c>
      <c r="G312" s="189"/>
      <c r="H312" s="189"/>
      <c r="I312" s="189"/>
    </row>
    <row r="313" customFormat="false" ht="14.25" hidden="false" customHeight="true" outlineLevel="0" collapsed="false">
      <c r="A313" s="188" t="str">
        <f aca="false">IF(B313="","","MIS"&amp;TEXT(ROW()-310,"00000"))</f>
        <v/>
      </c>
      <c r="B313" s="189"/>
      <c r="C313" s="189"/>
      <c r="D313" s="189"/>
      <c r="E313" s="189"/>
      <c r="F313" s="190"/>
      <c r="G313" s="190"/>
      <c r="H313" s="189"/>
      <c r="I313" s="193"/>
      <c r="J313" s="189"/>
    </row>
    <row r="314" customFormat="false" ht="14.25" hidden="false" customHeight="true" outlineLevel="0" collapsed="false">
      <c r="A314" s="188" t="str">
        <f aca="false">IF(B314="","","CNG"&amp;TEXT(ROW()-277,"00000"))</f>
        <v/>
      </c>
      <c r="B314" s="189"/>
      <c r="C314" s="189"/>
      <c r="D314" s="190"/>
      <c r="E314" s="190"/>
      <c r="F314" s="197" t="str">
        <f aca="false">IF(OR(D314="",E314=""),"",E314-D314+1)</f>
        <v/>
      </c>
      <c r="G314" s="189"/>
      <c r="H314" s="189"/>
      <c r="I314" s="189"/>
    </row>
    <row r="315" customFormat="false" ht="14.25" hidden="false" customHeight="true" outlineLevel="0" collapsed="false">
      <c r="A315" s="188" t="str">
        <f aca="false">IF(B315="","","MIS"&amp;TEXT(ROW()-310,"00000"))</f>
        <v/>
      </c>
      <c r="B315" s="189"/>
      <c r="C315" s="189"/>
      <c r="D315" s="189"/>
      <c r="E315" s="189"/>
      <c r="F315" s="190"/>
      <c r="G315" s="190"/>
      <c r="H315" s="189"/>
      <c r="I315" s="193"/>
      <c r="J315" s="189"/>
    </row>
    <row r="316" customFormat="false" ht="14.25" hidden="false" customHeight="true" outlineLevel="0" collapsed="false">
      <c r="A316" s="188" t="str">
        <f aca="false">IF(B316="","","CNG"&amp;TEXT(ROW()-277,"00000"))</f>
        <v/>
      </c>
      <c r="B316" s="189"/>
      <c r="C316" s="189"/>
      <c r="D316" s="190"/>
      <c r="E316" s="190"/>
      <c r="F316" s="197" t="str">
        <f aca="false">IF(OR(D316="",E316=""),"",E316-D316+1)</f>
        <v/>
      </c>
      <c r="G316" s="189"/>
      <c r="H316" s="189"/>
      <c r="I316" s="189"/>
    </row>
    <row r="317" customFormat="false" ht="14.25" hidden="false" customHeight="true" outlineLevel="0" collapsed="false">
      <c r="A317" s="188" t="str">
        <f aca="false">IF(B317="","","MIS"&amp;TEXT(ROW()-310,"00000"))</f>
        <v/>
      </c>
      <c r="B317" s="189"/>
      <c r="C317" s="189"/>
      <c r="D317" s="189"/>
      <c r="E317" s="189"/>
      <c r="F317" s="190"/>
      <c r="G317" s="190"/>
      <c r="H317" s="189"/>
      <c r="I317" s="193"/>
      <c r="J317" s="189"/>
    </row>
    <row r="318" customFormat="false" ht="14.25" hidden="false" customHeight="true" outlineLevel="0" collapsed="false">
      <c r="A318" s="188" t="str">
        <f aca="false">IF(B318="","","CNG"&amp;TEXT(ROW()-277,"00000"))</f>
        <v/>
      </c>
      <c r="B318" s="189"/>
      <c r="C318" s="189"/>
      <c r="D318" s="190"/>
      <c r="E318" s="190"/>
      <c r="F318" s="197" t="str">
        <f aca="false">IF(OR(D318="",E318=""),"",E318-D318+1)</f>
        <v/>
      </c>
      <c r="G318" s="189"/>
      <c r="H318" s="189"/>
      <c r="I318" s="189"/>
    </row>
    <row r="319" customFormat="false" ht="14.25" hidden="false" customHeight="true" outlineLevel="0" collapsed="false">
      <c r="A319" s="188" t="str">
        <f aca="false">IF(B319="","","MIS"&amp;TEXT(ROW()-310,"00000"))</f>
        <v/>
      </c>
      <c r="B319" s="189"/>
      <c r="C319" s="189"/>
      <c r="D319" s="189"/>
      <c r="E319" s="189"/>
      <c r="F319" s="190"/>
      <c r="G319" s="190"/>
      <c r="H319" s="189"/>
      <c r="I319" s="193"/>
      <c r="J319" s="189"/>
    </row>
    <row r="320" customFormat="false" ht="14.25" hidden="false" customHeight="true" outlineLevel="0" collapsed="false">
      <c r="A320" s="188" t="str">
        <f aca="false">IF(B320="","","CNG"&amp;TEXT(ROW()-277,"00000"))</f>
        <v/>
      </c>
      <c r="B320" s="189"/>
      <c r="C320" s="189"/>
      <c r="D320" s="190"/>
      <c r="E320" s="190"/>
      <c r="F320" s="197" t="str">
        <f aca="false">IF(OR(D320="",E320=""),"",E320-D320+1)</f>
        <v/>
      </c>
      <c r="G320" s="189"/>
      <c r="H320" s="189"/>
      <c r="I320" s="189"/>
    </row>
    <row r="321" customFormat="false" ht="14.25" hidden="false" customHeight="true" outlineLevel="0" collapsed="false">
      <c r="A321" s="188" t="str">
        <f aca="false">IF(B321="","","MIS"&amp;TEXT(ROW()-310,"00000"))</f>
        <v/>
      </c>
      <c r="B321" s="189"/>
      <c r="C321" s="189"/>
      <c r="D321" s="189"/>
      <c r="E321" s="189"/>
      <c r="F321" s="190"/>
      <c r="G321" s="190"/>
      <c r="H321" s="189"/>
      <c r="I321" s="193"/>
      <c r="J321" s="189"/>
    </row>
    <row r="322" customFormat="false" ht="14.25" hidden="false" customHeight="true" outlineLevel="0" collapsed="false">
      <c r="A322" s="188" t="str">
        <f aca="false">IF(B322="","","CNG"&amp;TEXT(ROW()-277,"00000"))</f>
        <v/>
      </c>
      <c r="B322" s="189"/>
      <c r="C322" s="189"/>
      <c r="D322" s="190"/>
      <c r="E322" s="190"/>
      <c r="F322" s="197" t="str">
        <f aca="false">IF(OR(D322="",E322=""),"",E322-D322+1)</f>
        <v/>
      </c>
      <c r="G322" s="189"/>
      <c r="H322" s="189"/>
      <c r="I322" s="189"/>
    </row>
    <row r="323" customFormat="false" ht="14.25" hidden="false" customHeight="true" outlineLevel="0" collapsed="false">
      <c r="A323" s="188" t="str">
        <f aca="false">IF(B323="","","MIS"&amp;TEXT(ROW()-310,"00000"))</f>
        <v/>
      </c>
      <c r="B323" s="189"/>
      <c r="C323" s="189"/>
      <c r="D323" s="189"/>
      <c r="E323" s="189"/>
      <c r="F323" s="190"/>
      <c r="G323" s="190"/>
      <c r="H323" s="189"/>
      <c r="I323" s="193"/>
      <c r="J323" s="189"/>
    </row>
    <row r="324" customFormat="false" ht="14.25" hidden="false" customHeight="true" outlineLevel="0" collapsed="false">
      <c r="A324" s="188" t="str">
        <f aca="false">IF(B324="","","CNG"&amp;TEXT(ROW()-277,"00000"))</f>
        <v/>
      </c>
      <c r="B324" s="189"/>
      <c r="C324" s="189"/>
      <c r="D324" s="190"/>
      <c r="E324" s="190"/>
      <c r="F324" s="197" t="str">
        <f aca="false">IF(OR(D324="",E324=""),"",E324-D324+1)</f>
        <v/>
      </c>
      <c r="G324" s="189"/>
      <c r="H324" s="189"/>
      <c r="I324" s="189"/>
    </row>
    <row r="325" customFormat="false" ht="14.25" hidden="false" customHeight="true" outlineLevel="0" collapsed="false">
      <c r="A325" s="188" t="str">
        <f aca="false">IF(B325="","","MIS"&amp;TEXT(ROW()-310,"00000"))</f>
        <v/>
      </c>
      <c r="B325" s="189"/>
      <c r="C325" s="189"/>
      <c r="D325" s="189"/>
      <c r="E325" s="189"/>
      <c r="F325" s="190"/>
      <c r="G325" s="190"/>
      <c r="H325" s="189"/>
      <c r="I325" s="193"/>
      <c r="J325" s="189"/>
    </row>
    <row r="326" customFormat="false" ht="14.25" hidden="false" customHeight="true" outlineLevel="0" collapsed="false">
      <c r="A326" s="188" t="str">
        <f aca="false">IF(B326="","","CNG"&amp;TEXT(ROW()-277,"00000"))</f>
        <v/>
      </c>
      <c r="B326" s="189"/>
      <c r="C326" s="189"/>
      <c r="D326" s="190"/>
      <c r="E326" s="190"/>
      <c r="F326" s="197" t="str">
        <f aca="false">IF(OR(D326="",E326=""),"",E326-D326+1)</f>
        <v/>
      </c>
      <c r="G326" s="189"/>
      <c r="H326" s="189"/>
      <c r="I326" s="189"/>
    </row>
    <row r="327" customFormat="false" ht="14.25" hidden="false" customHeight="true" outlineLevel="0" collapsed="false">
      <c r="A327" s="188" t="str">
        <f aca="false">IF(B327="","","MIS"&amp;TEXT(ROW()-310,"00000"))</f>
        <v/>
      </c>
      <c r="B327" s="189"/>
      <c r="C327" s="189"/>
      <c r="D327" s="189"/>
      <c r="E327" s="189"/>
      <c r="F327" s="190"/>
      <c r="G327" s="190"/>
      <c r="H327" s="189"/>
      <c r="I327" s="193"/>
      <c r="J327" s="189"/>
    </row>
    <row r="328" customFormat="false" ht="14.25" hidden="false" customHeight="true" outlineLevel="0" collapsed="false">
      <c r="A328" s="188" t="str">
        <f aca="false">IF(B328="","","CNG"&amp;TEXT(ROW()-277,"00000"))</f>
        <v/>
      </c>
      <c r="B328" s="189"/>
      <c r="C328" s="189"/>
      <c r="D328" s="190"/>
      <c r="E328" s="190"/>
      <c r="F328" s="197" t="str">
        <f aca="false">IF(OR(D328="",E328=""),"",E328-D328+1)</f>
        <v/>
      </c>
      <c r="G328" s="189"/>
      <c r="H328" s="189"/>
      <c r="I328" s="189"/>
    </row>
    <row r="329" customFormat="false" ht="14.25" hidden="false" customHeight="true" outlineLevel="0" collapsed="false">
      <c r="A329" s="188" t="str">
        <f aca="false">IF(B329="","","MIS"&amp;TEXT(ROW()-310,"00000"))</f>
        <v/>
      </c>
      <c r="B329" s="189"/>
      <c r="C329" s="189"/>
      <c r="D329" s="189"/>
      <c r="E329" s="189"/>
      <c r="F329" s="190"/>
      <c r="G329" s="190"/>
      <c r="H329" s="189"/>
      <c r="I329" s="193"/>
      <c r="J329" s="189"/>
    </row>
    <row r="330" customFormat="false" ht="14.25" hidden="false" customHeight="true" outlineLevel="0" collapsed="false">
      <c r="A330" s="188" t="str">
        <f aca="false">IF(B330="","","CNG"&amp;TEXT(ROW()-277,"00000"))</f>
        <v/>
      </c>
      <c r="B330" s="189"/>
      <c r="C330" s="189"/>
      <c r="D330" s="190"/>
      <c r="E330" s="190"/>
      <c r="F330" s="197" t="str">
        <f aca="false">IF(OR(D330="",E330=""),"",E330-D330+1)</f>
        <v/>
      </c>
      <c r="G330" s="189"/>
      <c r="H330" s="189"/>
      <c r="I330" s="189"/>
    </row>
    <row r="331" customFormat="false" ht="14.25" hidden="false" customHeight="true" outlineLevel="0" collapsed="false">
      <c r="A331" s="188" t="str">
        <f aca="false">IF(B331="","","MIS"&amp;TEXT(ROW()-310,"00000"))</f>
        <v/>
      </c>
      <c r="B331" s="189"/>
      <c r="C331" s="189"/>
      <c r="D331" s="189"/>
      <c r="E331" s="189"/>
      <c r="F331" s="190"/>
      <c r="G331" s="190"/>
      <c r="H331" s="189"/>
      <c r="I331" s="193"/>
      <c r="J331" s="189"/>
    </row>
    <row r="332" customFormat="false" ht="14.25" hidden="false" customHeight="true" outlineLevel="0" collapsed="false">
      <c r="A332" s="188" t="str">
        <f aca="false">IF(B332="","","CNG"&amp;TEXT(ROW()-277,"00000"))</f>
        <v/>
      </c>
      <c r="B332" s="189"/>
      <c r="C332" s="189"/>
      <c r="D332" s="190"/>
      <c r="E332" s="190"/>
      <c r="F332" s="197" t="str">
        <f aca="false">IF(OR(D332="",E332=""),"",E332-D332+1)</f>
        <v/>
      </c>
      <c r="G332" s="189"/>
      <c r="H332" s="189"/>
      <c r="I332" s="189"/>
    </row>
    <row r="333" customFormat="false" ht="14.25" hidden="false" customHeight="true" outlineLevel="0" collapsed="false">
      <c r="A333" s="188" t="str">
        <f aca="false">IF(B333="","","MIS"&amp;TEXT(ROW()-310,"00000"))</f>
        <v/>
      </c>
      <c r="B333" s="189"/>
      <c r="C333" s="189"/>
      <c r="D333" s="189"/>
      <c r="E333" s="189"/>
      <c r="F333" s="190"/>
      <c r="G333" s="190"/>
      <c r="H333" s="189"/>
      <c r="I333" s="193"/>
      <c r="J333" s="189"/>
    </row>
    <row r="334" customFormat="false" ht="14.25" hidden="false" customHeight="true" outlineLevel="0" collapsed="false">
      <c r="A334" s="188" t="str">
        <f aca="false">IF(B334="","","CNG"&amp;TEXT(ROW()-277,"00000"))</f>
        <v/>
      </c>
      <c r="B334" s="189"/>
      <c r="C334" s="189"/>
      <c r="D334" s="190"/>
      <c r="E334" s="190"/>
      <c r="F334" s="197" t="str">
        <f aca="false">IF(OR(D334="",E334=""),"",E334-D334+1)</f>
        <v/>
      </c>
      <c r="G334" s="189"/>
      <c r="H334" s="189"/>
      <c r="I334" s="189"/>
    </row>
    <row r="335" customFormat="false" ht="14.25" hidden="false" customHeight="true" outlineLevel="0" collapsed="false">
      <c r="A335" s="188" t="str">
        <f aca="false">IF(B335="","","MIS"&amp;TEXT(ROW()-310,"00000"))</f>
        <v/>
      </c>
      <c r="B335" s="189"/>
      <c r="C335" s="189"/>
      <c r="D335" s="189"/>
      <c r="E335" s="189"/>
      <c r="F335" s="190"/>
      <c r="G335" s="190"/>
      <c r="H335" s="189"/>
      <c r="I335" s="193"/>
      <c r="J335" s="189"/>
    </row>
    <row r="336" customFormat="false" ht="14.25" hidden="false" customHeight="true" outlineLevel="0" collapsed="false">
      <c r="A336" s="188" t="str">
        <f aca="false">IF(B336="","","CNG"&amp;TEXT(ROW()-277,"00000"))</f>
        <v/>
      </c>
      <c r="B336" s="189"/>
      <c r="C336" s="189"/>
      <c r="D336" s="190"/>
      <c r="E336" s="190"/>
      <c r="F336" s="197" t="str">
        <f aca="false">IF(OR(D336="",E336=""),"",E336-D336+1)</f>
        <v/>
      </c>
      <c r="G336" s="189"/>
      <c r="H336" s="189"/>
      <c r="I336" s="189"/>
    </row>
    <row r="337" customFormat="false" ht="14.25" hidden="false" customHeight="true" outlineLevel="0" collapsed="false">
      <c r="A337" s="188" t="str">
        <f aca="false">IF(B337="","","MIS"&amp;TEXT(ROW()-310,"00000"))</f>
        <v/>
      </c>
      <c r="B337" s="189"/>
      <c r="C337" s="189"/>
      <c r="D337" s="189"/>
      <c r="E337" s="189"/>
      <c r="F337" s="190"/>
      <c r="G337" s="190"/>
      <c r="H337" s="189"/>
      <c r="I337" s="193"/>
      <c r="J337" s="189"/>
    </row>
    <row r="339" customFormat="false" ht="14.25" hidden="false" customHeight="true" outlineLevel="0" collapsed="false">
      <c r="A339" s="188" t="str">
        <f aca="false">IF(B339="","","MIS"&amp;TEXT(ROW()-310,"00000"))</f>
        <v/>
      </c>
      <c r="B339" s="189"/>
      <c r="C339" s="189"/>
      <c r="D339" s="189"/>
      <c r="E339" s="189"/>
      <c r="F339" s="190"/>
      <c r="G339" s="190"/>
      <c r="H339" s="189"/>
      <c r="I339" s="193"/>
      <c r="J339" s="189"/>
    </row>
    <row r="341" customFormat="false" ht="14.25" hidden="false" customHeight="true" outlineLevel="0" collapsed="false">
      <c r="A341" s="188" t="str">
        <f aca="false">IF(B341="","","MIS"&amp;TEXT(ROW()-310,"00000"))</f>
        <v/>
      </c>
      <c r="B341" s="189"/>
      <c r="C341" s="189"/>
      <c r="D341" s="189"/>
      <c r="E341" s="189"/>
      <c r="F341" s="190"/>
      <c r="G341" s="190"/>
      <c r="H341" s="189"/>
      <c r="I341" s="193"/>
      <c r="J341" s="189"/>
    </row>
    <row r="342" customFormat="false" ht="15" hidden="false" customHeight="true" outlineLevel="0" collapsed="false">
      <c r="A342" s="187" t="s">
        <v>2323</v>
      </c>
      <c r="B342" s="187"/>
      <c r="C342" s="187"/>
      <c r="D342" s="187"/>
      <c r="E342" s="187"/>
      <c r="F342" s="187"/>
      <c r="G342" s="187"/>
      <c r="H342" s="187"/>
    </row>
    <row r="343" customFormat="false" ht="14.25" hidden="false" customHeight="true" outlineLevel="0" collapsed="false">
      <c r="A343" s="25" t="s">
        <v>2290</v>
      </c>
      <c r="B343" s="25" t="s">
        <v>2264</v>
      </c>
      <c r="C343" s="25" t="s">
        <v>86</v>
      </c>
      <c r="D343" s="25" t="s">
        <v>2031</v>
      </c>
      <c r="E343" s="25" t="s">
        <v>2227</v>
      </c>
      <c r="F343" s="192" t="s">
        <v>2226</v>
      </c>
      <c r="G343" s="192" t="s">
        <v>54</v>
      </c>
      <c r="H343" s="25" t="s">
        <v>1356</v>
      </c>
      <c r="I343" s="193"/>
      <c r="J343" s="189"/>
    </row>
    <row r="344" customFormat="false" ht="14.25" hidden="false" customHeight="true" outlineLevel="0" collapsed="false">
      <c r="A344" s="188" t="str">
        <f aca="false">IF(B344="","","PAI"&amp;TEXT(ROW()-343,"00000"))</f>
        <v/>
      </c>
      <c r="B344" s="189"/>
      <c r="C344" s="189"/>
      <c r="D344" s="193"/>
      <c r="E344" s="193"/>
      <c r="F344" s="190"/>
      <c r="G344" s="189"/>
      <c r="H344" s="189"/>
    </row>
    <row r="345" customFormat="false" ht="14.25" hidden="false" customHeight="true" outlineLevel="0" collapsed="false">
      <c r="A345" s="188" t="str">
        <f aca="false">IF(B345="","","MIS"&amp;TEXT(ROW()-310,"00000"))</f>
        <v/>
      </c>
      <c r="B345" s="189"/>
      <c r="C345" s="189"/>
      <c r="D345" s="189"/>
      <c r="E345" s="189"/>
      <c r="F345" s="190"/>
      <c r="G345" s="190"/>
      <c r="H345" s="189"/>
      <c r="I345" s="193"/>
      <c r="J345" s="189"/>
    </row>
    <row r="346" customFormat="false" ht="14.25" hidden="false" customHeight="true" outlineLevel="0" collapsed="false">
      <c r="A346" s="188" t="str">
        <f aca="false">IF(B346="","","PAI"&amp;TEXT(ROW()-343,"00000"))</f>
        <v/>
      </c>
      <c r="B346" s="189"/>
      <c r="C346" s="189"/>
      <c r="D346" s="193"/>
      <c r="E346" s="193"/>
      <c r="F346" s="190"/>
      <c r="G346" s="189"/>
      <c r="H346" s="189"/>
    </row>
    <row r="347" customFormat="false" ht="14.25" hidden="false" customHeight="true" outlineLevel="0" collapsed="false">
      <c r="A347" s="188" t="str">
        <f aca="false">IF(B347="","","MIS"&amp;TEXT(ROW()-310,"00000"))</f>
        <v/>
      </c>
      <c r="B347" s="189"/>
      <c r="C347" s="189"/>
      <c r="D347" s="189"/>
      <c r="E347" s="189"/>
      <c r="F347" s="190"/>
      <c r="G347" s="190"/>
      <c r="H347" s="189"/>
      <c r="I347" s="193"/>
      <c r="J347" s="189"/>
    </row>
    <row r="348" customFormat="false" ht="14.25" hidden="false" customHeight="true" outlineLevel="0" collapsed="false">
      <c r="A348" s="188" t="str">
        <f aca="false">IF(B348="","","PAI"&amp;TEXT(ROW()-343,"00000"))</f>
        <v/>
      </c>
      <c r="B348" s="189"/>
      <c r="C348" s="189"/>
      <c r="D348" s="193"/>
      <c r="E348" s="193"/>
      <c r="F348" s="190"/>
      <c r="G348" s="189"/>
      <c r="H348" s="189"/>
    </row>
    <row r="349" customFormat="false" ht="14.25" hidden="false" customHeight="true" outlineLevel="0" collapsed="false">
      <c r="A349" s="188" t="str">
        <f aca="false">IF(B349="","","MIS"&amp;TEXT(ROW()-310,"00000"))</f>
        <v/>
      </c>
      <c r="B349" s="189"/>
      <c r="C349" s="189"/>
      <c r="D349" s="189"/>
      <c r="E349" s="189"/>
      <c r="F349" s="190"/>
      <c r="G349" s="190"/>
      <c r="H349" s="189"/>
      <c r="I349" s="193"/>
      <c r="J349" s="189"/>
    </row>
    <row r="350" customFormat="false" ht="14.25" hidden="false" customHeight="true" outlineLevel="0" collapsed="false">
      <c r="A350" s="188" t="str">
        <f aca="false">IF(B350="","","PAI"&amp;TEXT(ROW()-343,"00000"))</f>
        <v/>
      </c>
      <c r="B350" s="189"/>
      <c r="C350" s="189"/>
      <c r="D350" s="193"/>
      <c r="E350" s="193"/>
      <c r="F350" s="190"/>
      <c r="G350" s="189"/>
      <c r="H350" s="189"/>
    </row>
    <row r="351" customFormat="false" ht="14.25" hidden="false" customHeight="true" outlineLevel="0" collapsed="false">
      <c r="A351" s="188" t="str">
        <f aca="false">IF(B351="","","MIS"&amp;TEXT(ROW()-310,"00000"))</f>
        <v/>
      </c>
      <c r="B351" s="189"/>
      <c r="C351" s="189"/>
      <c r="D351" s="189"/>
      <c r="E351" s="189"/>
      <c r="F351" s="190"/>
      <c r="G351" s="190"/>
      <c r="H351" s="189"/>
      <c r="I351" s="193"/>
      <c r="J351" s="189"/>
    </row>
    <row r="352" customFormat="false" ht="14.25" hidden="false" customHeight="true" outlineLevel="0" collapsed="false">
      <c r="A352" s="188" t="str">
        <f aca="false">IF(B352="","","PAI"&amp;TEXT(ROW()-343,"00000"))</f>
        <v/>
      </c>
      <c r="B352" s="189"/>
      <c r="C352" s="189"/>
      <c r="D352" s="193"/>
      <c r="E352" s="193"/>
      <c r="F352" s="190"/>
      <c r="G352" s="189"/>
      <c r="H352" s="189"/>
    </row>
    <row r="353" customFormat="false" ht="14.25" hidden="false" customHeight="true" outlineLevel="0" collapsed="false">
      <c r="A353" s="188" t="str">
        <f aca="false">IF(B353="","","MIS"&amp;TEXT(ROW()-310,"00000"))</f>
        <v/>
      </c>
      <c r="B353" s="189"/>
      <c r="C353" s="189"/>
      <c r="D353" s="189"/>
      <c r="E353" s="189"/>
      <c r="F353" s="190"/>
      <c r="G353" s="190"/>
      <c r="H353" s="189"/>
      <c r="I353" s="193"/>
      <c r="J353" s="189"/>
    </row>
    <row r="354" customFormat="false" ht="14.25" hidden="false" customHeight="true" outlineLevel="0" collapsed="false">
      <c r="A354" s="188" t="str">
        <f aca="false">IF(B354="","","PAI"&amp;TEXT(ROW()-343,"00000"))</f>
        <v/>
      </c>
      <c r="B354" s="189"/>
      <c r="C354" s="189"/>
      <c r="D354" s="193"/>
      <c r="E354" s="193"/>
      <c r="F354" s="190"/>
      <c r="G354" s="189"/>
      <c r="H354" s="189"/>
    </row>
    <row r="355" customFormat="false" ht="14.25" hidden="false" customHeight="true" outlineLevel="0" collapsed="false">
      <c r="A355" s="188" t="str">
        <f aca="false">IF(B355="","","MIS"&amp;TEXT(ROW()-310,"00000"))</f>
        <v/>
      </c>
      <c r="B355" s="189"/>
      <c r="C355" s="189"/>
      <c r="D355" s="189"/>
      <c r="E355" s="189"/>
      <c r="F355" s="190"/>
      <c r="G355" s="190"/>
      <c r="H355" s="189"/>
      <c r="I355" s="193"/>
      <c r="J355" s="189"/>
    </row>
    <row r="356" customFormat="false" ht="14.25" hidden="false" customHeight="true" outlineLevel="0" collapsed="false">
      <c r="A356" s="188" t="str">
        <f aca="false">IF(B356="","","PAI"&amp;TEXT(ROW()-343,"00000"))</f>
        <v/>
      </c>
      <c r="B356" s="189"/>
      <c r="C356" s="189"/>
      <c r="D356" s="193"/>
      <c r="E356" s="193"/>
      <c r="F356" s="190"/>
      <c r="G356" s="189"/>
      <c r="H356" s="189"/>
    </row>
    <row r="357" customFormat="false" ht="14.25" hidden="false" customHeight="true" outlineLevel="0" collapsed="false">
      <c r="A357" s="188" t="str">
        <f aca="false">IF(B357="","","MIS"&amp;TEXT(ROW()-310,"00000"))</f>
        <v/>
      </c>
      <c r="B357" s="189"/>
      <c r="C357" s="189"/>
      <c r="D357" s="189"/>
      <c r="E357" s="189"/>
      <c r="F357" s="190"/>
      <c r="G357" s="190"/>
      <c r="H357" s="189"/>
      <c r="I357" s="193"/>
      <c r="J357" s="189"/>
    </row>
    <row r="358" customFormat="false" ht="14.25" hidden="false" customHeight="true" outlineLevel="0" collapsed="false">
      <c r="A358" s="188" t="str">
        <f aca="false">IF(B358="","","PAI"&amp;TEXT(ROW()-343,"00000"))</f>
        <v/>
      </c>
      <c r="B358" s="189"/>
      <c r="C358" s="189"/>
      <c r="D358" s="193"/>
      <c r="E358" s="193"/>
      <c r="F358" s="190"/>
      <c r="G358" s="189"/>
      <c r="H358" s="189"/>
    </row>
    <row r="359" customFormat="false" ht="14.25" hidden="false" customHeight="true" outlineLevel="0" collapsed="false">
      <c r="A359" s="188" t="str">
        <f aca="false">IF(B359="","","MIS"&amp;TEXT(ROW()-310,"00000"))</f>
        <v/>
      </c>
      <c r="B359" s="189"/>
      <c r="C359" s="189"/>
      <c r="D359" s="189"/>
      <c r="E359" s="189"/>
      <c r="F359" s="190"/>
      <c r="G359" s="190"/>
      <c r="H359" s="189"/>
      <c r="I359" s="193"/>
      <c r="J359" s="189"/>
    </row>
    <row r="360" customFormat="false" ht="14.25" hidden="false" customHeight="true" outlineLevel="0" collapsed="false">
      <c r="A360" s="188" t="str">
        <f aca="false">IF(B360="","","PAI"&amp;TEXT(ROW()-343,"00000"))</f>
        <v/>
      </c>
      <c r="B360" s="189"/>
      <c r="C360" s="189"/>
      <c r="D360" s="193"/>
      <c r="E360" s="193"/>
      <c r="F360" s="190"/>
      <c r="G360" s="189"/>
      <c r="H360" s="189"/>
    </row>
    <row r="361" customFormat="false" ht="14.25" hidden="false" customHeight="true" outlineLevel="0" collapsed="false">
      <c r="A361" s="188" t="str">
        <f aca="false">IF(B361="","","MIS"&amp;TEXT(ROW()-310,"00000"))</f>
        <v/>
      </c>
      <c r="B361" s="189"/>
      <c r="C361" s="189"/>
      <c r="D361" s="189"/>
      <c r="E361" s="189"/>
      <c r="F361" s="190"/>
      <c r="G361" s="190"/>
      <c r="H361" s="189"/>
      <c r="I361" s="193"/>
      <c r="J361" s="189"/>
    </row>
    <row r="362" customFormat="false" ht="14.25" hidden="false" customHeight="true" outlineLevel="0" collapsed="false">
      <c r="A362" s="188" t="str">
        <f aca="false">IF(B362="","","PAI"&amp;TEXT(ROW()-343,"00000"))</f>
        <v/>
      </c>
      <c r="B362" s="189"/>
      <c r="C362" s="189"/>
      <c r="D362" s="193"/>
      <c r="E362" s="193"/>
      <c r="F362" s="190"/>
      <c r="G362" s="189"/>
      <c r="H362" s="189"/>
    </row>
    <row r="363" customFormat="false" ht="14.25" hidden="false" customHeight="true" outlineLevel="0" collapsed="false">
      <c r="A363" s="188" t="str">
        <f aca="false">IF(B363="","","MIS"&amp;TEXT(ROW()-310,"00000"))</f>
        <v/>
      </c>
      <c r="B363" s="189"/>
      <c r="C363" s="189"/>
      <c r="D363" s="189"/>
      <c r="E363" s="189"/>
      <c r="F363" s="190"/>
      <c r="G363" s="190"/>
      <c r="H363" s="189"/>
      <c r="I363" s="193"/>
      <c r="J363" s="189"/>
    </row>
    <row r="364" customFormat="false" ht="14.25" hidden="false" customHeight="true" outlineLevel="0" collapsed="false">
      <c r="A364" s="188" t="str">
        <f aca="false">IF(B364="","","PAI"&amp;TEXT(ROW()-343,"00000"))</f>
        <v/>
      </c>
      <c r="B364" s="189"/>
      <c r="C364" s="189"/>
      <c r="D364" s="193"/>
      <c r="E364" s="193"/>
      <c r="F364" s="190"/>
      <c r="G364" s="189"/>
      <c r="H364" s="189"/>
    </row>
    <row r="365" customFormat="false" ht="14.25" hidden="false" customHeight="true" outlineLevel="0" collapsed="false">
      <c r="A365" s="188" t="str">
        <f aca="false">IF(B365="","","MIS"&amp;TEXT(ROW()-310,"00000"))</f>
        <v/>
      </c>
      <c r="B365" s="189"/>
      <c r="C365" s="189"/>
      <c r="D365" s="189"/>
      <c r="E365" s="189"/>
      <c r="F365" s="190"/>
      <c r="G365" s="190"/>
      <c r="H365" s="189"/>
      <c r="I365" s="193"/>
      <c r="J365" s="189"/>
    </row>
    <row r="366" customFormat="false" ht="14.25" hidden="false" customHeight="true" outlineLevel="0" collapsed="false">
      <c r="A366" s="188" t="str">
        <f aca="false">IF(B366="","","PAI"&amp;TEXT(ROW()-343,"00000"))</f>
        <v/>
      </c>
      <c r="B366" s="189"/>
      <c r="C366" s="189"/>
      <c r="D366" s="193"/>
      <c r="E366" s="193"/>
      <c r="F366" s="190"/>
      <c r="G366" s="189"/>
      <c r="H366" s="189"/>
    </row>
    <row r="367" customFormat="false" ht="14.25" hidden="false" customHeight="true" outlineLevel="0" collapsed="false">
      <c r="A367" s="188" t="str">
        <f aca="false">IF(B367="","","MIS"&amp;TEXT(ROW()-310,"00000"))</f>
        <v/>
      </c>
      <c r="B367" s="189"/>
      <c r="C367" s="189"/>
      <c r="D367" s="189"/>
      <c r="E367" s="189"/>
      <c r="F367" s="190"/>
      <c r="G367" s="190"/>
      <c r="H367" s="189"/>
      <c r="I367" s="193"/>
      <c r="J367" s="189"/>
    </row>
    <row r="368" customFormat="false" ht="14.25" hidden="false" customHeight="true" outlineLevel="0" collapsed="false">
      <c r="A368" s="188" t="str">
        <f aca="false">IF(B368="","","PAI"&amp;TEXT(ROW()-343,"00000"))</f>
        <v/>
      </c>
      <c r="B368" s="189"/>
      <c r="C368" s="189"/>
      <c r="D368" s="193"/>
      <c r="E368" s="193"/>
      <c r="F368" s="190"/>
      <c r="G368" s="189"/>
      <c r="H368" s="189"/>
    </row>
    <row r="369" customFormat="false" ht="14.25" hidden="false" customHeight="true" outlineLevel="0" collapsed="false">
      <c r="A369" s="188" t="str">
        <f aca="false">IF(B369="","","MIS"&amp;TEXT(ROW()-310,"00000"))</f>
        <v/>
      </c>
      <c r="B369" s="189"/>
      <c r="C369" s="189"/>
      <c r="D369" s="189"/>
      <c r="E369" s="189"/>
      <c r="F369" s="190"/>
      <c r="G369" s="190"/>
      <c r="H369" s="189"/>
      <c r="I369" s="193"/>
      <c r="J369" s="189"/>
    </row>
    <row r="370" customFormat="false" ht="14.25" hidden="false" customHeight="true" outlineLevel="0" collapsed="false">
      <c r="A370" s="188" t="str">
        <f aca="false">IF(B370="","","PAI"&amp;TEXT(ROW()-343,"00000"))</f>
        <v/>
      </c>
      <c r="B370" s="189"/>
      <c r="C370" s="189"/>
      <c r="D370" s="193"/>
      <c r="E370" s="193"/>
      <c r="F370" s="190"/>
      <c r="G370" s="189"/>
      <c r="H370" s="189"/>
    </row>
    <row r="372" customFormat="false" ht="14.25" hidden="false" customHeight="true" outlineLevel="0" collapsed="false">
      <c r="A372" s="188" t="str">
        <f aca="false">IF(B372="","","PAI"&amp;TEXT(ROW()-343,"00000"))</f>
        <v/>
      </c>
      <c r="B372" s="189"/>
      <c r="C372" s="189"/>
      <c r="D372" s="193"/>
      <c r="E372" s="193"/>
      <c r="F372" s="190"/>
      <c r="G372" s="189"/>
      <c r="H372" s="189"/>
    </row>
    <row r="374" customFormat="false" ht="14.25" hidden="false" customHeight="true" outlineLevel="0" collapsed="false">
      <c r="A374" s="188" t="str">
        <f aca="false">IF(B374="","","PAI"&amp;TEXT(ROW()-343,"00000"))</f>
        <v/>
      </c>
      <c r="B374" s="189"/>
      <c r="C374" s="189"/>
      <c r="D374" s="193"/>
      <c r="E374" s="193"/>
      <c r="F374" s="190"/>
      <c r="G374" s="189"/>
      <c r="H374" s="189"/>
    </row>
    <row r="375" customFormat="false" ht="15" hidden="false" customHeight="true" outlineLevel="0" collapsed="false">
      <c r="A375" s="187" t="s">
        <v>2324</v>
      </c>
      <c r="B375" s="187"/>
      <c r="C375" s="187"/>
      <c r="D375" s="187"/>
      <c r="E375" s="187"/>
    </row>
    <row r="376" customFormat="false" ht="14.25" hidden="false" customHeight="true" outlineLevel="0" collapsed="false">
      <c r="A376" s="25" t="s">
        <v>2290</v>
      </c>
      <c r="B376" s="25" t="s">
        <v>2264</v>
      </c>
      <c r="C376" s="25" t="s">
        <v>1357</v>
      </c>
      <c r="D376" s="194" t="s">
        <v>54</v>
      </c>
      <c r="E376" s="194" t="s">
        <v>1432</v>
      </c>
      <c r="F376" s="190"/>
      <c r="G376" s="189"/>
      <c r="H376" s="189"/>
    </row>
    <row r="377" customFormat="false" ht="14.25" hidden="false" customHeight="true" outlineLevel="0" collapsed="false">
      <c r="A377" s="188" t="str">
        <f aca="false">IF(B377="","","PRE"&amp;TEXT(ROW()-376,"00000"))</f>
        <v/>
      </c>
      <c r="B377" s="189"/>
      <c r="C377" s="190"/>
      <c r="D377" s="189"/>
      <c r="E377" s="189"/>
    </row>
    <row r="378" customFormat="false" ht="14.25" hidden="false" customHeight="true" outlineLevel="0" collapsed="false">
      <c r="A378" s="188" t="str">
        <f aca="false">IF(B378="","","PAI"&amp;TEXT(ROW()-343,"00000"))</f>
        <v/>
      </c>
      <c r="B378" s="189"/>
      <c r="C378" s="189"/>
      <c r="D378" s="193"/>
      <c r="E378" s="193"/>
      <c r="F378" s="190"/>
      <c r="G378" s="189"/>
      <c r="H378" s="189"/>
    </row>
    <row r="379" customFormat="false" ht="14.25" hidden="false" customHeight="true" outlineLevel="0" collapsed="false">
      <c r="A379" s="188" t="str">
        <f aca="false">IF(B379="","","PRE"&amp;TEXT(ROW()-376,"00000"))</f>
        <v/>
      </c>
      <c r="B379" s="189"/>
      <c r="C379" s="190"/>
      <c r="D379" s="189"/>
      <c r="E379" s="189"/>
    </row>
    <row r="380" customFormat="false" ht="14.25" hidden="false" customHeight="true" outlineLevel="0" collapsed="false">
      <c r="A380" s="188" t="str">
        <f aca="false">IF(B380="","","PAI"&amp;TEXT(ROW()-343,"00000"))</f>
        <v/>
      </c>
      <c r="B380" s="189"/>
      <c r="C380" s="189"/>
      <c r="D380" s="193"/>
      <c r="E380" s="193"/>
      <c r="F380" s="190"/>
      <c r="G380" s="189"/>
      <c r="H380" s="189"/>
    </row>
    <row r="381" customFormat="false" ht="14.25" hidden="false" customHeight="true" outlineLevel="0" collapsed="false">
      <c r="A381" s="188" t="str">
        <f aca="false">IF(B381="","","PRE"&amp;TEXT(ROW()-376,"00000"))</f>
        <v/>
      </c>
      <c r="B381" s="189"/>
      <c r="C381" s="190"/>
      <c r="D381" s="189"/>
      <c r="E381" s="189"/>
    </row>
    <row r="382" customFormat="false" ht="14.25" hidden="false" customHeight="true" outlineLevel="0" collapsed="false">
      <c r="A382" s="188" t="str">
        <f aca="false">IF(B382="","","PAI"&amp;TEXT(ROW()-343,"00000"))</f>
        <v/>
      </c>
      <c r="B382" s="189"/>
      <c r="C382" s="189"/>
      <c r="D382" s="193"/>
      <c r="E382" s="193"/>
      <c r="F382" s="190"/>
      <c r="G382" s="189"/>
      <c r="H382" s="189"/>
    </row>
    <row r="383" customFormat="false" ht="14.25" hidden="false" customHeight="true" outlineLevel="0" collapsed="false">
      <c r="A383" s="188" t="str">
        <f aca="false">IF(B383="","","PRE"&amp;TEXT(ROW()-376,"00000"))</f>
        <v/>
      </c>
      <c r="B383" s="189"/>
      <c r="C383" s="190"/>
      <c r="D383" s="189"/>
      <c r="E383" s="189"/>
    </row>
    <row r="384" customFormat="false" ht="14.25" hidden="false" customHeight="true" outlineLevel="0" collapsed="false">
      <c r="A384" s="188" t="str">
        <f aca="false">IF(B384="","","PAI"&amp;TEXT(ROW()-343,"00000"))</f>
        <v/>
      </c>
      <c r="B384" s="189"/>
      <c r="C384" s="189"/>
      <c r="D384" s="193"/>
      <c r="E384" s="193"/>
      <c r="F384" s="190"/>
      <c r="G384" s="189"/>
      <c r="H384" s="189"/>
    </row>
    <row r="385" customFormat="false" ht="14.25" hidden="false" customHeight="true" outlineLevel="0" collapsed="false">
      <c r="A385" s="188" t="str">
        <f aca="false">IF(B385="","","PRE"&amp;TEXT(ROW()-376,"00000"))</f>
        <v/>
      </c>
      <c r="B385" s="189"/>
      <c r="C385" s="190"/>
      <c r="D385" s="189"/>
      <c r="E385" s="189"/>
    </row>
    <row r="386" customFormat="false" ht="14.25" hidden="false" customHeight="true" outlineLevel="0" collapsed="false">
      <c r="A386" s="188" t="str">
        <f aca="false">IF(B386="","","PAI"&amp;TEXT(ROW()-343,"00000"))</f>
        <v/>
      </c>
      <c r="B386" s="189"/>
      <c r="C386" s="189"/>
      <c r="D386" s="193"/>
      <c r="E386" s="193"/>
      <c r="F386" s="190"/>
      <c r="G386" s="189"/>
      <c r="H386" s="189"/>
    </row>
    <row r="387" customFormat="false" ht="14.25" hidden="false" customHeight="true" outlineLevel="0" collapsed="false">
      <c r="A387" s="188" t="str">
        <f aca="false">IF(B387="","","PRE"&amp;TEXT(ROW()-376,"00000"))</f>
        <v/>
      </c>
      <c r="B387" s="189"/>
      <c r="C387" s="190"/>
      <c r="D387" s="189"/>
      <c r="E387" s="189"/>
    </row>
    <row r="388" customFormat="false" ht="14.25" hidden="false" customHeight="true" outlineLevel="0" collapsed="false">
      <c r="A388" s="188" t="str">
        <f aca="false">IF(B388="","","PAI"&amp;TEXT(ROW()-343,"00000"))</f>
        <v/>
      </c>
      <c r="B388" s="189"/>
      <c r="C388" s="189"/>
      <c r="D388" s="193"/>
      <c r="E388" s="193"/>
      <c r="F388" s="190"/>
      <c r="G388" s="189"/>
      <c r="H388" s="189"/>
    </row>
    <row r="389" customFormat="false" ht="14.25" hidden="false" customHeight="true" outlineLevel="0" collapsed="false">
      <c r="A389" s="188" t="str">
        <f aca="false">IF(B389="","","PRE"&amp;TEXT(ROW()-376,"00000"))</f>
        <v/>
      </c>
      <c r="B389" s="189"/>
      <c r="C389" s="190"/>
      <c r="D389" s="189"/>
      <c r="E389" s="189"/>
    </row>
    <row r="390" customFormat="false" ht="14.25" hidden="false" customHeight="true" outlineLevel="0" collapsed="false">
      <c r="A390" s="188" t="str">
        <f aca="false">IF(B390="","","PAI"&amp;TEXT(ROW()-343,"00000"))</f>
        <v/>
      </c>
      <c r="B390" s="189"/>
      <c r="C390" s="189"/>
      <c r="D390" s="193"/>
      <c r="E390" s="193"/>
      <c r="F390" s="190"/>
      <c r="G390" s="189"/>
      <c r="H390" s="189"/>
    </row>
    <row r="391" customFormat="false" ht="14.25" hidden="false" customHeight="true" outlineLevel="0" collapsed="false">
      <c r="A391" s="188" t="str">
        <f aca="false">IF(B391="","","PRE"&amp;TEXT(ROW()-376,"00000"))</f>
        <v/>
      </c>
      <c r="B391" s="189"/>
      <c r="C391" s="190"/>
      <c r="D391" s="189"/>
      <c r="E391" s="189"/>
    </row>
    <row r="392" customFormat="false" ht="14.25" hidden="false" customHeight="true" outlineLevel="0" collapsed="false">
      <c r="A392" s="188" t="str">
        <f aca="false">IF(B392="","","PAI"&amp;TEXT(ROW()-343,"00000"))</f>
        <v/>
      </c>
      <c r="B392" s="189"/>
      <c r="C392" s="189"/>
      <c r="D392" s="193"/>
      <c r="E392" s="193"/>
      <c r="F392" s="190"/>
      <c r="G392" s="189"/>
      <c r="H392" s="189"/>
    </row>
    <row r="393" customFormat="false" ht="14.25" hidden="false" customHeight="true" outlineLevel="0" collapsed="false">
      <c r="A393" s="188" t="str">
        <f aca="false">IF(B393="","","PRE"&amp;TEXT(ROW()-376,"00000"))</f>
        <v/>
      </c>
      <c r="B393" s="189"/>
      <c r="C393" s="190"/>
      <c r="D393" s="189"/>
      <c r="E393" s="189"/>
    </row>
    <row r="394" customFormat="false" ht="14.25" hidden="false" customHeight="true" outlineLevel="0" collapsed="false">
      <c r="A394" s="188" t="str">
        <f aca="false">IF(B394="","","PAI"&amp;TEXT(ROW()-343,"00000"))</f>
        <v/>
      </c>
      <c r="B394" s="189"/>
      <c r="C394" s="189"/>
      <c r="D394" s="193"/>
      <c r="E394" s="193"/>
      <c r="F394" s="190"/>
      <c r="G394" s="189"/>
      <c r="H394" s="189"/>
    </row>
    <row r="395" customFormat="false" ht="14.25" hidden="false" customHeight="true" outlineLevel="0" collapsed="false">
      <c r="A395" s="188" t="str">
        <f aca="false">IF(B395="","","PRE"&amp;TEXT(ROW()-376,"00000"))</f>
        <v/>
      </c>
      <c r="B395" s="189"/>
      <c r="C395" s="190"/>
      <c r="D395" s="189"/>
      <c r="E395" s="189"/>
    </row>
    <row r="396" customFormat="false" ht="14.25" hidden="false" customHeight="true" outlineLevel="0" collapsed="false">
      <c r="A396" s="188" t="str">
        <f aca="false">IF(B396="","","PAI"&amp;TEXT(ROW()-343,"00000"))</f>
        <v/>
      </c>
      <c r="B396" s="189"/>
      <c r="C396" s="189"/>
      <c r="D396" s="193"/>
      <c r="E396" s="193"/>
      <c r="F396" s="190"/>
      <c r="G396" s="189"/>
      <c r="H396" s="189"/>
    </row>
    <row r="397" customFormat="false" ht="14.25" hidden="false" customHeight="true" outlineLevel="0" collapsed="false">
      <c r="A397" s="188" t="str">
        <f aca="false">IF(B397="","","PRE"&amp;TEXT(ROW()-376,"00000"))</f>
        <v/>
      </c>
      <c r="B397" s="189"/>
      <c r="C397" s="190"/>
      <c r="D397" s="189"/>
      <c r="E397" s="189"/>
    </row>
    <row r="398" customFormat="false" ht="14.25" hidden="false" customHeight="true" outlineLevel="0" collapsed="false">
      <c r="A398" s="198" t="s">
        <v>2325</v>
      </c>
      <c r="B398" s="198"/>
      <c r="C398" s="198"/>
      <c r="D398" s="198"/>
      <c r="E398" s="198"/>
      <c r="F398" s="198"/>
      <c r="G398" s="198"/>
      <c r="H398" s="189"/>
    </row>
    <row r="399" customFormat="false" ht="14.25" hidden="false" customHeight="true" outlineLevel="0" collapsed="false">
      <c r="A399" s="25" t="s">
        <v>2290</v>
      </c>
      <c r="B399" s="25" t="s">
        <v>2264</v>
      </c>
      <c r="C399" s="192" t="s">
        <v>1525</v>
      </c>
      <c r="D399" s="25" t="s">
        <v>1356</v>
      </c>
      <c r="E399" s="25" t="s">
        <v>1357</v>
      </c>
      <c r="F399" s="25" t="s">
        <v>2326</v>
      </c>
      <c r="G399" s="25" t="s">
        <v>2327</v>
      </c>
    </row>
    <row r="400" customFormat="false" ht="14.25" hidden="false" customHeight="true" outlineLevel="0" collapsed="false">
      <c r="A400" s="188" t="str">
        <f aca="false">IF(B400="","","DOC"&amp;TEXT(ROW()-399,"00000"))</f>
        <v/>
      </c>
      <c r="B400" s="189"/>
      <c r="C400" s="189"/>
      <c r="D400" s="193"/>
      <c r="E400" s="190"/>
      <c r="F400" s="190"/>
      <c r="G400" s="189"/>
      <c r="H400" s="189"/>
    </row>
    <row r="401" customFormat="false" ht="14.25" hidden="false" customHeight="true" outlineLevel="0" collapsed="false">
      <c r="A401" s="188" t="str">
        <f aca="false">IF(B401="","","PRE"&amp;TEXT(ROW()-376,"00000"))</f>
        <v/>
      </c>
      <c r="B401" s="189"/>
      <c r="C401" s="190"/>
      <c r="D401" s="189"/>
      <c r="E401" s="189"/>
    </row>
    <row r="402" customFormat="false" ht="14.25" hidden="false" customHeight="true" outlineLevel="0" collapsed="false">
      <c r="A402" s="188" t="str">
        <f aca="false">IF(B402="","","DOC"&amp;TEXT(ROW()-399,"00000"))</f>
        <v/>
      </c>
      <c r="B402" s="189"/>
      <c r="C402" s="189"/>
      <c r="D402" s="193"/>
      <c r="E402" s="190"/>
      <c r="F402" s="190"/>
      <c r="G402" s="189"/>
      <c r="H402" s="189"/>
    </row>
    <row r="403" customFormat="false" ht="14.25" hidden="false" customHeight="true" outlineLevel="0" collapsed="false">
      <c r="A403" s="188" t="str">
        <f aca="false">IF(B403="","","PRE"&amp;TEXT(ROW()-376,"00000"))</f>
        <v/>
      </c>
      <c r="B403" s="189"/>
      <c r="C403" s="190"/>
      <c r="D403" s="189"/>
      <c r="E403" s="189"/>
    </row>
    <row r="404" customFormat="false" ht="14.25" hidden="false" customHeight="true" outlineLevel="0" collapsed="false">
      <c r="A404" s="188" t="str">
        <f aca="false">IF(B404="","","DOC"&amp;TEXT(ROW()-399,"00000"))</f>
        <v/>
      </c>
      <c r="B404" s="189"/>
      <c r="C404" s="189"/>
      <c r="D404" s="189"/>
      <c r="E404" s="190"/>
      <c r="F404" s="189"/>
      <c r="G404" s="189"/>
    </row>
    <row r="405" customFormat="false" ht="14.25" hidden="false" customHeight="true" outlineLevel="0" collapsed="false">
      <c r="A405" s="188" t="str">
        <f aca="false">IF(B405="","","PRE"&amp;TEXT(ROW()-376,"00000"))</f>
        <v/>
      </c>
      <c r="B405" s="189"/>
      <c r="C405" s="190"/>
      <c r="D405" s="189"/>
      <c r="E405" s="189"/>
    </row>
    <row r="406" customFormat="false" ht="14.25" hidden="false" customHeight="true" outlineLevel="0" collapsed="false">
      <c r="A406" s="188" t="str">
        <f aca="false">IF(B406="","","DOC"&amp;TEXT(ROW()-399,"00000"))</f>
        <v/>
      </c>
      <c r="B406" s="189"/>
      <c r="C406" s="189"/>
      <c r="D406" s="189"/>
      <c r="E406" s="190"/>
      <c r="F406" s="189"/>
      <c r="G406" s="189"/>
    </row>
    <row r="407" customFormat="false" ht="14.25" hidden="false" customHeight="true" outlineLevel="0" collapsed="false">
      <c r="A407" s="188" t="str">
        <f aca="false">IF(B407="","","PRE"&amp;TEXT(ROW()-376,"00000"))</f>
        <v/>
      </c>
      <c r="B407" s="189"/>
      <c r="C407" s="190"/>
      <c r="D407" s="189"/>
      <c r="E407" s="189"/>
    </row>
    <row r="408" customFormat="false" ht="14.25" hidden="false" customHeight="true" outlineLevel="0" collapsed="false">
      <c r="A408" s="188" t="str">
        <f aca="false">IF(B408="","","DOC"&amp;TEXT(ROW()-399,"00000"))</f>
        <v/>
      </c>
      <c r="B408" s="189"/>
      <c r="C408" s="189"/>
      <c r="D408" s="189"/>
      <c r="E408" s="190"/>
      <c r="F408" s="189"/>
      <c r="G408" s="189"/>
    </row>
    <row r="409" customFormat="false" ht="14.25" hidden="false" customHeight="true" outlineLevel="0" collapsed="false">
      <c r="A409" s="188" t="str">
        <f aca="false">IF(B409="","","PRE"&amp;TEXT(ROW()-376,"00000"))</f>
        <v/>
      </c>
      <c r="B409" s="189"/>
      <c r="C409" s="190"/>
      <c r="D409" s="189"/>
      <c r="E409" s="189"/>
    </row>
    <row r="410" customFormat="false" ht="14.25" hidden="false" customHeight="true" outlineLevel="0" collapsed="false">
      <c r="A410" s="188" t="str">
        <f aca="false">IF(B410="","","DOC"&amp;TEXT(ROW()-399,"00000"))</f>
        <v/>
      </c>
      <c r="B410" s="189"/>
      <c r="C410" s="189"/>
      <c r="D410" s="189"/>
      <c r="E410" s="190"/>
      <c r="F410" s="189"/>
      <c r="G410" s="189"/>
    </row>
    <row r="411" customFormat="false" ht="14.25" hidden="false" customHeight="true" outlineLevel="0" collapsed="false">
      <c r="A411" s="188" t="str">
        <f aca="false">IF(B411="","","PRE"&amp;TEXT(ROW()-376,"00000"))</f>
        <v/>
      </c>
      <c r="B411" s="189"/>
      <c r="C411" s="190"/>
      <c r="D411" s="189"/>
      <c r="E411" s="189"/>
    </row>
    <row r="412" customFormat="false" ht="14.25" hidden="false" customHeight="true" outlineLevel="0" collapsed="false">
      <c r="A412" s="188" t="str">
        <f aca="false">IF(B412="","","DOC"&amp;TEXT(ROW()-399,"00000"))</f>
        <v/>
      </c>
      <c r="B412" s="189"/>
      <c r="C412" s="189"/>
      <c r="D412" s="189"/>
      <c r="E412" s="190"/>
      <c r="F412" s="189"/>
      <c r="G412" s="189"/>
    </row>
    <row r="413" customFormat="false" ht="14.25" hidden="false" customHeight="true" outlineLevel="0" collapsed="false">
      <c r="A413" s="188" t="str">
        <f aca="false">IF(B413="","","PRE"&amp;TEXT(ROW()-376,"00000"))</f>
        <v/>
      </c>
      <c r="B413" s="189"/>
      <c r="C413" s="190"/>
      <c r="D413" s="189"/>
      <c r="E413" s="189"/>
    </row>
    <row r="414" customFormat="false" ht="14.25" hidden="false" customHeight="true" outlineLevel="0" collapsed="false">
      <c r="A414" s="188" t="str">
        <f aca="false">IF(B414="","","DOC"&amp;TEXT(ROW()-399,"00000"))</f>
        <v/>
      </c>
      <c r="B414" s="189"/>
      <c r="C414" s="189"/>
      <c r="D414" s="189"/>
      <c r="E414" s="190"/>
      <c r="F414" s="189"/>
      <c r="G414" s="189"/>
    </row>
    <row r="415" customFormat="false" ht="14.25" hidden="false" customHeight="true" outlineLevel="0" collapsed="false">
      <c r="A415" s="188" t="str">
        <f aca="false">IF(B415="","","PRE"&amp;TEXT(ROW()-376,"00000"))</f>
        <v/>
      </c>
      <c r="B415" s="189"/>
      <c r="C415" s="190"/>
      <c r="D415" s="189"/>
      <c r="E415" s="189"/>
    </row>
    <row r="416" customFormat="false" ht="14.25" hidden="false" customHeight="true" outlineLevel="0" collapsed="false">
      <c r="A416" s="188" t="str">
        <f aca="false">IF(B416="","","DOC"&amp;TEXT(ROW()-399,"00000"))</f>
        <v/>
      </c>
      <c r="B416" s="189"/>
      <c r="C416" s="189"/>
      <c r="D416" s="189"/>
      <c r="E416" s="190"/>
      <c r="F416" s="189"/>
      <c r="G416" s="189"/>
    </row>
    <row r="418" customFormat="false" ht="14.25" hidden="false" customHeight="true" outlineLevel="0" collapsed="false">
      <c r="A418" s="188" t="str">
        <f aca="false">IF(B418="","","DOC"&amp;TEXT(ROW()-399,"00000"))</f>
        <v/>
      </c>
      <c r="B418" s="189"/>
      <c r="C418" s="189"/>
      <c r="D418" s="189"/>
      <c r="E418" s="190"/>
      <c r="F418" s="189"/>
      <c r="G418" s="189"/>
    </row>
    <row r="420" customFormat="false" ht="14.25" hidden="false" customHeight="true" outlineLevel="0" collapsed="false">
      <c r="A420" s="188" t="str">
        <f aca="false">IF(B420="","","DOC"&amp;TEXT(ROW()-399,"00000"))</f>
        <v/>
      </c>
      <c r="B420" s="189"/>
      <c r="C420" s="189"/>
      <c r="D420" s="189"/>
      <c r="E420" s="190"/>
      <c r="F420" s="189"/>
      <c r="G420" s="189"/>
    </row>
    <row r="422" customFormat="false" ht="14.25" hidden="false" customHeight="true" outlineLevel="0" collapsed="false">
      <c r="A422" s="188" t="str">
        <f aca="false">IF(B422="","","DOC"&amp;TEXT(ROW()-399,"00000"))</f>
        <v/>
      </c>
      <c r="B422" s="189"/>
      <c r="C422" s="189"/>
      <c r="D422" s="189"/>
      <c r="E422" s="190"/>
      <c r="F422" s="189"/>
      <c r="G422" s="189"/>
    </row>
    <row r="424" customFormat="false" ht="14.25" hidden="false" customHeight="true" outlineLevel="0" collapsed="false">
      <c r="A424" s="188" t="str">
        <f aca="false">IF(B424="","","DOC"&amp;TEXT(ROW()-399,"00000"))</f>
        <v/>
      </c>
      <c r="B424" s="189"/>
      <c r="C424" s="189"/>
      <c r="D424" s="189"/>
      <c r="E424" s="190"/>
      <c r="F424" s="189"/>
      <c r="G424" s="189"/>
    </row>
    <row r="426" customFormat="false" ht="14.25" hidden="false" customHeight="true" outlineLevel="0" collapsed="false">
      <c r="A426" s="188" t="str">
        <f aca="false">IF(B426="","","DOC"&amp;TEXT(ROW()-399,"00000"))</f>
        <v/>
      </c>
      <c r="B426" s="189"/>
      <c r="C426" s="189"/>
      <c r="D426" s="189"/>
      <c r="E426" s="190"/>
      <c r="F426" s="189"/>
      <c r="G426" s="189"/>
    </row>
    <row r="428" customFormat="false" ht="14.25" hidden="false" customHeight="true" outlineLevel="0" collapsed="false">
      <c r="A428" s="188" t="str">
        <f aca="false">IF(B428="","","DOC"&amp;TEXT(ROW()-399,"00000"))</f>
        <v/>
      </c>
      <c r="B428" s="189"/>
      <c r="C428" s="189"/>
      <c r="D428" s="189"/>
      <c r="E428" s="190"/>
      <c r="F428" s="189"/>
      <c r="G428" s="189"/>
    </row>
    <row r="430" customFormat="false" ht="14.25" hidden="false" customHeight="true" outlineLevel="0" collapsed="false">
      <c r="A430" s="188" t="str">
        <f aca="false">IF(B430="","","DOC"&amp;TEXT(ROW()-399,"00000"))</f>
        <v/>
      </c>
      <c r="B430" s="189"/>
      <c r="C430" s="189"/>
      <c r="D430" s="189"/>
      <c r="E430" s="190"/>
      <c r="F430" s="189"/>
      <c r="G430" s="189"/>
    </row>
    <row r="431" customFormat="false" ht="15" hidden="false" customHeight="true" outlineLevel="0" collapsed="false">
      <c r="A431" s="187" t="s">
        <v>2328</v>
      </c>
      <c r="B431" s="187"/>
    </row>
    <row r="432" customFormat="false" ht="14.25" hidden="false" customHeight="true" outlineLevel="0" collapsed="false">
      <c r="A432" s="25" t="s">
        <v>1638</v>
      </c>
      <c r="B432" s="25" t="s">
        <v>2089</v>
      </c>
      <c r="C432" s="189"/>
      <c r="D432" s="189"/>
      <c r="E432" s="190"/>
      <c r="F432" s="189"/>
      <c r="G432" s="189"/>
    </row>
    <row r="433" customFormat="false" ht="15" hidden="false" customHeight="true" outlineLevel="0" collapsed="false">
      <c r="A433" s="60" t="s">
        <v>2246</v>
      </c>
      <c r="B433" s="188" t="n">
        <f aca="false">COUNTIF($A$27:$A$76,"RH*")</f>
        <v>0</v>
      </c>
    </row>
    <row r="434" customFormat="false" ht="14.25" hidden="false" customHeight="true" outlineLevel="0" collapsed="false">
      <c r="A434" s="199" t="s">
        <v>1455</v>
      </c>
      <c r="B434" s="188" t="n">
        <f aca="false">COUNTIFS($P$27:$P$76,"Actif")</f>
        <v>0</v>
      </c>
      <c r="C434" s="189"/>
      <c r="D434" s="189"/>
      <c r="E434" s="190"/>
      <c r="F434" s="189"/>
      <c r="G434" s="189"/>
    </row>
    <row r="435" customFormat="false" ht="15" hidden="false" customHeight="true" outlineLevel="0" collapsed="false">
      <c r="A435" s="60" t="s">
        <v>2248</v>
      </c>
      <c r="B435" s="188" t="n">
        <f aca="false">COUNTIFS($Y$27:$Y$76,"CDD")</f>
        <v>0</v>
      </c>
    </row>
    <row r="436" customFormat="false" ht="14.25" hidden="false" customHeight="true" outlineLevel="0" collapsed="false">
      <c r="A436" s="199" t="s">
        <v>562</v>
      </c>
      <c r="B436" s="188" t="n">
        <f aca="false">COUNTIFS($Y$27:$Y$76,"Consultant")</f>
        <v>0</v>
      </c>
      <c r="C436" s="189"/>
      <c r="D436" s="189"/>
      <c r="E436" s="190"/>
      <c r="F436" s="189"/>
      <c r="G436" s="189"/>
    </row>
    <row r="437" customFormat="false" ht="15" hidden="false" customHeight="true" outlineLevel="0" collapsed="false">
      <c r="A437" s="60" t="s">
        <v>2329</v>
      </c>
      <c r="B437" s="188" t="n">
        <f aca="false">COUNTIFS($Y$27:$Y$76,"Benevolat")</f>
        <v>0</v>
      </c>
    </row>
    <row r="438" customFormat="false" ht="14.25" hidden="false" customHeight="true" outlineLevel="0" collapsed="false">
      <c r="A438" s="199" t="s">
        <v>1344</v>
      </c>
      <c r="B438" s="188" t="n">
        <f aca="false">COUNTIFS($Y$27:$Y$76,"Stage")</f>
        <v>0</v>
      </c>
      <c r="C438" s="189"/>
      <c r="D438" s="189"/>
      <c r="E438" s="190"/>
      <c r="F438" s="189"/>
      <c r="G438" s="189"/>
    </row>
    <row r="439" customFormat="false" ht="15" hidden="false" customHeight="true" outlineLevel="0" collapsed="false">
      <c r="A439" s="60" t="s">
        <v>2330</v>
      </c>
      <c r="B439" s="188" t="n">
        <f aca="false">COUNTIFS($AE$27:$AE$76,"A renouveler bientot")</f>
        <v>0</v>
      </c>
    </row>
    <row r="440" customFormat="false" ht="14.25" hidden="false" customHeight="true" outlineLevel="0" collapsed="false">
      <c r="A440" s="188" t="str">
        <f aca="false">IF(B440="","","DOC"&amp;TEXT(ROW()-399,"00000"))</f>
        <v/>
      </c>
      <c r="B440" s="189"/>
      <c r="C440" s="189"/>
      <c r="D440" s="189"/>
      <c r="E440" s="190"/>
      <c r="F440" s="189"/>
      <c r="G440" s="189"/>
    </row>
    <row r="442" customFormat="false" ht="14.25" hidden="false" customHeight="true" outlineLevel="0" collapsed="false">
      <c r="A442" s="198" t="s">
        <v>2331</v>
      </c>
      <c r="B442" s="198"/>
      <c r="C442" s="189"/>
      <c r="D442" s="189"/>
      <c r="E442" s="190"/>
      <c r="F442" s="189"/>
      <c r="G442" s="189"/>
    </row>
    <row r="443" customFormat="false" ht="15" hidden="false" customHeight="true" outlineLevel="0" collapsed="false">
      <c r="A443" s="200" t="s">
        <v>2256</v>
      </c>
      <c r="B443" s="200" t="s">
        <v>2332</v>
      </c>
    </row>
    <row r="444" customFormat="false" ht="14.25" hidden="false" customHeight="true" outlineLevel="0" collapsed="false">
      <c r="A444" s="199" t="s">
        <v>1110</v>
      </c>
      <c r="B444" s="188" t="n">
        <f aca="false">COUNTIFS($S$27:$S$76,A444)</f>
        <v>0</v>
      </c>
      <c r="C444" s="189"/>
      <c r="D444" s="189"/>
      <c r="E444" s="190"/>
      <c r="F444" s="189"/>
      <c r="G444" s="189"/>
    </row>
    <row r="445" customFormat="false" ht="15" hidden="false" customHeight="true" outlineLevel="0" collapsed="false">
      <c r="A445" s="60" t="s">
        <v>1112</v>
      </c>
      <c r="B445" s="188" t="n">
        <f aca="false">COUNTIFS($S$27:$S$76,A445)</f>
        <v>0</v>
      </c>
    </row>
    <row r="446" customFormat="false" ht="14.25" hidden="false" customHeight="true" outlineLevel="0" collapsed="false">
      <c r="A446" s="199" t="s">
        <v>1114</v>
      </c>
      <c r="B446" s="188" t="n">
        <f aca="false">COUNTIFS($S$27:$S$76,A446)</f>
        <v>0</v>
      </c>
      <c r="C446" s="189"/>
      <c r="D446" s="189"/>
      <c r="E446" s="190"/>
      <c r="F446" s="189"/>
      <c r="G446" s="189"/>
    </row>
    <row r="447" customFormat="false" ht="15" hidden="false" customHeight="true" outlineLevel="0" collapsed="false">
      <c r="A447" s="60" t="s">
        <v>600</v>
      </c>
      <c r="B447" s="188" t="n">
        <f aca="false">COUNTIFS($S$27:$S$76,A447)</f>
        <v>0</v>
      </c>
    </row>
    <row r="448" customFormat="false" ht="14.25" hidden="false" customHeight="true" outlineLevel="0" collapsed="false">
      <c r="A448" s="199" t="s">
        <v>1117</v>
      </c>
      <c r="B448" s="188" t="n">
        <f aca="false">COUNTIFS($S$27:$S$76,A448)</f>
        <v>0</v>
      </c>
      <c r="C448" s="189"/>
      <c r="D448" s="189"/>
      <c r="E448" s="190"/>
      <c r="F448" s="189"/>
      <c r="G448" s="189"/>
    </row>
    <row r="449" customFormat="false" ht="15" hidden="false" customHeight="true" outlineLevel="0" collapsed="false">
      <c r="A449" s="60" t="s">
        <v>370</v>
      </c>
      <c r="B449" s="188" t="n">
        <f aca="false">COUNTIFS($S$27:$S$76,A449)</f>
        <v>0</v>
      </c>
    </row>
    <row r="450" customFormat="false" ht="14.25" hidden="false" customHeight="true" outlineLevel="0" collapsed="false">
      <c r="A450" s="199" t="s">
        <v>598</v>
      </c>
      <c r="B450" s="188" t="n">
        <f aca="false">COUNTIFS($S$27:$S$76,A450)</f>
        <v>0</v>
      </c>
      <c r="C450" s="189"/>
      <c r="D450" s="189"/>
      <c r="E450" s="190"/>
      <c r="F450" s="189"/>
      <c r="G450" s="189"/>
    </row>
    <row r="451" customFormat="false" ht="15" hidden="false" customHeight="true" outlineLevel="0" collapsed="false">
      <c r="A451" s="60" t="s">
        <v>1121</v>
      </c>
      <c r="B451" s="188" t="n">
        <f aca="false">COUNTIFS($S$27:$S$76,A451)</f>
        <v>0</v>
      </c>
    </row>
    <row r="452" customFormat="false" ht="14.25" hidden="false" customHeight="true" outlineLevel="0" collapsed="false">
      <c r="A452" s="199" t="s">
        <v>1123</v>
      </c>
      <c r="B452" s="188" t="n">
        <f aca="false">COUNTIFS($S$27:$S$76,A452)</f>
        <v>0</v>
      </c>
      <c r="C452" s="189"/>
      <c r="D452" s="189"/>
      <c r="E452" s="190"/>
      <c r="F452" s="189"/>
      <c r="G452" s="189"/>
    </row>
    <row r="453" customFormat="false" ht="15" hidden="false" customHeight="true" outlineLevel="0" collapsed="false">
      <c r="A453" s="60" t="s">
        <v>1125</v>
      </c>
      <c r="B453" s="188" t="n">
        <f aca="false">COUNTIFS($S$27:$S$76,A453)</f>
        <v>0</v>
      </c>
    </row>
    <row r="454" customFormat="false" ht="14.25" hidden="false" customHeight="true" outlineLevel="0" collapsed="false">
      <c r="A454" s="199" t="s">
        <v>314</v>
      </c>
      <c r="B454" s="188" t="n">
        <f aca="false">COUNTIFS($S$27:$S$76,A454)</f>
        <v>0</v>
      </c>
      <c r="C454" s="189"/>
      <c r="D454" s="189"/>
      <c r="E454" s="190"/>
      <c r="F454" s="189"/>
      <c r="G454" s="189"/>
    </row>
    <row r="456" customFormat="false" ht="14.25" hidden="false" customHeight="true" outlineLevel="0" collapsed="false">
      <c r="A456" s="188" t="str">
        <f aca="false">IF(B456="","","DOC"&amp;TEXT(ROW()-399,"00000"))</f>
        <v/>
      </c>
      <c r="B456" s="189"/>
      <c r="C456" s="189"/>
      <c r="D456" s="189"/>
      <c r="E456" s="190"/>
      <c r="F456" s="189"/>
      <c r="G456" s="189"/>
    </row>
    <row r="457" customFormat="false" ht="15" hidden="false" customHeight="true" outlineLevel="0" collapsed="false">
      <c r="A457" s="187" t="s">
        <v>2333</v>
      </c>
      <c r="B457" s="187"/>
      <c r="C457" s="187"/>
    </row>
    <row r="458" customFormat="false" ht="14.25" hidden="false" customHeight="true" outlineLevel="0" collapsed="false">
      <c r="A458" s="25" t="s">
        <v>805</v>
      </c>
      <c r="B458" s="25" t="s">
        <v>2334</v>
      </c>
      <c r="C458" s="25" t="s">
        <v>2335</v>
      </c>
      <c r="D458" s="189"/>
      <c r="E458" s="190"/>
      <c r="F458" s="189"/>
      <c r="G458" s="189"/>
    </row>
    <row r="459" customFormat="false" ht="15" hidden="false" customHeight="true" outlineLevel="0" collapsed="false">
      <c r="A459" s="201" t="str">
        <f aca="false">IFERROR(INDEX(tbl_Projets[Titre complet du projet],1),"")</f>
        <v>Projet d'appui a l'insertion professionnelle des jeunes</v>
      </c>
      <c r="B459" s="188" t="n">
        <f aca="false">IF(A459="","",COUNTIFS(tbl_RH_AffectationsProjets[ID Projet],IFERROR(INDEX(tbl_Projets[ID Projet],1),"")))</f>
        <v>0</v>
      </c>
      <c r="C459" s="202" t="n">
        <f aca="false">IF(A459="","",IFERROR(AVERAGEIFS(tbl_RH_AffectationsProjets[% affectation],tbl_RH_AffectationsProjets[ID Projet],IFERROR(INDEX(tbl_Projets[ID Projet],1),"")),0))</f>
        <v>0</v>
      </c>
    </row>
    <row r="460" customFormat="false" ht="15" hidden="false" customHeight="true" outlineLevel="0" collapsed="false">
      <c r="A460" s="201" t="n">
        <f aca="false">IFERROR(INDEX(tbl_Projets[Titre complet du projet],2),"")</f>
        <v>0</v>
      </c>
      <c r="B460" s="188" t="str">
        <f aca="false">IF(A460="","",COUNTIFS(tbl_RH_AffectationsProjets[ID Projet],IFERROR(INDEX(tbl_Projets[ID Projet],2),"")))</f>
        <v/>
      </c>
      <c r="C460" s="202" t="str">
        <f aca="false">IF(A460="","",IFERROR(AVERAGEIFS(tbl_RH_AffectationsProjets[% affectation],tbl_RH_AffectationsProjets[ID Projet],IFERROR(INDEX(tbl_Projets[ID Projet],2),"")),0))</f>
        <v/>
      </c>
    </row>
    <row r="461" customFormat="false" ht="15" hidden="false" customHeight="true" outlineLevel="0" collapsed="false">
      <c r="A461" s="201" t="n">
        <f aca="false">IFERROR(INDEX(tbl_Projets[Titre complet du projet],3),"")</f>
        <v>0</v>
      </c>
      <c r="B461" s="188" t="str">
        <f aca="false">IF(A461="","",COUNTIFS(tbl_RH_AffectationsProjets[ID Projet],IFERROR(INDEX(tbl_Projets[ID Projet],3),"")))</f>
        <v/>
      </c>
      <c r="C461" s="202" t="str">
        <f aca="false">IF(A461="","",IFERROR(AVERAGEIFS(tbl_RH_AffectationsProjets[% affectation],tbl_RH_AffectationsProjets[ID Projet],IFERROR(INDEX(tbl_Projets[ID Projet],3),"")),0))</f>
        <v/>
      </c>
    </row>
    <row r="462" customFormat="false" ht="15" hidden="false" customHeight="true" outlineLevel="0" collapsed="false">
      <c r="A462" s="201" t="n">
        <f aca="false">IFERROR(INDEX(tbl_Projets[Titre complet du projet],4),"")</f>
        <v>0</v>
      </c>
      <c r="B462" s="188" t="str">
        <f aca="false">IF(A462="","",COUNTIFS(tbl_RH_AffectationsProjets[ID Projet],IFERROR(INDEX(tbl_Projets[ID Projet],4),"")))</f>
        <v/>
      </c>
      <c r="C462" s="202" t="str">
        <f aca="false">IF(A462="","",IFERROR(AVERAGEIFS(tbl_RH_AffectationsProjets[% affectation],tbl_RH_AffectationsProjets[ID Projet],IFERROR(INDEX(tbl_Projets[ID Projet],4),"")),0))</f>
        <v/>
      </c>
    </row>
    <row r="463" customFormat="false" ht="15" hidden="false" customHeight="true" outlineLevel="0" collapsed="false">
      <c r="A463" s="201" t="n">
        <f aca="false">IFERROR(INDEX(tbl_Projets[Titre complet du projet],5),"")</f>
        <v>0</v>
      </c>
      <c r="B463" s="188" t="str">
        <f aca="false">IF(A463="","",COUNTIFS(tbl_RH_AffectationsProjets[ID Projet],IFERROR(INDEX(tbl_Projets[ID Projet],5),"")))</f>
        <v/>
      </c>
      <c r="C463" s="202" t="str">
        <f aca="false">IF(A463="","",IFERROR(AVERAGEIFS(tbl_RH_AffectationsProjets[% affectation],tbl_RH_AffectationsProjets[ID Projet],IFERROR(INDEX(tbl_Projets[ID Projet],5),"")),0))</f>
        <v/>
      </c>
    </row>
    <row r="464" customFormat="false" ht="15" hidden="false" customHeight="true" outlineLevel="0" collapsed="false">
      <c r="A464" s="201" t="n">
        <f aca="false">IFERROR(INDEX(tbl_Projets[Titre complet du projet],6),"")</f>
        <v>0</v>
      </c>
      <c r="B464" s="188" t="str">
        <f aca="false">IF(A464="","",COUNTIFS(tbl_RH_AffectationsProjets[ID Projet],IFERROR(INDEX(tbl_Projets[ID Projet],6),"")))</f>
        <v/>
      </c>
      <c r="C464" s="202" t="str">
        <f aca="false">IF(A464="","",IFERROR(AVERAGEIFS(tbl_RH_AffectationsProjets[% affectation],tbl_RH_AffectationsProjets[ID Projet],IFERROR(INDEX(tbl_Projets[ID Projet],6),"")),0))</f>
        <v/>
      </c>
    </row>
    <row r="465" customFormat="false" ht="15" hidden="false" customHeight="true" outlineLevel="0" collapsed="false">
      <c r="A465" s="201" t="n">
        <f aca="false">IFERROR(INDEX(tbl_Projets[Titre complet du projet],7),"")</f>
        <v>0</v>
      </c>
      <c r="B465" s="188" t="str">
        <f aca="false">IF(A465="","",COUNTIFS(tbl_RH_AffectationsProjets[ID Projet],IFERROR(INDEX(tbl_Projets[ID Projet],7),"")))</f>
        <v/>
      </c>
      <c r="C465" s="202" t="str">
        <f aca="false">IF(A465="","",IFERROR(AVERAGEIFS(tbl_RH_AffectationsProjets[% affectation],tbl_RH_AffectationsProjets[ID Projet],IFERROR(INDEX(tbl_Projets[ID Projet],7),"")),0))</f>
        <v/>
      </c>
    </row>
    <row r="466" customFormat="false" ht="15" hidden="false" customHeight="true" outlineLevel="0" collapsed="false">
      <c r="A466" s="201" t="n">
        <f aca="false">IFERROR(INDEX(tbl_Projets[Titre complet du projet],8),"")</f>
        <v>0</v>
      </c>
      <c r="B466" s="188" t="str">
        <f aca="false">IF(A466="","",COUNTIFS(tbl_RH_AffectationsProjets[ID Projet],IFERROR(INDEX(tbl_Projets[ID Projet],8),"")))</f>
        <v/>
      </c>
      <c r="C466" s="202" t="str">
        <f aca="false">IF(A466="","",IFERROR(AVERAGEIFS(tbl_RH_AffectationsProjets[% affectation],tbl_RH_AffectationsProjets[ID Projet],IFERROR(INDEX(tbl_Projets[ID Projet],8),"")),0))</f>
        <v/>
      </c>
    </row>
    <row r="467" customFormat="false" ht="15" hidden="false" customHeight="true" outlineLevel="0" collapsed="false">
      <c r="A467" s="201" t="n">
        <f aca="false">IFERROR(INDEX(tbl_Projets[Titre complet du projet],9),"")</f>
        <v>0</v>
      </c>
      <c r="B467" s="188" t="str">
        <f aca="false">IF(A467="","",COUNTIFS(tbl_RH_AffectationsProjets[ID Projet],IFERROR(INDEX(tbl_Projets[ID Projet],9),"")))</f>
        <v/>
      </c>
      <c r="C467" s="202" t="str">
        <f aca="false">IF(A467="","",IFERROR(AVERAGEIFS(tbl_RH_AffectationsProjets[% affectation],tbl_RH_AffectationsProjets[ID Projet],IFERROR(INDEX(tbl_Projets[ID Projet],9),"")),0))</f>
        <v/>
      </c>
    </row>
    <row r="468" customFormat="false" ht="15" hidden="false" customHeight="true" outlineLevel="0" collapsed="false">
      <c r="A468" s="201" t="n">
        <f aca="false">IFERROR(INDEX(tbl_Projets[Titre complet du projet],10),"")</f>
        <v>0</v>
      </c>
      <c r="B468" s="188" t="str">
        <f aca="false">IF(A468="","",COUNTIFS(tbl_RH_AffectationsProjets[ID Projet],IFERROR(INDEX(tbl_Projets[ID Projet],10),"")))</f>
        <v/>
      </c>
      <c r="C468" s="202" t="str">
        <f aca="false">IF(A468="","",IFERROR(AVERAGEIFS(tbl_RH_AffectationsProjets[% affectation],tbl_RH_AffectationsProjets[ID Projet],IFERROR(INDEX(tbl_Projets[ID Projet],10),"")),0))</f>
        <v/>
      </c>
    </row>
    <row r="469" customFormat="false" ht="15" hidden="false" customHeight="true" outlineLevel="0" collapsed="false">
      <c r="A469" s="201" t="n">
        <f aca="false">IFERROR(INDEX(tbl_Projets[Titre complet du projet],11),"")</f>
        <v>0</v>
      </c>
      <c r="B469" s="188" t="str">
        <f aca="false">IF(A469="","",COUNTIFS(tbl_RH_AffectationsProjets[ID Projet],IFERROR(INDEX(tbl_Projets[ID Projet],11),"")))</f>
        <v/>
      </c>
      <c r="C469" s="202" t="str">
        <f aca="false">IF(A469="","",IFERROR(AVERAGEIFS(tbl_RH_AffectationsProjets[% affectation],tbl_RH_AffectationsProjets[ID Projet],IFERROR(INDEX(tbl_Projets[ID Projet],11),"")),0))</f>
        <v/>
      </c>
    </row>
    <row r="470" customFormat="false" ht="15" hidden="false" customHeight="true" outlineLevel="0" collapsed="false">
      <c r="A470" s="201" t="n">
        <f aca="false">IFERROR(INDEX(tbl_Projets[Titre complet du projet],12),"")</f>
        <v>0</v>
      </c>
      <c r="B470" s="188" t="str">
        <f aca="false">IF(A470="","",COUNTIFS(tbl_RH_AffectationsProjets[ID Projet],IFERROR(INDEX(tbl_Projets[ID Projet],12),"")))</f>
        <v/>
      </c>
      <c r="C470" s="202" t="str">
        <f aca="false">IF(A470="","",IFERROR(AVERAGEIFS(tbl_RH_AffectationsProjets[% affectation],tbl_RH_AffectationsProjets[ID Projet],IFERROR(INDEX(tbl_Projets[ID Projet],12),"")),0))</f>
        <v/>
      </c>
    </row>
    <row r="471" customFormat="false" ht="15" hidden="false" customHeight="true" outlineLevel="0" collapsed="false">
      <c r="A471" s="201" t="n">
        <f aca="false">IFERROR(INDEX(tbl_Projets[Titre complet du projet],13),"")</f>
        <v>0</v>
      </c>
      <c r="B471" s="188" t="str">
        <f aca="false">IF(A471="","",COUNTIFS(tbl_RH_AffectationsProjets[ID Projet],IFERROR(INDEX(tbl_Projets[ID Projet],13),"")))</f>
        <v/>
      </c>
      <c r="C471" s="202" t="str">
        <f aca="false">IF(A471="","",IFERROR(AVERAGEIFS(tbl_RH_AffectationsProjets[% affectation],tbl_RH_AffectationsProjets[ID Projet],IFERROR(INDEX(tbl_Projets[ID Projet],13),"")),0))</f>
        <v/>
      </c>
    </row>
    <row r="472" customFormat="false" ht="15" hidden="false" customHeight="true" outlineLevel="0" collapsed="false">
      <c r="A472" s="201" t="n">
        <f aca="false">IFERROR(INDEX(tbl_Projets[Titre complet du projet],14),"")</f>
        <v>0</v>
      </c>
      <c r="B472" s="188" t="str">
        <f aca="false">IF(A472="","",COUNTIFS(tbl_RH_AffectationsProjets[ID Projet],IFERROR(INDEX(tbl_Projets[ID Projet],14),"")))</f>
        <v/>
      </c>
      <c r="C472" s="202" t="str">
        <f aca="false">IF(A472="","",IFERROR(AVERAGEIFS(tbl_RH_AffectationsProjets[% affectation],tbl_RH_AffectationsProjets[ID Projet],IFERROR(INDEX(tbl_Projets[ID Projet],14),"")),0))</f>
        <v/>
      </c>
    </row>
    <row r="473" customFormat="false" ht="15" hidden="false" customHeight="true" outlineLevel="0" collapsed="false">
      <c r="A473" s="201" t="n">
        <f aca="false">IFERROR(INDEX(tbl_Projets[Titre complet du projet],15),"")</f>
        <v>0</v>
      </c>
      <c r="B473" s="188" t="str">
        <f aca="false">IF(A473="","",COUNTIFS(tbl_RH_AffectationsProjets[ID Projet],IFERROR(INDEX(tbl_Projets[ID Projet],15),"")))</f>
        <v/>
      </c>
      <c r="C473" s="202" t="str">
        <f aca="false">IF(A473="","",IFERROR(AVERAGEIFS(tbl_RH_AffectationsProjets[% affectation],tbl_RH_AffectationsProjets[ID Projet],IFERROR(INDEX(tbl_Projets[ID Projet],15),"")),0))</f>
        <v/>
      </c>
    </row>
    <row r="476" customFormat="false" ht="15" hidden="false" customHeight="true" outlineLevel="0" collapsed="false">
      <c r="A476" s="187" t="s">
        <v>2336</v>
      </c>
      <c r="B476" s="187"/>
      <c r="C476" s="187"/>
    </row>
    <row r="477" customFormat="false" ht="15" hidden="false" customHeight="true" outlineLevel="0" collapsed="false">
      <c r="A477" s="25" t="s">
        <v>1470</v>
      </c>
      <c r="B477" s="25" t="s">
        <v>2089</v>
      </c>
      <c r="C477" s="25" t="s">
        <v>2337</v>
      </c>
    </row>
    <row r="478" customFormat="false" ht="15" hidden="false" customHeight="true" outlineLevel="0" collapsed="false">
      <c r="A478" s="60" t="s">
        <v>432</v>
      </c>
      <c r="B478" s="188" t="n">
        <f aca="false">COUNTIFS($F$27:$F$76,A478)</f>
        <v>0</v>
      </c>
      <c r="C478" s="202" t="n">
        <f aca="false">IFERROR(B478/COUNTIF($A$27:$A$76,"RH*"),0)</f>
        <v>0</v>
      </c>
    </row>
    <row r="479" customFormat="false" ht="15" hidden="false" customHeight="true" outlineLevel="0" collapsed="false">
      <c r="A479" s="60" t="s">
        <v>434</v>
      </c>
      <c r="B479" s="188" t="n">
        <f aca="false">COUNTIFS($F$27:$F$76,A479)</f>
        <v>0</v>
      </c>
      <c r="C479" s="202" t="n">
        <f aca="false">IFERROR(B479/COUNTIF($A$27:$A$76,"RH*"),0)</f>
        <v>0</v>
      </c>
    </row>
    <row r="480" customFormat="false" ht="15" hidden="false" customHeight="true" outlineLevel="0" collapsed="false">
      <c r="A480" s="60" t="s">
        <v>436</v>
      </c>
      <c r="B480" s="188" t="n">
        <f aca="false">COUNTIFS($F$27:$F$76,A480)</f>
        <v>0</v>
      </c>
      <c r="C480" s="202" t="n">
        <f aca="false">IFERROR(B480/COUNTIF($A$27:$A$76,"RH*"),0)</f>
        <v>0</v>
      </c>
    </row>
    <row r="483" customFormat="false" ht="15" hidden="false" customHeight="true" outlineLevel="0" collapsed="false">
      <c r="A483" s="203" t="s">
        <v>2338</v>
      </c>
      <c r="B483" s="203"/>
      <c r="C483" s="203"/>
      <c r="D483" s="203"/>
      <c r="E483" s="203"/>
      <c r="F483" s="203"/>
      <c r="G483" s="203"/>
      <c r="H483" s="203"/>
      <c r="I483" s="203"/>
      <c r="J483" s="203"/>
      <c r="K483" s="203"/>
      <c r="L483" s="203"/>
      <c r="M483" s="203"/>
      <c r="N483" s="203"/>
      <c r="O483" s="203"/>
      <c r="P483" s="203"/>
      <c r="Q483" s="203"/>
      <c r="R483" s="203"/>
    </row>
  </sheetData>
  <mergeCells count="22">
    <mergeCell ref="A1:P1"/>
    <mergeCell ref="A2:R2"/>
    <mergeCell ref="A4:R4"/>
    <mergeCell ref="A6:R6"/>
    <mergeCell ref="A10:R10"/>
    <mergeCell ref="A25:AQ25"/>
    <mergeCell ref="A78:I78"/>
    <mergeCell ref="A111:G111"/>
    <mergeCell ref="A144:H144"/>
    <mergeCell ref="A177:G177"/>
    <mergeCell ref="A210:G210"/>
    <mergeCell ref="A243:K243"/>
    <mergeCell ref="A276:I276"/>
    <mergeCell ref="A309:J309"/>
    <mergeCell ref="A342:H342"/>
    <mergeCell ref="A375:E375"/>
    <mergeCell ref="A398:G398"/>
    <mergeCell ref="A431:B431"/>
    <mergeCell ref="A442:B442"/>
    <mergeCell ref="A457:C457"/>
    <mergeCell ref="A476:C476"/>
    <mergeCell ref="A483:R483"/>
  </mergeCells>
  <conditionalFormatting sqref="AE27:AE76">
    <cfRule type="expression" priority="2" aboveAverage="0" equalAverage="0" bottom="0" percent="0" rank="0" text="" dxfId="20">
      <formula>AE27="Expire"</formula>
    </cfRule>
    <cfRule type="expression" priority="3" aboveAverage="0" equalAverage="0" bottom="0" percent="0" rank="0" text="" dxfId="21">
      <formula>AE27="A renouveler bientot"</formula>
    </cfRule>
    <cfRule type="expression" priority="4" aboveAverage="0" equalAverage="0" bottom="0" percent="0" rank="0" text="" dxfId="22">
      <formula>OR(AE27="Actif",AE27="Indetermine (CDI)")</formula>
    </cfRule>
  </conditionalFormatting>
  <conditionalFormatting sqref="P27:P76">
    <cfRule type="expression" priority="5" aboveAverage="0" equalAverage="0" bottom="0" percent="0" rank="0" text="" dxfId="22">
      <formula>P27="Actif"</formula>
    </cfRule>
    <cfRule type="expression" priority="6" aboveAverage="0" equalAverage="0" bottom="0" percent="0" rank="0" text="" dxfId="20">
      <formula>OR(P27="Suspendu",P27="Sorti",P27="Inactif")</formula>
    </cfRule>
    <cfRule type="expression" priority="7" aboveAverage="0" equalAverage="0" bottom="0" percent="0" rank="0" text="" dxfId="21">
      <formula>OR(P27="En conge",P27="En mission",P27="En formation")</formula>
    </cfRule>
  </conditionalFormatting>
  <dataValidations count="40">
    <dataValidation allowBlank="false" errorStyle="stop" operator="between" showDropDown="false" showErrorMessage="false" showInputMessage="false" sqref="L8" type="list">
      <formula1>Liste_AnneesFiltre</formula1>
      <formula2>0</formula2>
    </dataValidation>
    <dataValidation allowBlank="true" errorStyle="stop" operator="between" showDropDown="false" showErrorMessage="false" showInputMessage="false" sqref="F27:F76" type="list">
      <formula1>Liste_Sexe</formula1>
      <formula2>0</formula2>
    </dataValidation>
    <dataValidation allowBlank="true" errorStyle="stop" operator="between" showDropDown="false" showErrorMessage="false" showInputMessage="false" sqref="O27:O76" type="list">
      <formula1>Liste_TypesContrats</formula1>
      <formula2>0</formula2>
    </dataValidation>
    <dataValidation allowBlank="true" errorStyle="stop" operator="between" showDropDown="false" showErrorMessage="false" showInputMessage="false" sqref="P27:P76" type="list">
      <formula1>Liste_StatutsRH</formula1>
      <formula2>0</formula2>
    </dataValidation>
    <dataValidation allowBlank="true" errorStyle="stop" operator="between" showDropDown="false" showErrorMessage="false" showInputMessage="false" sqref="Q27:Q76" type="list">
      <formula1>Liste_Fonctions</formula1>
      <formula2>0</formula2>
    </dataValidation>
    <dataValidation allowBlank="true" errorStyle="stop" operator="between" showDropDown="false" showErrorMessage="false" showInputMessage="false" sqref="S27:S76" type="list">
      <formula1>Liste_ServicesRH</formula1>
      <formula2>0</formula2>
    </dataValidation>
    <dataValidation allowBlank="true" errorStyle="stop" operator="between" showDropDown="false" showErrorMessage="false" showInputMessage="false" sqref="T27:T76" type="list">
      <formula1>Liste_NiveauxHierarchiques</formula1>
      <formula2>0</formula2>
    </dataValidation>
    <dataValidation allowBlank="true" errorStyle="stop" operator="between" showDropDown="false" showErrorMessage="false" showInputMessage="false" sqref="Y27:Y76" type="list">
      <formula1>Liste_TypesContrats</formula1>
      <formula2>0</formula2>
    </dataValidation>
    <dataValidation allowBlank="true" errorStyle="stop" operator="between" showDropDown="false" showErrorMessage="false" showInputMessage="false" sqref="AD27:AD76" type="list">
      <formula1>"Oui,Non"</formula1>
      <formula2>0</formula2>
    </dataValidation>
    <dataValidation allowBlank="true" errorStyle="stop" operator="between" showDropDown="false" showErrorMessage="false" showInputMessage="false" sqref="AG27:AG76" type="list">
      <formula1>"FCFA,EUR,USD,GBP,Autre"</formula1>
      <formula2>0</formula2>
    </dataValidation>
    <dataValidation allowBlank="true" errorStyle="stop" operator="between" showDropDown="false" showErrorMessage="false" showInputMessage="false" sqref="AH27:AH76" type="list">
      <formula1>Liste_FrequencesPaiement</formula1>
      <formula2>0</formula2>
    </dataValidation>
    <dataValidation allowBlank="true" errorStyle="stop" operator="between" showDropDown="false" showErrorMessage="false" showInputMessage="false" sqref="AP27:AP76" type="list">
      <formula1>Liste_MotifsDepart</formula1>
      <formula2>0</formula2>
    </dataValidation>
    <dataValidation allowBlank="true" errorStyle="stop" operator="between" showDropDown="false" showErrorMessage="false" showInputMessage="false" sqref="B80:B109" type="list">
      <formula1>Liste_RHID</formula1>
      <formula2>0</formula2>
    </dataValidation>
    <dataValidation allowBlank="true" errorStyle="stop" operator="between" showDropDown="false" showErrorMessage="false" showInputMessage="false" sqref="C80:C109" type="list">
      <formula1>Liste_ActivitesIDProjets</formula1>
      <formula2>0</formula2>
    </dataValidation>
    <dataValidation allowBlank="true" errorStyle="stop" operator="between" showDropDown="false" showErrorMessage="false" showInputMessage="false" sqref="I80:I109" type="list">
      <formula1>"Active,Terminee,Suspendue"</formula1>
      <formula2>0</formula2>
    </dataValidation>
    <dataValidation allowBlank="true" errorStyle="stop" operator="between" showDropDown="false" showErrorMessage="false" showInputMessage="false" sqref="B113:B142" type="list">
      <formula1>Liste_RHID</formula1>
      <formula2>0</formula2>
    </dataValidation>
    <dataValidation allowBlank="true" errorStyle="stop" operator="between" showDropDown="false" showErrorMessage="false" showInputMessage="false" sqref="C113:C142" type="list">
      <formula1>Liste_ActivitesID</formula1>
      <formula2>0</formula2>
    </dataValidation>
    <dataValidation allowBlank="true" errorStyle="stop" operator="between" showDropDown="false" showErrorMessage="false" showInputMessage="false" sqref="G113:G142" type="list">
      <formula1>"Oui,Non"</formula1>
      <formula2>0</formula2>
    </dataValidation>
    <dataValidation allowBlank="true" errorStyle="stop" operator="between" showDropDown="false" showErrorMessage="false" showInputMessage="false" sqref="B146:B175" type="list">
      <formula1>Liste_RHID</formula1>
      <formula2>0</formula2>
    </dataValidation>
    <dataValidation allowBlank="true" errorStyle="stop" operator="between" showDropDown="false" showErrorMessage="false" showInputMessage="false" sqref="H146:H175" type="list">
      <formula1>"Oui,Non"</formula1>
      <formula2>0</formula2>
    </dataValidation>
    <dataValidation allowBlank="true" errorStyle="stop" operator="between" showDropDown="false" showErrorMessage="false" showInputMessage="false" sqref="B179:B208" type="list">
      <formula1>Liste_RHID</formula1>
      <formula2>0</formula2>
    </dataValidation>
    <dataValidation allowBlank="true" errorStyle="stop" operator="between" showDropDown="false" showErrorMessage="false" showInputMessage="false" sqref="D179:D208" type="list">
      <formula1>Liste_NiveauxCompetence</formula1>
      <formula2>0</formula2>
    </dataValidation>
    <dataValidation allowBlank="true" errorStyle="stop" operator="between" showDropDown="false" showErrorMessage="false" showInputMessage="false" sqref="B212:B241" type="list">
      <formula1>Liste_RHID</formula1>
      <formula2>0</formula2>
    </dataValidation>
    <dataValidation allowBlank="true" errorStyle="stop" operator="between" showDropDown="false" showErrorMessage="false" showInputMessage="false" sqref="G212:G241" type="list">
      <formula1>"BEPC,BAC,BTS/DUT,Licence,Master,Doctorat,Certificat professionnel,Autre"</formula1>
      <formula2>0</formula2>
    </dataValidation>
    <dataValidation allowBlank="true" errorStyle="stop" operator="between" showDropDown="false" showErrorMessage="false" showInputMessage="false" sqref="B245:B274" type="list">
      <formula1>Liste_RHID</formula1>
      <formula2>0</formula2>
    </dataValidation>
    <dataValidation allowBlank="true" errorStyle="stop" operator="between" showDropDown="false" showErrorMessage="false" showInputMessage="false" sqref="E245:E274" type="list">
      <formula1>"Excellente,Bonne,Satisfaisante,A ameliorer,Insuffisante"</formula1>
      <formula2>0</formula2>
    </dataValidation>
    <dataValidation allowBlank="true" errorStyle="stop" operator="between" showDropDown="false" showErrorMessage="false" showInputMessage="false" sqref="B278:B307" type="list">
      <formula1>Liste_RHID</formula1>
      <formula2>0</formula2>
    </dataValidation>
    <dataValidation allowBlank="true" errorStyle="stop" operator="between" showDropDown="false" showErrorMessage="false" showInputMessage="false" sqref="C278:C307" type="list">
      <formula1>Liste_TypesConge</formula1>
      <formula2>0</formula2>
    </dataValidation>
    <dataValidation allowBlank="true" errorStyle="stop" operator="between" showDropDown="false" showErrorMessage="false" showInputMessage="false" sqref="H278:H307" type="list">
      <formula1>Liste_StatutsConge</formula1>
      <formula2>0</formula2>
    </dataValidation>
    <dataValidation allowBlank="true" errorStyle="stop" operator="between" showDropDown="false" showErrorMessage="false" showInputMessage="false" sqref="B311:B340" type="list">
      <formula1>Liste_RHID</formula1>
      <formula2>0</formula2>
    </dataValidation>
    <dataValidation allowBlank="true" errorStyle="stop" operator="between" showDropDown="false" showErrorMessage="false" showInputMessage="false" sqref="E311:E340" type="list">
      <formula1>Liste_ActivitesIDProjets</formula1>
      <formula2>0</formula2>
    </dataValidation>
    <dataValidation allowBlank="true" errorStyle="stop" operator="between" showDropDown="false" showErrorMessage="false" showInputMessage="false" sqref="H311:H340" type="list">
      <formula1>"Planifiee,En cours,Terminee,Annulee"</formula1>
      <formula2>0</formula2>
    </dataValidation>
    <dataValidation allowBlank="true" errorStyle="stop" operator="between" showDropDown="false" showErrorMessage="false" showInputMessage="false" sqref="J311:J340" type="list">
      <formula1>"Oui,Non"</formula1>
      <formula2>0</formula2>
    </dataValidation>
    <dataValidation allowBlank="true" errorStyle="stop" operator="between" showDropDown="false" showErrorMessage="false" showInputMessage="false" sqref="B344:B373" type="list">
      <formula1>Liste_RHID</formula1>
      <formula2>0</formula2>
    </dataValidation>
    <dataValidation allowBlank="true" errorStyle="stop" operator="between" showDropDown="false" showErrorMessage="false" showInputMessage="false" sqref="G344:G373" type="list">
      <formula1>"Prevu,Partiellement paye,Paye,En retard"</formula1>
      <formula2>0</formula2>
    </dataValidation>
    <dataValidation allowBlank="true" errorStyle="stop" operator="between" showDropDown="false" showErrorMessage="false" showInputMessage="false" sqref="B377:B396" type="list">
      <formula1>Liste_RHID</formula1>
      <formula2>0</formula2>
    </dataValidation>
    <dataValidation allowBlank="true" errorStyle="stop" operator="between" showDropDown="false" showErrorMessage="false" showInputMessage="false" sqref="D377:D396" type="list">
      <formula1>"Present,Absent,Retard,Mission,Conge,Formation,Autre"</formula1>
      <formula2>0</formula2>
    </dataValidation>
    <dataValidation allowBlank="true" errorStyle="stop" operator="between" showDropDown="false" showErrorMessage="false" showInputMessage="false" sqref="B400:B429" type="list">
      <formula1>Liste_RHID</formula1>
      <formula2>0</formula2>
    </dataValidation>
    <dataValidation allowBlank="true" errorStyle="stop" operator="between" showDropDown="false" showErrorMessage="false" showInputMessage="false" sqref="C400:C429" type="list">
      <formula1>Liste_TypesDocumentsRH</formula1>
      <formula2>0</formula2>
    </dataValidation>
    <dataValidation allowBlank="true" errorStyle="stop" operator="between" showDropDown="false" showErrorMessage="false" showInputMessage="false" sqref="F400:F429" type="list">
      <formula1>"Oui,Non"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71"/>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pane xSplit="0" ySplit="2" topLeftCell="A47" activePane="bottomLeft" state="frozen"/>
      <selection pane="topLeft" activeCell="B1" activeCellId="0" sqref="B1"/>
      <selection pane="bottomLeft" activeCell="G12" activeCellId="0" sqref="G12"/>
    </sheetView>
  </sheetViews>
  <sheetFormatPr defaultColWidth="8.71484375" defaultRowHeight="15" customHeight="true" zeroHeight="false" outlineLevelRow="0" outlineLevelCol="0"/>
  <cols>
    <col collapsed="false" customWidth="true" hidden="false" outlineLevel="0" max="2" min="1" style="1" width="13"/>
    <col collapsed="false" customWidth="true" hidden="false" outlineLevel="0" max="3" min="3" style="1" width="24"/>
    <col collapsed="false" customWidth="true" hidden="false" outlineLevel="0" max="5" min="4" style="1" width="16"/>
    <col collapsed="false" customWidth="true" hidden="false" outlineLevel="0" max="6" min="6" style="1" width="13"/>
    <col collapsed="false" customWidth="true" hidden="false" outlineLevel="0" max="7" min="7" style="1" width="24"/>
    <col collapsed="false" customWidth="true" hidden="false" outlineLevel="0" max="9" min="8" style="1" width="16"/>
    <col collapsed="false" customWidth="true" hidden="false" outlineLevel="0" max="14" min="10" style="1" width="24"/>
    <col collapsed="false" customWidth="true" hidden="false" outlineLevel="0" max="16" min="15" style="1" width="16"/>
    <col collapsed="false" customWidth="true" hidden="false" outlineLevel="0" max="17" min="17" style="1" width="24"/>
    <col collapsed="false" customWidth="true" hidden="false" outlineLevel="0" max="18" min="18" style="1" width="16"/>
    <col collapsed="false" customWidth="true" hidden="false" outlineLevel="0" max="19" min="19" style="1" width="13"/>
    <col collapsed="false" customWidth="true" hidden="false" outlineLevel="0" max="21" min="20" style="1" width="24"/>
    <col collapsed="false" customWidth="true" hidden="false" outlineLevel="0" max="22" min="22" style="1" width="16"/>
    <col collapsed="false" customWidth="true" hidden="false" outlineLevel="0" max="23" min="23" style="1" width="13"/>
    <col collapsed="false" customWidth="true" hidden="false" outlineLevel="0" max="24" min="24" style="1" width="16"/>
    <col collapsed="false" customWidth="true" hidden="false" outlineLevel="0" max="32" min="25" style="1" width="13"/>
    <col collapsed="false" customWidth="true" hidden="false" outlineLevel="0" max="34" min="33" style="1" width="16"/>
    <col collapsed="false" customWidth="true" hidden="false" outlineLevel="0" max="40" min="35" style="1" width="13"/>
    <col collapsed="false" customWidth="true" hidden="false" outlineLevel="0" max="45" min="41" style="1" width="16"/>
    <col collapsed="false" customWidth="true" hidden="false" outlineLevel="0" max="46" min="46" style="1" width="24"/>
    <col collapsed="false" customWidth="true" hidden="false" outlineLevel="0" max="47" min="47" style="1" width="13"/>
    <col collapsed="false" customWidth="true" hidden="false" outlineLevel="0" max="48" min="48" style="1" width="24"/>
    <col collapsed="false" customWidth="true" hidden="false" outlineLevel="0" max="49" min="49" style="1" width="16"/>
    <col collapsed="false" customWidth="true" hidden="false" outlineLevel="0" max="52" min="50" style="1" width="24"/>
  </cols>
  <sheetData>
    <row r="1" customFormat="false" ht="25.5" hidden="false" customHeight="true" outlineLevel="0" collapsed="false">
      <c r="A1" s="204" t="s">
        <v>2339</v>
      </c>
      <c r="B1" s="204"/>
      <c r="C1" s="204"/>
      <c r="D1" s="204"/>
      <c r="E1" s="204"/>
      <c r="F1" s="204"/>
      <c r="G1" s="204"/>
      <c r="H1" s="204"/>
      <c r="I1" s="204"/>
      <c r="J1" s="204"/>
      <c r="K1" s="204"/>
      <c r="L1" s="204"/>
      <c r="M1" s="204"/>
      <c r="N1" s="204"/>
      <c r="O1" s="204"/>
      <c r="P1" s="204"/>
      <c r="Q1" s="205" t="s">
        <v>1683</v>
      </c>
      <c r="R1" s="205" t="s">
        <v>1777</v>
      </c>
      <c r="S1" s="205" t="s">
        <v>1556</v>
      </c>
      <c r="T1" s="205" t="s">
        <v>2340</v>
      </c>
      <c r="U1" s="205" t="s">
        <v>1444</v>
      </c>
    </row>
    <row r="2" customFormat="false" ht="18" hidden="false" customHeight="true" outlineLevel="0" collapsed="false">
      <c r="A2" s="206" t="s">
        <v>2341</v>
      </c>
      <c r="B2" s="206"/>
      <c r="C2" s="206"/>
      <c r="D2" s="206"/>
      <c r="E2" s="206"/>
      <c r="F2" s="206"/>
      <c r="G2" s="206"/>
      <c r="H2" s="206"/>
      <c r="I2" s="206"/>
      <c r="J2" s="206"/>
      <c r="K2" s="206"/>
      <c r="L2" s="206"/>
      <c r="M2" s="206"/>
      <c r="N2" s="206"/>
      <c r="O2" s="206"/>
      <c r="P2" s="206"/>
      <c r="Q2" s="206"/>
      <c r="R2" s="206"/>
      <c r="S2" s="206"/>
      <c r="T2" s="206"/>
      <c r="U2" s="206"/>
    </row>
    <row r="4" customFormat="false" ht="15" hidden="false" customHeight="true" outlineLevel="0" collapsed="false">
      <c r="A4" s="54" t="s">
        <v>1445</v>
      </c>
      <c r="B4" s="54"/>
      <c r="C4" s="54"/>
      <c r="D4" s="54"/>
      <c r="E4" s="54"/>
      <c r="F4" s="54"/>
      <c r="G4" s="54"/>
      <c r="H4" s="54"/>
      <c r="I4" s="54"/>
      <c r="J4" s="54"/>
      <c r="K4" s="54"/>
      <c r="L4" s="54"/>
      <c r="M4" s="54"/>
      <c r="N4" s="54"/>
      <c r="O4" s="54"/>
      <c r="P4" s="54"/>
      <c r="Q4" s="54"/>
      <c r="R4" s="54"/>
      <c r="S4" s="54"/>
      <c r="T4" s="54"/>
      <c r="U4" s="54"/>
    </row>
    <row r="6" customFormat="false" ht="19.5" hidden="false" customHeight="true" outlineLevel="0" collapsed="false">
      <c r="A6" s="207" t="s">
        <v>2342</v>
      </c>
      <c r="B6" s="207"/>
      <c r="C6" s="207"/>
      <c r="D6" s="207"/>
      <c r="E6" s="207"/>
      <c r="F6" s="207"/>
      <c r="G6" s="207"/>
      <c r="H6" s="207"/>
      <c r="I6" s="207"/>
      <c r="J6" s="207"/>
      <c r="K6" s="207"/>
      <c r="L6" s="207"/>
      <c r="M6" s="207"/>
      <c r="N6" s="207"/>
      <c r="O6" s="207"/>
      <c r="P6" s="207"/>
      <c r="Q6" s="207"/>
      <c r="R6" s="207"/>
      <c r="S6" s="207"/>
      <c r="T6" s="207"/>
      <c r="U6" s="207"/>
    </row>
    <row r="7" customFormat="false" ht="30" hidden="false" customHeight="true" outlineLevel="0" collapsed="false">
      <c r="A7" s="73" t="s">
        <v>2343</v>
      </c>
      <c r="B7" s="73" t="s">
        <v>2344</v>
      </c>
      <c r="C7" s="73" t="s">
        <v>2345</v>
      </c>
      <c r="D7" s="73" t="s">
        <v>2346</v>
      </c>
      <c r="E7" s="73" t="s">
        <v>2347</v>
      </c>
      <c r="F7" s="73" t="s">
        <v>2348</v>
      </c>
      <c r="G7" s="73" t="s">
        <v>2349</v>
      </c>
      <c r="H7" s="73" t="s">
        <v>2350</v>
      </c>
      <c r="I7" s="73" t="s">
        <v>2351</v>
      </c>
      <c r="J7" s="73" t="s">
        <v>2352</v>
      </c>
      <c r="K7" s="73" t="s">
        <v>2353</v>
      </c>
      <c r="L7" s="73" t="s">
        <v>2003</v>
      </c>
      <c r="M7" s="208" t="s">
        <v>1216</v>
      </c>
    </row>
    <row r="8" customFormat="false" ht="21.75" hidden="false" customHeight="true" outlineLevel="0" collapsed="false">
      <c r="A8" s="209" t="n">
        <f aca="false">COUNTIF(A55:A104,"IND*")</f>
        <v>0</v>
      </c>
      <c r="B8" s="209" t="n">
        <f aca="false">IF(COUNTIF(B55:B104,"&lt;&gt;")=0,0,SUMPRODUCT((B55:B104&lt;&gt;"")/COUNTIF(B55:B104,B55:B104&amp;"")))</f>
        <v>0</v>
      </c>
      <c r="C8" s="209" t="n">
        <f aca="false">IF(COUNTIF(F55:F104,"&lt;&gt;")=0,0,SUMPRODUCT((F55:F104&lt;&gt;"")/COUNTIF(F55:F104,F55:F104&amp;"")))</f>
        <v>0</v>
      </c>
      <c r="D8" s="209" t="n">
        <f aca="false">IF($M$7="Total",COUNTIFS(A55:A104,"IND*",AD55:AD104,"&gt;=1"),COUNTIFS(A55:A104,"IND*",AD55:AD104,"&gt;=1",AB55:AB104,"&gt;="&amp;DATE(VALUE($M$7),1,1),AB55:AB104,"&lt;"&amp;DATE(VALUE($M$7)+1,1,1)))</f>
        <v>0</v>
      </c>
      <c r="E8" s="209" t="n">
        <f aca="false">IF($M$7="Total",COUNTIFS(A55:A104,"IND*",AD55:AD104,"&lt;1",AD55:AD104,"&lt;&gt;"),COUNTIFS(A55:A104,"IND*",AD55:AD104,"&lt;1",AD55:AD104,"&lt;&gt;",AB55:AB104,"&gt;="&amp;DATE(VALUE($M$7),1,1),AB55:AB104,"&lt;"&amp;DATE(VALUE($M$7)+1,1,1)))</f>
        <v>0</v>
      </c>
      <c r="F8" s="210" t="n">
        <f aca="false">IFERROR(IF($M$7="Total",AVERAGEIFS(AD55:AD104,A55:A104,"IND*",AD55:AD104,"&lt;&gt;"),AVERAGEIFS(AD55:AD104,A55:A104,"IND*",AD55:AD104,"&lt;&gt;",AB55:AB104,"&gt;="&amp;DATE(VALUE($M$7),1,1),AB55:AB104,"&lt;"&amp;DATE(VALUE($M$7)+1,1,1))),0)</f>
        <v>0</v>
      </c>
      <c r="G8" s="209" t="n">
        <f aca="false">SUMIF(A55:A104,"IND*",AI55:AI104)</f>
        <v>0</v>
      </c>
      <c r="H8" s="209" t="n">
        <f aca="false">SUMIF(A55:A104,"IND*",AJ55:AJ104)</f>
        <v>0</v>
      </c>
      <c r="I8" s="210" t="n">
        <f aca="false">IFERROR(H8/G8,0)</f>
        <v>0</v>
      </c>
      <c r="J8" s="209" t="n">
        <f aca="false">COUNTIFS(A55:A104,"IND*",AG55:AG104,"Excellent")+COUNTIFS(A55:A104,"IND*",AG55:AG104,"Bon")</f>
        <v>0</v>
      </c>
      <c r="K8" s="209" t="n">
        <f aca="false">COUNTIFS(A55:A104,"IND*",AG55:AG104,"Faible")+COUNTIFS(A55:A104,"IND*",AG55:AG104,"Critique")</f>
        <v>0</v>
      </c>
    </row>
    <row r="10" customFormat="false" ht="19.5" hidden="false" customHeight="true" outlineLevel="0" collapsed="false">
      <c r="A10" s="207" t="s">
        <v>2065</v>
      </c>
      <c r="B10" s="207"/>
      <c r="C10" s="207"/>
      <c r="D10" s="207"/>
      <c r="E10" s="207"/>
      <c r="F10" s="207"/>
      <c r="G10" s="207"/>
      <c r="H10" s="207"/>
      <c r="I10" s="207"/>
      <c r="J10" s="207"/>
      <c r="K10" s="207"/>
      <c r="L10" s="207"/>
      <c r="M10" s="207"/>
      <c r="N10" s="207"/>
      <c r="O10" s="207"/>
      <c r="P10" s="207"/>
      <c r="Q10" s="207"/>
      <c r="R10" s="207"/>
      <c r="S10" s="207"/>
      <c r="T10" s="207"/>
      <c r="U10" s="207"/>
    </row>
    <row r="11" customFormat="false" ht="25.5" hidden="false" customHeight="true" outlineLevel="0" collapsed="false">
      <c r="A11" s="59" t="s">
        <v>1570</v>
      </c>
      <c r="B11" s="59" t="s">
        <v>1508</v>
      </c>
      <c r="C11" s="59" t="s">
        <v>2343</v>
      </c>
      <c r="D11" s="59" t="s">
        <v>2346</v>
      </c>
      <c r="E11" s="59" t="s">
        <v>2348</v>
      </c>
      <c r="F11" s="59" t="s">
        <v>2350</v>
      </c>
      <c r="G11" s="59" t="s">
        <v>2354</v>
      </c>
    </row>
    <row r="12" customFormat="false" ht="51" hidden="false" customHeight="true" outlineLevel="0" collapsed="false">
      <c r="A12" s="64" t="str">
        <f aca="false">IF(PROJETS!A56="","",PROJETS!A56)</f>
        <v>PROJ0001</v>
      </c>
      <c r="B12" s="211" t="str">
        <f aca="false">IF($A12="","",IFERROR(INDEX(tbl_Projets[Titre complet du projet],MATCH($A12,tbl_Projets[ID Projet],0)),""))</f>
        <v>Projet d'appui a l'insertion professionnelle des jeunes</v>
      </c>
      <c r="C12" s="209" t="n">
        <f aca="false">IF($A12="","",COUNTIFS($B$55:$B$104,$A12))</f>
        <v>0</v>
      </c>
      <c r="D12" s="209" t="n">
        <f aca="false">IF($A12="","",COUNTIFS($B$55:$B$104,$A12,$AD$55:$AD$104,"&gt;=1"))</f>
        <v>0</v>
      </c>
      <c r="E12" s="210" t="str">
        <f aca="false">IF($A12="","",IFERROR(AVERAGEIFS($AD$55:$AD$104,$B$55:$B$104,$A12,$AD$55:$AD$104,"&lt;&gt;"),""))</f>
        <v/>
      </c>
      <c r="F12" s="209" t="n">
        <f aca="false">IF($A12="","",SUMIFS($AJ$55:$AJ$104,$B$55:$B$104,$A12))</f>
        <v>0</v>
      </c>
      <c r="G12" s="209" t="str">
        <f aca="false">IF($A12="","",IF(C12=0,"Pas de donnee",IF(E12&gt;=1,"Excellent",IF(E12&gt;=0.8,"Bon",IF(E12&gt;=0.6,"Moyen","A surveiller")))))</f>
        <v>Pas de donnee</v>
      </c>
    </row>
    <row r="13" customFormat="false" ht="15" hidden="false" customHeight="true" outlineLevel="0" collapsed="false">
      <c r="A13" s="64" t="str">
        <f aca="false">IF(PROJETS!A57="","",PROJETS!A57)</f>
        <v/>
      </c>
      <c r="B13" s="211" t="str">
        <f aca="false">IF($A13="","",IFERROR(INDEX(tbl_Projets[Titre complet du projet],MATCH($A13,tbl_Projets[ID Projet],0)),""))</f>
        <v/>
      </c>
      <c r="C13" s="209" t="str">
        <f aca="false">IF($A13="","",COUNTIFS($B$55:$B$104,$A13))</f>
        <v/>
      </c>
      <c r="D13" s="209" t="str">
        <f aca="false">IF($A13="","",COUNTIFS($B$55:$B$104,$A13,$AD$55:$AD$104,"&gt;=1"))</f>
        <v/>
      </c>
      <c r="E13" s="210" t="str">
        <f aca="false">IF($A13="","",IFERROR(AVERAGEIFS($AD$55:$AD$104,$B$55:$B$104,$A13,$AD$55:$AD$104,"&lt;&gt;"),""))</f>
        <v/>
      </c>
      <c r="F13" s="209" t="str">
        <f aca="false">IF($A13="","",SUMIFS($AJ$55:$AJ$104,$B$55:$B$104,$A13))</f>
        <v/>
      </c>
      <c r="G13" s="209" t="str">
        <f aca="false">IF($A13="","",IF(C13=0,"Pas de donnee",IF(E13&gt;=1,"Excellent",IF(E13&gt;=0.8,"Bon",IF(E13&gt;=0.6,"Moyen","A surveiller")))))</f>
        <v/>
      </c>
    </row>
    <row r="14" customFormat="false" ht="15" hidden="false" customHeight="true" outlineLevel="0" collapsed="false">
      <c r="A14" s="64" t="str">
        <f aca="false">IF(PROJETS!A58="","",PROJETS!A58)</f>
        <v/>
      </c>
      <c r="B14" s="211" t="str">
        <f aca="false">IF($A14="","",IFERROR(INDEX(tbl_Projets[Titre complet du projet],MATCH($A14,tbl_Projets[ID Projet],0)),""))</f>
        <v/>
      </c>
      <c r="C14" s="209" t="str">
        <f aca="false">IF($A14="","",COUNTIFS($B$55:$B$104,$A14))</f>
        <v/>
      </c>
      <c r="D14" s="209" t="str">
        <f aca="false">IF($A14="","",COUNTIFS($B$55:$B$104,$A14,$AD$55:$AD$104,"&gt;=1"))</f>
        <v/>
      </c>
      <c r="E14" s="210" t="str">
        <f aca="false">IF($A14="","",IFERROR(AVERAGEIFS($AD$55:$AD$104,$B$55:$B$104,$A14,$AD$55:$AD$104,"&lt;&gt;"),""))</f>
        <v/>
      </c>
      <c r="F14" s="209" t="str">
        <f aca="false">IF($A14="","",SUMIFS($AJ$55:$AJ$104,$B$55:$B$104,$A14))</f>
        <v/>
      </c>
      <c r="G14" s="209" t="str">
        <f aca="false">IF($A14="","",IF(C14=0,"Pas de donnee",IF(E14&gt;=1,"Excellent",IF(E14&gt;=0.8,"Bon",IF(E14&gt;=0.6,"Moyen","A surveiller")))))</f>
        <v/>
      </c>
    </row>
    <row r="15" customFormat="false" ht="15" hidden="false" customHeight="true" outlineLevel="0" collapsed="false">
      <c r="A15" s="64" t="str">
        <f aca="false">IF(PROJETS!A59="","",PROJETS!A59)</f>
        <v/>
      </c>
      <c r="B15" s="211" t="str">
        <f aca="false">IF($A15="","",IFERROR(INDEX(tbl_Projets[Titre complet du projet],MATCH($A15,tbl_Projets[ID Projet],0)),""))</f>
        <v/>
      </c>
      <c r="C15" s="209" t="str">
        <f aca="false">IF($A15="","",COUNTIFS($B$55:$B$104,$A15))</f>
        <v/>
      </c>
      <c r="D15" s="209" t="str">
        <f aca="false">IF($A15="","",COUNTIFS($B$55:$B$104,$A15,$AD$55:$AD$104,"&gt;=1"))</f>
        <v/>
      </c>
      <c r="E15" s="210" t="str">
        <f aca="false">IF($A15="","",IFERROR(AVERAGEIFS($AD$55:$AD$104,$B$55:$B$104,$A15,$AD$55:$AD$104,"&lt;&gt;"),""))</f>
        <v/>
      </c>
      <c r="F15" s="209" t="str">
        <f aca="false">IF($A15="","",SUMIFS($AJ$55:$AJ$104,$B$55:$B$104,$A15))</f>
        <v/>
      </c>
      <c r="G15" s="209" t="str">
        <f aca="false">IF($A15="","",IF(C15=0,"Pas de donnee",IF(E15&gt;=1,"Excellent",IF(E15&gt;=0.8,"Bon",IF(E15&gt;=0.6,"Moyen","A surveiller")))))</f>
        <v/>
      </c>
    </row>
    <row r="16" customFormat="false" ht="15" hidden="false" customHeight="true" outlineLevel="0" collapsed="false">
      <c r="A16" s="64" t="str">
        <f aca="false">IF(PROJETS!A60="","",PROJETS!A60)</f>
        <v/>
      </c>
      <c r="B16" s="211" t="str">
        <f aca="false">IF($A16="","",IFERROR(INDEX(tbl_Projets[Titre complet du projet],MATCH($A16,tbl_Projets[ID Projet],0)),""))</f>
        <v/>
      </c>
      <c r="C16" s="209" t="str">
        <f aca="false">IF($A16="","",COUNTIFS($B$55:$B$104,$A16))</f>
        <v/>
      </c>
      <c r="D16" s="209" t="str">
        <f aca="false">IF($A16="","",COUNTIFS($B$55:$B$104,$A16,$AD$55:$AD$104,"&gt;=1"))</f>
        <v/>
      </c>
      <c r="E16" s="210" t="str">
        <f aca="false">IF($A16="","",IFERROR(AVERAGEIFS($AD$55:$AD$104,$B$55:$B$104,$A16,$AD$55:$AD$104,"&lt;&gt;"),""))</f>
        <v/>
      </c>
      <c r="F16" s="209" t="str">
        <f aca="false">IF($A16="","",SUMIFS($AJ$55:$AJ$104,$B$55:$B$104,$A16))</f>
        <v/>
      </c>
      <c r="G16" s="209" t="str">
        <f aca="false">IF($A16="","",IF(C16=0,"Pas de donnee",IF(E16&gt;=1,"Excellent",IF(E16&gt;=0.8,"Bon",IF(E16&gt;=0.6,"Moyen","A surveiller")))))</f>
        <v/>
      </c>
    </row>
    <row r="17" customFormat="false" ht="15" hidden="false" customHeight="true" outlineLevel="0" collapsed="false">
      <c r="A17" s="64" t="str">
        <f aca="false">IF(PROJETS!A61="","",PROJETS!A61)</f>
        <v/>
      </c>
      <c r="B17" s="211" t="str">
        <f aca="false">IF($A17="","",IFERROR(INDEX(tbl_Projets[Titre complet du projet],MATCH($A17,tbl_Projets[ID Projet],0)),""))</f>
        <v/>
      </c>
      <c r="C17" s="209" t="str">
        <f aca="false">IF($A17="","",COUNTIFS($B$55:$B$104,$A17))</f>
        <v/>
      </c>
      <c r="D17" s="209" t="str">
        <f aca="false">IF($A17="","",COUNTIFS($B$55:$B$104,$A17,$AD$55:$AD$104,"&gt;=1"))</f>
        <v/>
      </c>
      <c r="E17" s="210" t="str">
        <f aca="false">IF($A17="","",IFERROR(AVERAGEIFS($AD$55:$AD$104,$B$55:$B$104,$A17,$AD$55:$AD$104,"&lt;&gt;"),""))</f>
        <v/>
      </c>
      <c r="F17" s="209" t="str">
        <f aca="false">IF($A17="","",SUMIFS($AJ$55:$AJ$104,$B$55:$B$104,$A17))</f>
        <v/>
      </c>
      <c r="G17" s="209" t="str">
        <f aca="false">IF($A17="","",IF(C17=0,"Pas de donnee",IF(E17&gt;=1,"Excellent",IF(E17&gt;=0.8,"Bon",IF(E17&gt;=0.6,"Moyen","A surveiller")))))</f>
        <v/>
      </c>
    </row>
    <row r="18" customFormat="false" ht="15" hidden="false" customHeight="true" outlineLevel="0" collapsed="false">
      <c r="A18" s="64" t="str">
        <f aca="false">IF(PROJETS!A62="","",PROJETS!A62)</f>
        <v/>
      </c>
      <c r="B18" s="211" t="str">
        <f aca="false">IF($A18="","",IFERROR(INDEX(tbl_Projets[Titre complet du projet],MATCH($A18,tbl_Projets[ID Projet],0)),""))</f>
        <v/>
      </c>
      <c r="C18" s="209" t="str">
        <f aca="false">IF($A18="","",COUNTIFS($B$55:$B$104,$A18))</f>
        <v/>
      </c>
      <c r="D18" s="209" t="str">
        <f aca="false">IF($A18="","",COUNTIFS($B$55:$B$104,$A18,$AD$55:$AD$104,"&gt;=1"))</f>
        <v/>
      </c>
      <c r="E18" s="210" t="str">
        <f aca="false">IF($A18="","",IFERROR(AVERAGEIFS($AD$55:$AD$104,$B$55:$B$104,$A18,$AD$55:$AD$104,"&lt;&gt;"),""))</f>
        <v/>
      </c>
      <c r="F18" s="209" t="str">
        <f aca="false">IF($A18="","",SUMIFS($AJ$55:$AJ$104,$B$55:$B$104,$A18))</f>
        <v/>
      </c>
      <c r="G18" s="209" t="str">
        <f aca="false">IF($A18="","",IF(C18=0,"Pas de donnee",IF(E18&gt;=1,"Excellent",IF(E18&gt;=0.8,"Bon",IF(E18&gt;=0.6,"Moyen","A surveiller")))))</f>
        <v/>
      </c>
    </row>
    <row r="19" customFormat="false" ht="15" hidden="false" customHeight="true" outlineLevel="0" collapsed="false">
      <c r="A19" s="64" t="str">
        <f aca="false">IF(PROJETS!A63="","",PROJETS!A63)</f>
        <v/>
      </c>
      <c r="B19" s="211" t="str">
        <f aca="false">IF($A19="","",IFERROR(INDEX(tbl_Projets[Titre complet du projet],MATCH($A19,tbl_Projets[ID Projet],0)),""))</f>
        <v/>
      </c>
      <c r="C19" s="209" t="str">
        <f aca="false">IF($A19="","",COUNTIFS($B$55:$B$104,$A19))</f>
        <v/>
      </c>
      <c r="D19" s="209" t="str">
        <f aca="false">IF($A19="","",COUNTIFS($B$55:$B$104,$A19,$AD$55:$AD$104,"&gt;=1"))</f>
        <v/>
      </c>
      <c r="E19" s="210" t="str">
        <f aca="false">IF($A19="","",IFERROR(AVERAGEIFS($AD$55:$AD$104,$B$55:$B$104,$A19,$AD$55:$AD$104,"&lt;&gt;"),""))</f>
        <v/>
      </c>
      <c r="F19" s="209" t="str">
        <f aca="false">IF($A19="","",SUMIFS($AJ$55:$AJ$104,$B$55:$B$104,$A19))</f>
        <v/>
      </c>
      <c r="G19" s="209" t="str">
        <f aca="false">IF($A19="","",IF(C19=0,"Pas de donnee",IF(E19&gt;=1,"Excellent",IF(E19&gt;=0.8,"Bon",IF(E19&gt;=0.6,"Moyen","A surveiller")))))</f>
        <v/>
      </c>
    </row>
    <row r="20" customFormat="false" ht="15" hidden="false" customHeight="true" outlineLevel="0" collapsed="false">
      <c r="A20" s="64" t="str">
        <f aca="false">IF(PROJETS!A64="","",PROJETS!A64)</f>
        <v/>
      </c>
      <c r="B20" s="211" t="str">
        <f aca="false">IF($A20="","",IFERROR(INDEX(tbl_Projets[Titre complet du projet],MATCH($A20,tbl_Projets[ID Projet],0)),""))</f>
        <v/>
      </c>
      <c r="C20" s="209" t="str">
        <f aca="false">IF($A20="","",COUNTIFS($B$55:$B$104,$A20))</f>
        <v/>
      </c>
      <c r="D20" s="209" t="str">
        <f aca="false">IF($A20="","",COUNTIFS($B$55:$B$104,$A20,$AD$55:$AD$104,"&gt;=1"))</f>
        <v/>
      </c>
      <c r="E20" s="210" t="str">
        <f aca="false">IF($A20="","",IFERROR(AVERAGEIFS($AD$55:$AD$104,$B$55:$B$104,$A20,$AD$55:$AD$104,"&lt;&gt;"),""))</f>
        <v/>
      </c>
      <c r="F20" s="209" t="str">
        <f aca="false">IF($A20="","",SUMIFS($AJ$55:$AJ$104,$B$55:$B$104,$A20))</f>
        <v/>
      </c>
      <c r="G20" s="209" t="str">
        <f aca="false">IF($A20="","",IF(C20=0,"Pas de donnee",IF(E20&gt;=1,"Excellent",IF(E20&gt;=0.8,"Bon",IF(E20&gt;=0.6,"Moyen","A surveiller")))))</f>
        <v/>
      </c>
    </row>
    <row r="21" customFormat="false" ht="15" hidden="false" customHeight="true" outlineLevel="0" collapsed="false">
      <c r="A21" s="64" t="str">
        <f aca="false">IF(PROJETS!A65="","",PROJETS!A65)</f>
        <v/>
      </c>
      <c r="B21" s="211" t="str">
        <f aca="false">IF($A21="","",IFERROR(INDEX(tbl_Projets[Titre complet du projet],MATCH($A21,tbl_Projets[ID Projet],0)),""))</f>
        <v/>
      </c>
      <c r="C21" s="209" t="str">
        <f aca="false">IF($A21="","",COUNTIFS($B$55:$B$104,$A21))</f>
        <v/>
      </c>
      <c r="D21" s="209" t="str">
        <f aca="false">IF($A21="","",COUNTIFS($B$55:$B$104,$A21,$AD$55:$AD$104,"&gt;=1"))</f>
        <v/>
      </c>
      <c r="E21" s="210" t="str">
        <f aca="false">IF($A21="","",IFERROR(AVERAGEIFS($AD$55:$AD$104,$B$55:$B$104,$A21,$AD$55:$AD$104,"&lt;&gt;"),""))</f>
        <v/>
      </c>
      <c r="F21" s="209" t="str">
        <f aca="false">IF($A21="","",SUMIFS($AJ$55:$AJ$104,$B$55:$B$104,$A21))</f>
        <v/>
      </c>
      <c r="G21" s="209" t="str">
        <f aca="false">IF($A21="","",IF(C21=0,"Pas de donnee",IF(E21&gt;=1,"Excellent",IF(E21&gt;=0.8,"Bon",IF(E21&gt;=0.6,"Moyen","A surveiller")))))</f>
        <v/>
      </c>
    </row>
    <row r="22" customFormat="false" ht="15" hidden="false" customHeight="true" outlineLevel="0" collapsed="false">
      <c r="A22" s="64" t="str">
        <f aca="false">IF(PROJETS!A66="","",PROJETS!A66)</f>
        <v/>
      </c>
      <c r="B22" s="211" t="str">
        <f aca="false">IF($A22="","",IFERROR(INDEX(tbl_Projets[Titre complet du projet],MATCH($A22,tbl_Projets[ID Projet],0)),""))</f>
        <v/>
      </c>
      <c r="C22" s="209" t="str">
        <f aca="false">IF($A22="","",COUNTIFS($B$55:$B$104,$A22))</f>
        <v/>
      </c>
      <c r="D22" s="209" t="str">
        <f aca="false">IF($A22="","",COUNTIFS($B$55:$B$104,$A22,$AD$55:$AD$104,"&gt;=1"))</f>
        <v/>
      </c>
      <c r="E22" s="210" t="str">
        <f aca="false">IF($A22="","",IFERROR(AVERAGEIFS($AD$55:$AD$104,$B$55:$B$104,$A22,$AD$55:$AD$104,"&lt;&gt;"),""))</f>
        <v/>
      </c>
      <c r="F22" s="209" t="str">
        <f aca="false">IF($A22="","",SUMIFS($AJ$55:$AJ$104,$B$55:$B$104,$A22))</f>
        <v/>
      </c>
      <c r="G22" s="209" t="str">
        <f aca="false">IF($A22="","",IF(C22=0,"Pas de donnee",IF(E22&gt;=1,"Excellent",IF(E22&gt;=0.8,"Bon",IF(E22&gt;=0.6,"Moyen","A surveiller")))))</f>
        <v/>
      </c>
    </row>
    <row r="23" customFormat="false" ht="15" hidden="false" customHeight="true" outlineLevel="0" collapsed="false">
      <c r="A23" s="64" t="str">
        <f aca="false">IF(PROJETS!A67="","",PROJETS!A67)</f>
        <v/>
      </c>
      <c r="B23" s="211" t="str">
        <f aca="false">IF($A23="","",IFERROR(INDEX(tbl_Projets[Titre complet du projet],MATCH($A23,tbl_Projets[ID Projet],0)),""))</f>
        <v/>
      </c>
      <c r="C23" s="209" t="str">
        <f aca="false">IF($A23="","",COUNTIFS($B$55:$B$104,$A23))</f>
        <v/>
      </c>
      <c r="D23" s="209" t="str">
        <f aca="false">IF($A23="","",COUNTIFS($B$55:$B$104,$A23,$AD$55:$AD$104,"&gt;=1"))</f>
        <v/>
      </c>
      <c r="E23" s="210" t="str">
        <f aca="false">IF($A23="","",IFERROR(AVERAGEIFS($AD$55:$AD$104,$B$55:$B$104,$A23,$AD$55:$AD$104,"&lt;&gt;"),""))</f>
        <v/>
      </c>
      <c r="F23" s="209" t="str">
        <f aca="false">IF($A23="","",SUMIFS($AJ$55:$AJ$104,$B$55:$B$104,$A23))</f>
        <v/>
      </c>
      <c r="G23" s="209" t="str">
        <f aca="false">IF($A23="","",IF(C23=0,"Pas de donnee",IF(E23&gt;=1,"Excellent",IF(E23&gt;=0.8,"Bon",IF(E23&gt;=0.6,"Moyen","A surveiller")))))</f>
        <v/>
      </c>
    </row>
    <row r="24" customFormat="false" ht="15" hidden="false" customHeight="true" outlineLevel="0" collapsed="false">
      <c r="A24" s="64" t="str">
        <f aca="false">IF(PROJETS!A68="","",PROJETS!A68)</f>
        <v/>
      </c>
      <c r="B24" s="211" t="str">
        <f aca="false">IF($A24="","",IFERROR(INDEX(tbl_Projets[Titre complet du projet],MATCH($A24,tbl_Projets[ID Projet],0)),""))</f>
        <v/>
      </c>
      <c r="C24" s="209" t="str">
        <f aca="false">IF($A24="","",COUNTIFS($B$55:$B$104,$A24))</f>
        <v/>
      </c>
      <c r="D24" s="209" t="str">
        <f aca="false">IF($A24="","",COUNTIFS($B$55:$B$104,$A24,$AD$55:$AD$104,"&gt;=1"))</f>
        <v/>
      </c>
      <c r="E24" s="210" t="str">
        <f aca="false">IF($A24="","",IFERROR(AVERAGEIFS($AD$55:$AD$104,$B$55:$B$104,$A24,$AD$55:$AD$104,"&lt;&gt;"),""))</f>
        <v/>
      </c>
      <c r="F24" s="209" t="str">
        <f aca="false">IF($A24="","",SUMIFS($AJ$55:$AJ$104,$B$55:$B$104,$A24))</f>
        <v/>
      </c>
      <c r="G24" s="209" t="str">
        <f aca="false">IF($A24="","",IF(C24=0,"Pas de donnee",IF(E24&gt;=1,"Excellent",IF(E24&gt;=0.8,"Bon",IF(E24&gt;=0.6,"Moyen","A surveiller")))))</f>
        <v/>
      </c>
    </row>
    <row r="25" customFormat="false" ht="15" hidden="false" customHeight="true" outlineLevel="0" collapsed="false">
      <c r="A25" s="64" t="str">
        <f aca="false">IF(PROJETS!A69="","",PROJETS!A69)</f>
        <v/>
      </c>
      <c r="B25" s="211" t="str">
        <f aca="false">IF($A25="","",IFERROR(INDEX(tbl_Projets[Titre complet du projet],MATCH($A25,tbl_Projets[ID Projet],0)),""))</f>
        <v/>
      </c>
      <c r="C25" s="209" t="str">
        <f aca="false">IF($A25="","",COUNTIFS($B$55:$B$104,$A25))</f>
        <v/>
      </c>
      <c r="D25" s="209" t="str">
        <f aca="false">IF($A25="","",COUNTIFS($B$55:$B$104,$A25,$AD$55:$AD$104,"&gt;=1"))</f>
        <v/>
      </c>
      <c r="E25" s="210" t="str">
        <f aca="false">IF($A25="","",IFERROR(AVERAGEIFS($AD$55:$AD$104,$B$55:$B$104,$A25,$AD$55:$AD$104,"&lt;&gt;"),""))</f>
        <v/>
      </c>
      <c r="F25" s="209" t="str">
        <f aca="false">IF($A25="","",SUMIFS($AJ$55:$AJ$104,$B$55:$B$104,$A25))</f>
        <v/>
      </c>
      <c r="G25" s="209" t="str">
        <f aca="false">IF($A25="","",IF(C25=0,"Pas de donnee",IF(E25&gt;=1,"Excellent",IF(E25&gt;=0.8,"Bon",IF(E25&gt;=0.6,"Moyen","A surveiller")))))</f>
        <v/>
      </c>
    </row>
    <row r="26" customFormat="false" ht="15" hidden="false" customHeight="true" outlineLevel="0" collapsed="false">
      <c r="A26" s="64" t="str">
        <f aca="false">IF(PROJETS!A70="","",PROJETS!A70)</f>
        <v/>
      </c>
      <c r="B26" s="211" t="str">
        <f aca="false">IF($A26="","",IFERROR(INDEX(tbl_Projets[Titre complet du projet],MATCH($A26,tbl_Projets[ID Projet],0)),""))</f>
        <v/>
      </c>
      <c r="C26" s="209" t="str">
        <f aca="false">IF($A26="","",COUNTIFS($B$55:$B$104,$A26))</f>
        <v/>
      </c>
      <c r="D26" s="209" t="str">
        <f aca="false">IF($A26="","",COUNTIFS($B$55:$B$104,$A26,$AD$55:$AD$104,"&gt;=1"))</f>
        <v/>
      </c>
      <c r="E26" s="210" t="str">
        <f aca="false">IF($A26="","",IFERROR(AVERAGEIFS($AD$55:$AD$104,$B$55:$B$104,$A26,$AD$55:$AD$104,"&lt;&gt;"),""))</f>
        <v/>
      </c>
      <c r="F26" s="209" t="str">
        <f aca="false">IF($A26="","",SUMIFS($AJ$55:$AJ$104,$B$55:$B$104,$A26))</f>
        <v/>
      </c>
      <c r="G26" s="209" t="str">
        <f aca="false">IF($A26="","",IF(C26=0,"Pas de donnee",IF(E26&gt;=1,"Excellent",IF(E26&gt;=0.8,"Bon",IF(E26&gt;=0.6,"Moyen","A surveiller")))))</f>
        <v/>
      </c>
    </row>
    <row r="27" customFormat="false" ht="15" hidden="false" customHeight="true" outlineLevel="0" collapsed="false">
      <c r="A27" s="64" t="str">
        <f aca="false">IF(PROJETS!A71="","",PROJETS!A71)</f>
        <v/>
      </c>
      <c r="B27" s="211" t="str">
        <f aca="false">IF($A27="","",IFERROR(INDEX(tbl_Projets[Titre complet du projet],MATCH($A27,tbl_Projets[ID Projet],0)),""))</f>
        <v/>
      </c>
      <c r="C27" s="209" t="str">
        <f aca="false">IF($A27="","",COUNTIFS($B$55:$B$104,$A27))</f>
        <v/>
      </c>
      <c r="D27" s="209" t="str">
        <f aca="false">IF($A27="","",COUNTIFS($B$55:$B$104,$A27,$AD$55:$AD$104,"&gt;=1"))</f>
        <v/>
      </c>
      <c r="E27" s="210" t="str">
        <f aca="false">IF($A27="","",IFERROR(AVERAGEIFS($AD$55:$AD$104,$B$55:$B$104,$A27,$AD$55:$AD$104,"&lt;&gt;"),""))</f>
        <v/>
      </c>
      <c r="F27" s="209" t="str">
        <f aca="false">IF($A27="","",SUMIFS($AJ$55:$AJ$104,$B$55:$B$104,$A27))</f>
        <v/>
      </c>
      <c r="G27" s="209" t="str">
        <f aca="false">IF($A27="","",IF(C27=0,"Pas de donnee",IF(E27&gt;=1,"Excellent",IF(E27&gt;=0.8,"Bon",IF(E27&gt;=0.6,"Moyen","A surveiller")))))</f>
        <v/>
      </c>
    </row>
    <row r="28" customFormat="false" ht="15" hidden="false" customHeight="true" outlineLevel="0" collapsed="false">
      <c r="A28" s="64" t="str">
        <f aca="false">IF(PROJETS!A72="","",PROJETS!A72)</f>
        <v/>
      </c>
      <c r="B28" s="211" t="str">
        <f aca="false">IF($A28="","",IFERROR(INDEX(tbl_Projets[Titre complet du projet],MATCH($A28,tbl_Projets[ID Projet],0)),""))</f>
        <v/>
      </c>
      <c r="C28" s="209" t="str">
        <f aca="false">IF($A28="","",COUNTIFS($B$55:$B$104,$A28))</f>
        <v/>
      </c>
      <c r="D28" s="209" t="str">
        <f aca="false">IF($A28="","",COUNTIFS($B$55:$B$104,$A28,$AD$55:$AD$104,"&gt;=1"))</f>
        <v/>
      </c>
      <c r="E28" s="210" t="str">
        <f aca="false">IF($A28="","",IFERROR(AVERAGEIFS($AD$55:$AD$104,$B$55:$B$104,$A28,$AD$55:$AD$104,"&lt;&gt;"),""))</f>
        <v/>
      </c>
      <c r="F28" s="209" t="str">
        <f aca="false">IF($A28="","",SUMIFS($AJ$55:$AJ$104,$B$55:$B$104,$A28))</f>
        <v/>
      </c>
      <c r="G28" s="209" t="str">
        <f aca="false">IF($A28="","",IF(C28=0,"Pas de donnee",IF(E28&gt;=1,"Excellent",IF(E28&gt;=0.8,"Bon",IF(E28&gt;=0.6,"Moyen","A surveiller")))))</f>
        <v/>
      </c>
    </row>
    <row r="29" customFormat="false" ht="15" hidden="false" customHeight="true" outlineLevel="0" collapsed="false">
      <c r="A29" s="64" t="str">
        <f aca="false">IF(PROJETS!A73="","",PROJETS!A73)</f>
        <v/>
      </c>
      <c r="B29" s="211" t="str">
        <f aca="false">IF($A29="","",IFERROR(INDEX(tbl_Projets[Titre complet du projet],MATCH($A29,tbl_Projets[ID Projet],0)),""))</f>
        <v/>
      </c>
      <c r="C29" s="209" t="str">
        <f aca="false">IF($A29="","",COUNTIFS($B$55:$B$104,$A29))</f>
        <v/>
      </c>
      <c r="D29" s="209" t="str">
        <f aca="false">IF($A29="","",COUNTIFS($B$55:$B$104,$A29,$AD$55:$AD$104,"&gt;=1"))</f>
        <v/>
      </c>
      <c r="E29" s="210" t="str">
        <f aca="false">IF($A29="","",IFERROR(AVERAGEIFS($AD$55:$AD$104,$B$55:$B$104,$A29,$AD$55:$AD$104,"&lt;&gt;"),""))</f>
        <v/>
      </c>
      <c r="F29" s="209" t="str">
        <f aca="false">IF($A29="","",SUMIFS($AJ$55:$AJ$104,$B$55:$B$104,$A29))</f>
        <v/>
      </c>
      <c r="G29" s="209" t="str">
        <f aca="false">IF($A29="","",IF(C29=0,"Pas de donnee",IF(E29&gt;=1,"Excellent",IF(E29&gt;=0.8,"Bon",IF(E29&gt;=0.6,"Moyen","A surveiller")))))</f>
        <v/>
      </c>
    </row>
    <row r="30" customFormat="false" ht="15" hidden="false" customHeight="true" outlineLevel="0" collapsed="false">
      <c r="A30" s="64" t="str">
        <f aca="false">IF(PROJETS!A74="","",PROJETS!A74)</f>
        <v/>
      </c>
      <c r="B30" s="211" t="str">
        <f aca="false">IF($A30="","",IFERROR(INDEX(tbl_Projets[Titre complet du projet],MATCH($A30,tbl_Projets[ID Projet],0)),""))</f>
        <v/>
      </c>
      <c r="C30" s="209" t="str">
        <f aca="false">IF($A30="","",COUNTIFS($B$55:$B$104,$A30))</f>
        <v/>
      </c>
      <c r="D30" s="209" t="str">
        <f aca="false">IF($A30="","",COUNTIFS($B$55:$B$104,$A30,$AD$55:$AD$104,"&gt;=1"))</f>
        <v/>
      </c>
      <c r="E30" s="210" t="str">
        <f aca="false">IF($A30="","",IFERROR(AVERAGEIFS($AD$55:$AD$104,$B$55:$B$104,$A30,$AD$55:$AD$104,"&lt;&gt;"),""))</f>
        <v/>
      </c>
      <c r="F30" s="209" t="str">
        <f aca="false">IF($A30="","",SUMIFS($AJ$55:$AJ$104,$B$55:$B$104,$A30))</f>
        <v/>
      </c>
      <c r="G30" s="209" t="str">
        <f aca="false">IF($A30="","",IF(C30=0,"Pas de donnee",IF(E30&gt;=1,"Excellent",IF(E30&gt;=0.8,"Bon",IF(E30&gt;=0.6,"Moyen","A surveiller")))))</f>
        <v/>
      </c>
    </row>
    <row r="31" customFormat="false" ht="15" hidden="false" customHeight="true" outlineLevel="0" collapsed="false">
      <c r="A31" s="64" t="str">
        <f aca="false">IF(PROJETS!A75="","",PROJETS!A75)</f>
        <v/>
      </c>
      <c r="B31" s="211" t="str">
        <f aca="false">IF($A31="","",IFERROR(INDEX(tbl_Projets[Titre complet du projet],MATCH($A31,tbl_Projets[ID Projet],0)),""))</f>
        <v/>
      </c>
      <c r="C31" s="209" t="str">
        <f aca="false">IF($A31="","",COUNTIFS($B$55:$B$104,$A31))</f>
        <v/>
      </c>
      <c r="D31" s="209" t="str">
        <f aca="false">IF($A31="","",COUNTIFS($B$55:$B$104,$A31,$AD$55:$AD$104,"&gt;=1"))</f>
        <v/>
      </c>
      <c r="E31" s="210" t="str">
        <f aca="false">IF($A31="","",IFERROR(AVERAGEIFS($AD$55:$AD$104,$B$55:$B$104,$A31,$AD$55:$AD$104,"&lt;&gt;"),""))</f>
        <v/>
      </c>
      <c r="F31" s="209" t="str">
        <f aca="false">IF($A31="","",SUMIFS($AJ$55:$AJ$104,$B$55:$B$104,$A31))</f>
        <v/>
      </c>
      <c r="G31" s="209" t="str">
        <f aca="false">IF($A31="","",IF(C31=0,"Pas de donnee",IF(E31&gt;=1,"Excellent",IF(E31&gt;=0.8,"Bon",IF(E31&gt;=0.6,"Moyen","A surveiller")))))</f>
        <v/>
      </c>
    </row>
    <row r="32" customFormat="false" ht="15" hidden="false" customHeight="true" outlineLevel="0" collapsed="false">
      <c r="A32" s="64" t="str">
        <f aca="false">IF(PROJETS!A76="","",PROJETS!A76)</f>
        <v/>
      </c>
      <c r="B32" s="211" t="str">
        <f aca="false">IF($A32="","",IFERROR(INDEX(tbl_Projets[Titre complet du projet],MATCH($A32,tbl_Projets[ID Projet],0)),""))</f>
        <v/>
      </c>
      <c r="C32" s="209" t="str">
        <f aca="false">IF($A32="","",COUNTIFS($B$55:$B$104,$A32))</f>
        <v/>
      </c>
      <c r="D32" s="209" t="str">
        <f aca="false">IF($A32="","",COUNTIFS($B$55:$B$104,$A32,$AD$55:$AD$104,"&gt;=1"))</f>
        <v/>
      </c>
      <c r="E32" s="210" t="str">
        <f aca="false">IF($A32="","",IFERROR(AVERAGEIFS($AD$55:$AD$104,$B$55:$B$104,$A32,$AD$55:$AD$104,"&lt;&gt;"),""))</f>
        <v/>
      </c>
      <c r="F32" s="209" t="str">
        <f aca="false">IF($A32="","",SUMIFS($AJ$55:$AJ$104,$B$55:$B$104,$A32))</f>
        <v/>
      </c>
      <c r="G32" s="209" t="str">
        <f aca="false">IF($A32="","",IF(C32=0,"Pas de donnee",IF(E32&gt;=1,"Excellent",IF(E32&gt;=0.8,"Bon",IF(E32&gt;=0.6,"Moyen","A surveiller")))))</f>
        <v/>
      </c>
    </row>
    <row r="33" customFormat="false" ht="15" hidden="false" customHeight="true" outlineLevel="0" collapsed="false">
      <c r="A33" s="64" t="str">
        <f aca="false">IF(PROJETS!A77="","",PROJETS!A77)</f>
        <v/>
      </c>
      <c r="B33" s="211" t="str">
        <f aca="false">IF($A33="","",IFERROR(INDEX(tbl_Projets[Titre complet du projet],MATCH($A33,tbl_Projets[ID Projet],0)),""))</f>
        <v/>
      </c>
      <c r="C33" s="209" t="str">
        <f aca="false">IF($A33="","",COUNTIFS($B$55:$B$104,$A33))</f>
        <v/>
      </c>
      <c r="D33" s="209" t="str">
        <f aca="false">IF($A33="","",COUNTIFS($B$55:$B$104,$A33,$AD$55:$AD$104,"&gt;=1"))</f>
        <v/>
      </c>
      <c r="E33" s="210" t="str">
        <f aca="false">IF($A33="","",IFERROR(AVERAGEIFS($AD$55:$AD$104,$B$55:$B$104,$A33,$AD$55:$AD$104,"&lt;&gt;"),""))</f>
        <v/>
      </c>
      <c r="F33" s="209" t="str">
        <f aca="false">IF($A33="","",SUMIFS($AJ$55:$AJ$104,$B$55:$B$104,$A33))</f>
        <v/>
      </c>
      <c r="G33" s="209" t="str">
        <f aca="false">IF($A33="","",IF(C33=0,"Pas de donnee",IF(E33&gt;=1,"Excellent",IF(E33&gt;=0.8,"Bon",IF(E33&gt;=0.6,"Moyen","A surveiller")))))</f>
        <v/>
      </c>
    </row>
    <row r="34" customFormat="false" ht="15" hidden="false" customHeight="true" outlineLevel="0" collapsed="false">
      <c r="A34" s="64" t="str">
        <f aca="false">IF(PROJETS!A78="","",PROJETS!A78)</f>
        <v/>
      </c>
      <c r="B34" s="211" t="str">
        <f aca="false">IF($A34="","",IFERROR(INDEX(tbl_Projets[Titre complet du projet],MATCH($A34,tbl_Projets[ID Projet],0)),""))</f>
        <v/>
      </c>
      <c r="C34" s="209" t="str">
        <f aca="false">IF($A34="","",COUNTIFS($B$55:$B$104,$A34))</f>
        <v/>
      </c>
      <c r="D34" s="209" t="str">
        <f aca="false">IF($A34="","",COUNTIFS($B$55:$B$104,$A34,$AD$55:$AD$104,"&gt;=1"))</f>
        <v/>
      </c>
      <c r="E34" s="210" t="str">
        <f aca="false">IF($A34="","",IFERROR(AVERAGEIFS($AD$55:$AD$104,$B$55:$B$104,$A34,$AD$55:$AD$104,"&lt;&gt;"),""))</f>
        <v/>
      </c>
      <c r="F34" s="209" t="str">
        <f aca="false">IF($A34="","",SUMIFS($AJ$55:$AJ$104,$B$55:$B$104,$A34))</f>
        <v/>
      </c>
      <c r="G34" s="209" t="str">
        <f aca="false">IF($A34="","",IF(C34=0,"Pas de donnee",IF(E34&gt;=1,"Excellent",IF(E34&gt;=0.8,"Bon",IF(E34&gt;=0.6,"Moyen","A surveiller")))))</f>
        <v/>
      </c>
    </row>
    <row r="35" customFormat="false" ht="15" hidden="false" customHeight="true" outlineLevel="0" collapsed="false">
      <c r="A35" s="64" t="str">
        <f aca="false">IF(PROJETS!A79="","",PROJETS!A79)</f>
        <v/>
      </c>
      <c r="B35" s="211" t="str">
        <f aca="false">IF($A35="","",IFERROR(INDEX(tbl_Projets[Titre complet du projet],MATCH($A35,tbl_Projets[ID Projet],0)),""))</f>
        <v/>
      </c>
      <c r="C35" s="209" t="str">
        <f aca="false">IF($A35="","",COUNTIFS($B$55:$B$104,$A35))</f>
        <v/>
      </c>
      <c r="D35" s="209" t="str">
        <f aca="false">IF($A35="","",COUNTIFS($B$55:$B$104,$A35,$AD$55:$AD$104,"&gt;=1"))</f>
        <v/>
      </c>
      <c r="E35" s="210" t="str">
        <f aca="false">IF($A35="","",IFERROR(AVERAGEIFS($AD$55:$AD$104,$B$55:$B$104,$A35,$AD$55:$AD$104,"&lt;&gt;"),""))</f>
        <v/>
      </c>
      <c r="F35" s="209" t="str">
        <f aca="false">IF($A35="","",SUMIFS($AJ$55:$AJ$104,$B$55:$B$104,$A35))</f>
        <v/>
      </c>
      <c r="G35" s="209" t="str">
        <f aca="false">IF($A35="","",IF(C35=0,"Pas de donnee",IF(E35&gt;=1,"Excellent",IF(E35&gt;=0.8,"Bon",IF(E35&gt;=0.6,"Moyen","A surveiller")))))</f>
        <v/>
      </c>
    </row>
    <row r="36" customFormat="false" ht="15" hidden="false" customHeight="true" outlineLevel="0" collapsed="false">
      <c r="A36" s="64" t="str">
        <f aca="false">IF(PROJETS!A80="","",PROJETS!A80)</f>
        <v/>
      </c>
      <c r="B36" s="211" t="str">
        <f aca="false">IF($A36="","",IFERROR(INDEX(tbl_Projets[Titre complet du projet],MATCH($A36,tbl_Projets[ID Projet],0)),""))</f>
        <v/>
      </c>
      <c r="C36" s="209" t="str">
        <f aca="false">IF($A36="","",COUNTIFS($B$55:$B$104,$A36))</f>
        <v/>
      </c>
      <c r="D36" s="209" t="str">
        <f aca="false">IF($A36="","",COUNTIFS($B$55:$B$104,$A36,$AD$55:$AD$104,"&gt;=1"))</f>
        <v/>
      </c>
      <c r="E36" s="210" t="str">
        <f aca="false">IF($A36="","",IFERROR(AVERAGEIFS($AD$55:$AD$104,$B$55:$B$104,$A36,$AD$55:$AD$104,"&lt;&gt;"),""))</f>
        <v/>
      </c>
      <c r="F36" s="209" t="str">
        <f aca="false">IF($A36="","",SUMIFS($AJ$55:$AJ$104,$B$55:$B$104,$A36))</f>
        <v/>
      </c>
      <c r="G36" s="209" t="str">
        <f aca="false">IF($A36="","",IF(C36=0,"Pas de donnee",IF(E36&gt;=1,"Excellent",IF(E36&gt;=0.8,"Bon",IF(E36&gt;=0.6,"Moyen","A surveiller")))))</f>
        <v/>
      </c>
    </row>
    <row r="37" customFormat="false" ht="15" hidden="false" customHeight="true" outlineLevel="0" collapsed="false">
      <c r="A37" s="64" t="str">
        <f aca="false">IF(PROJETS!A81="","",PROJETS!A81)</f>
        <v/>
      </c>
      <c r="B37" s="211" t="str">
        <f aca="false">IF($A37="","",IFERROR(INDEX(tbl_Projets[Titre complet du projet],MATCH($A37,tbl_Projets[ID Projet],0)),""))</f>
        <v/>
      </c>
      <c r="C37" s="209" t="str">
        <f aca="false">IF($A37="","",COUNTIFS($B$55:$B$104,$A37))</f>
        <v/>
      </c>
      <c r="D37" s="209" t="str">
        <f aca="false">IF($A37="","",COUNTIFS($B$55:$B$104,$A37,$AD$55:$AD$104,"&gt;=1"))</f>
        <v/>
      </c>
      <c r="E37" s="210" t="str">
        <f aca="false">IF($A37="","",IFERROR(AVERAGEIFS($AD$55:$AD$104,$B$55:$B$104,$A37,$AD$55:$AD$104,"&lt;&gt;"),""))</f>
        <v/>
      </c>
      <c r="F37" s="209" t="str">
        <f aca="false">IF($A37="","",SUMIFS($AJ$55:$AJ$104,$B$55:$B$104,$A37))</f>
        <v/>
      </c>
      <c r="G37" s="209" t="str">
        <f aca="false">IF($A37="","",IF(C37=0,"Pas de donnee",IF(E37&gt;=1,"Excellent",IF(E37&gt;=0.8,"Bon",IF(E37&gt;=0.6,"Moyen","A surveiller")))))</f>
        <v/>
      </c>
    </row>
    <row r="38" customFormat="false" ht="15" hidden="false" customHeight="true" outlineLevel="0" collapsed="false">
      <c r="A38" s="64" t="str">
        <f aca="false">IF(PROJETS!A82="","",PROJETS!A82)</f>
        <v/>
      </c>
      <c r="B38" s="211" t="str">
        <f aca="false">IF($A38="","",IFERROR(INDEX(tbl_Projets[Titre complet du projet],MATCH($A38,tbl_Projets[ID Projet],0)),""))</f>
        <v/>
      </c>
      <c r="C38" s="209" t="str">
        <f aca="false">IF($A38="","",COUNTIFS($B$55:$B$104,$A38))</f>
        <v/>
      </c>
      <c r="D38" s="209" t="str">
        <f aca="false">IF($A38="","",COUNTIFS($B$55:$B$104,$A38,$AD$55:$AD$104,"&gt;=1"))</f>
        <v/>
      </c>
      <c r="E38" s="210" t="str">
        <f aca="false">IF($A38="","",IFERROR(AVERAGEIFS($AD$55:$AD$104,$B$55:$B$104,$A38,$AD$55:$AD$104,"&lt;&gt;"),""))</f>
        <v/>
      </c>
      <c r="F38" s="209" t="str">
        <f aca="false">IF($A38="","",SUMIFS($AJ$55:$AJ$104,$B$55:$B$104,$A38))</f>
        <v/>
      </c>
      <c r="G38" s="209" t="str">
        <f aca="false">IF($A38="","",IF(C38=0,"Pas de donnee",IF(E38&gt;=1,"Excellent",IF(E38&gt;=0.8,"Bon",IF(E38&gt;=0.6,"Moyen","A surveiller")))))</f>
        <v/>
      </c>
    </row>
    <row r="39" customFormat="false" ht="15" hidden="false" customHeight="true" outlineLevel="0" collapsed="false">
      <c r="A39" s="64" t="str">
        <f aca="false">IF(PROJETS!A83="","",PROJETS!A83)</f>
        <v/>
      </c>
      <c r="B39" s="211" t="str">
        <f aca="false">IF($A39="","",IFERROR(INDEX(tbl_Projets[Titre complet du projet],MATCH($A39,tbl_Projets[ID Projet],0)),""))</f>
        <v/>
      </c>
      <c r="C39" s="209" t="str">
        <f aca="false">IF($A39="","",COUNTIFS($B$55:$B$104,$A39))</f>
        <v/>
      </c>
      <c r="D39" s="209" t="str">
        <f aca="false">IF($A39="","",COUNTIFS($B$55:$B$104,$A39,$AD$55:$AD$104,"&gt;=1"))</f>
        <v/>
      </c>
      <c r="E39" s="210" t="str">
        <f aca="false">IF($A39="","",IFERROR(AVERAGEIFS($AD$55:$AD$104,$B$55:$B$104,$A39,$AD$55:$AD$104,"&lt;&gt;"),""))</f>
        <v/>
      </c>
      <c r="F39" s="209" t="str">
        <f aca="false">IF($A39="","",SUMIFS($AJ$55:$AJ$104,$B$55:$B$104,$A39))</f>
        <v/>
      </c>
      <c r="G39" s="209" t="str">
        <f aca="false">IF($A39="","",IF(C39=0,"Pas de donnee",IF(E39&gt;=1,"Excellent",IF(E39&gt;=0.8,"Bon",IF(E39&gt;=0.6,"Moyen","A surveiller")))))</f>
        <v/>
      </c>
    </row>
    <row r="40" customFormat="false" ht="15" hidden="false" customHeight="true" outlineLevel="0" collapsed="false">
      <c r="A40" s="64" t="str">
        <f aca="false">IF(PROJETS!A84="","",PROJETS!A84)</f>
        <v/>
      </c>
      <c r="B40" s="211" t="str">
        <f aca="false">IF($A40="","",IFERROR(INDEX(tbl_Projets[Titre complet du projet],MATCH($A40,tbl_Projets[ID Projet],0)),""))</f>
        <v/>
      </c>
      <c r="C40" s="209" t="str">
        <f aca="false">IF($A40="","",COUNTIFS($B$55:$B$104,$A40))</f>
        <v/>
      </c>
      <c r="D40" s="209" t="str">
        <f aca="false">IF($A40="","",COUNTIFS($B$55:$B$104,$A40,$AD$55:$AD$104,"&gt;=1"))</f>
        <v/>
      </c>
      <c r="E40" s="210" t="str">
        <f aca="false">IF($A40="","",IFERROR(AVERAGEIFS($AD$55:$AD$104,$B$55:$B$104,$A40,$AD$55:$AD$104,"&lt;&gt;"),""))</f>
        <v/>
      </c>
      <c r="F40" s="209" t="str">
        <f aca="false">IF($A40="","",SUMIFS($AJ$55:$AJ$104,$B$55:$B$104,$A40))</f>
        <v/>
      </c>
      <c r="G40" s="209" t="str">
        <f aca="false">IF($A40="","",IF(C40=0,"Pas de donnee",IF(E40&gt;=1,"Excellent",IF(E40&gt;=0.8,"Bon",IF(E40&gt;=0.6,"Moyen","A surveiller")))))</f>
        <v/>
      </c>
    </row>
    <row r="41" customFormat="false" ht="15" hidden="false" customHeight="true" outlineLevel="0" collapsed="false">
      <c r="A41" s="64" t="str">
        <f aca="false">IF(PROJETS!A85="","",PROJETS!A85)</f>
        <v/>
      </c>
      <c r="B41" s="211" t="str">
        <f aca="false">IF($A41="","",IFERROR(INDEX(tbl_Projets[Titre complet du projet],MATCH($A41,tbl_Projets[ID Projet],0)),""))</f>
        <v/>
      </c>
      <c r="C41" s="209" t="str">
        <f aca="false">IF($A41="","",COUNTIFS($B$55:$B$104,$A41))</f>
        <v/>
      </c>
      <c r="D41" s="209" t="str">
        <f aca="false">IF($A41="","",COUNTIFS($B$55:$B$104,$A41,$AD$55:$AD$104,"&gt;=1"))</f>
        <v/>
      </c>
      <c r="E41" s="210" t="str">
        <f aca="false">IF($A41="","",IFERROR(AVERAGEIFS($AD$55:$AD$104,$B$55:$B$104,$A41,$AD$55:$AD$104,"&lt;&gt;"),""))</f>
        <v/>
      </c>
      <c r="F41" s="209" t="str">
        <f aca="false">IF($A41="","",SUMIFS($AJ$55:$AJ$104,$B$55:$B$104,$A41))</f>
        <v/>
      </c>
      <c r="G41" s="209" t="str">
        <f aca="false">IF($A41="","",IF(C41=0,"Pas de donnee",IF(E41&gt;=1,"Excellent",IF(E41&gt;=0.8,"Bon",IF(E41&gt;=0.6,"Moyen","A surveiller")))))</f>
        <v/>
      </c>
    </row>
    <row r="42" customFormat="false" ht="15" hidden="false" customHeight="true" outlineLevel="0" collapsed="false">
      <c r="A42" s="64" t="str">
        <f aca="false">IF(PROJETS!A86="","",PROJETS!A86)</f>
        <v/>
      </c>
      <c r="B42" s="211" t="str">
        <f aca="false">IF($A42="","",IFERROR(INDEX(tbl_Projets[Titre complet du projet],MATCH($A42,tbl_Projets[ID Projet],0)),""))</f>
        <v/>
      </c>
      <c r="C42" s="209" t="str">
        <f aca="false">IF($A42="","",COUNTIFS($B$55:$B$104,$A42))</f>
        <v/>
      </c>
      <c r="D42" s="209" t="str">
        <f aca="false">IF($A42="","",COUNTIFS($B$55:$B$104,$A42,$AD$55:$AD$104,"&gt;=1"))</f>
        <v/>
      </c>
      <c r="E42" s="210" t="str">
        <f aca="false">IF($A42="","",IFERROR(AVERAGEIFS($AD$55:$AD$104,$B$55:$B$104,$A42,$AD$55:$AD$104,"&lt;&gt;"),""))</f>
        <v/>
      </c>
      <c r="F42" s="209" t="str">
        <f aca="false">IF($A42="","",SUMIFS($AJ$55:$AJ$104,$B$55:$B$104,$A42))</f>
        <v/>
      </c>
      <c r="G42" s="209" t="str">
        <f aca="false">IF($A42="","",IF(C42=0,"Pas de donnee",IF(E42&gt;=1,"Excellent",IF(E42&gt;=0.8,"Bon",IF(E42&gt;=0.6,"Moyen","A surveiller")))))</f>
        <v/>
      </c>
    </row>
    <row r="43" customFormat="false" ht="15" hidden="false" customHeight="true" outlineLevel="0" collapsed="false">
      <c r="A43" s="64" t="str">
        <f aca="false">IF(PROJETS!A87="","",PROJETS!A87)</f>
        <v/>
      </c>
      <c r="B43" s="211" t="str">
        <f aca="false">IF($A43="","",IFERROR(INDEX(tbl_Projets[Titre complet du projet],MATCH($A43,tbl_Projets[ID Projet],0)),""))</f>
        <v/>
      </c>
      <c r="C43" s="209" t="str">
        <f aca="false">IF($A43="","",COUNTIFS($B$55:$B$104,$A43))</f>
        <v/>
      </c>
      <c r="D43" s="209" t="str">
        <f aca="false">IF($A43="","",COUNTIFS($B$55:$B$104,$A43,$AD$55:$AD$104,"&gt;=1"))</f>
        <v/>
      </c>
      <c r="E43" s="210" t="str">
        <f aca="false">IF($A43="","",IFERROR(AVERAGEIFS($AD$55:$AD$104,$B$55:$B$104,$A43,$AD$55:$AD$104,"&lt;&gt;"),""))</f>
        <v/>
      </c>
      <c r="F43" s="209" t="str">
        <f aca="false">IF($A43="","",SUMIFS($AJ$55:$AJ$104,$B$55:$B$104,$A43))</f>
        <v/>
      </c>
      <c r="G43" s="209" t="str">
        <f aca="false">IF($A43="","",IF(C43=0,"Pas de donnee",IF(E43&gt;=1,"Excellent",IF(E43&gt;=0.8,"Bon",IF(E43&gt;=0.6,"Moyen","A surveiller")))))</f>
        <v/>
      </c>
    </row>
    <row r="44" customFormat="false" ht="15" hidden="false" customHeight="true" outlineLevel="0" collapsed="false">
      <c r="A44" s="64" t="str">
        <f aca="false">IF(PROJETS!A88="","",PROJETS!A88)</f>
        <v/>
      </c>
      <c r="B44" s="211" t="str">
        <f aca="false">IF($A44="","",IFERROR(INDEX(tbl_Projets[Titre complet du projet],MATCH($A44,tbl_Projets[ID Projet],0)),""))</f>
        <v/>
      </c>
      <c r="C44" s="209" t="str">
        <f aca="false">IF($A44="","",COUNTIFS($B$55:$B$104,$A44))</f>
        <v/>
      </c>
      <c r="D44" s="209" t="str">
        <f aca="false">IF($A44="","",COUNTIFS($B$55:$B$104,$A44,$AD$55:$AD$104,"&gt;=1"))</f>
        <v/>
      </c>
      <c r="E44" s="210" t="str">
        <f aca="false">IF($A44="","",IFERROR(AVERAGEIFS($AD$55:$AD$104,$B$55:$B$104,$A44,$AD$55:$AD$104,"&lt;&gt;"),""))</f>
        <v/>
      </c>
      <c r="F44" s="209" t="str">
        <f aca="false">IF($A44="","",SUMIFS($AJ$55:$AJ$104,$B$55:$B$104,$A44))</f>
        <v/>
      </c>
      <c r="G44" s="209" t="str">
        <f aca="false">IF($A44="","",IF(C44=0,"Pas de donnee",IF(E44&gt;=1,"Excellent",IF(E44&gt;=0.8,"Bon",IF(E44&gt;=0.6,"Moyen","A surveiller")))))</f>
        <v/>
      </c>
    </row>
    <row r="45" customFormat="false" ht="15" hidden="false" customHeight="true" outlineLevel="0" collapsed="false">
      <c r="A45" s="64" t="str">
        <f aca="false">IF(PROJETS!A89="","",PROJETS!A89)</f>
        <v/>
      </c>
      <c r="B45" s="211" t="str">
        <f aca="false">IF($A45="","",IFERROR(INDEX(tbl_Projets[Titre complet du projet],MATCH($A45,tbl_Projets[ID Projet],0)),""))</f>
        <v/>
      </c>
      <c r="C45" s="209" t="str">
        <f aca="false">IF($A45="","",COUNTIFS($B$55:$B$104,$A45))</f>
        <v/>
      </c>
      <c r="D45" s="209" t="str">
        <f aca="false">IF($A45="","",COUNTIFS($B$55:$B$104,$A45,$AD$55:$AD$104,"&gt;=1"))</f>
        <v/>
      </c>
      <c r="E45" s="210" t="str">
        <f aca="false">IF($A45="","",IFERROR(AVERAGEIFS($AD$55:$AD$104,$B$55:$B$104,$A45,$AD$55:$AD$104,"&lt;&gt;"),""))</f>
        <v/>
      </c>
      <c r="F45" s="209" t="str">
        <f aca="false">IF($A45="","",SUMIFS($AJ$55:$AJ$104,$B$55:$B$104,$A45))</f>
        <v/>
      </c>
      <c r="G45" s="209" t="str">
        <f aca="false">IF($A45="","",IF(C45=0,"Pas de donnee",IF(E45&gt;=1,"Excellent",IF(E45&gt;=0.8,"Bon",IF(E45&gt;=0.6,"Moyen","A surveiller")))))</f>
        <v/>
      </c>
    </row>
    <row r="46" customFormat="false" ht="15" hidden="false" customHeight="true" outlineLevel="0" collapsed="false">
      <c r="A46" s="64" t="str">
        <f aca="false">IF(PROJETS!A90="","",PROJETS!A90)</f>
        <v/>
      </c>
      <c r="B46" s="211" t="str">
        <f aca="false">IF($A46="","",IFERROR(INDEX(tbl_Projets[Titre complet du projet],MATCH($A46,tbl_Projets[ID Projet],0)),""))</f>
        <v/>
      </c>
      <c r="C46" s="209" t="str">
        <f aca="false">IF($A46="","",COUNTIFS($B$55:$B$104,$A46))</f>
        <v/>
      </c>
      <c r="D46" s="209" t="str">
        <f aca="false">IF($A46="","",COUNTIFS($B$55:$B$104,$A46,$AD$55:$AD$104,"&gt;=1"))</f>
        <v/>
      </c>
      <c r="E46" s="210" t="str">
        <f aca="false">IF($A46="","",IFERROR(AVERAGEIFS($AD$55:$AD$104,$B$55:$B$104,$A46,$AD$55:$AD$104,"&lt;&gt;"),""))</f>
        <v/>
      </c>
      <c r="F46" s="209" t="str">
        <f aca="false">IF($A46="","",SUMIFS($AJ$55:$AJ$104,$B$55:$B$104,$A46))</f>
        <v/>
      </c>
      <c r="G46" s="209" t="str">
        <f aca="false">IF($A46="","",IF(C46=0,"Pas de donnee",IF(E46&gt;=1,"Excellent",IF(E46&gt;=0.8,"Bon",IF(E46&gt;=0.6,"Moyen","A surveiller")))))</f>
        <v/>
      </c>
    </row>
    <row r="47" customFormat="false" ht="15" hidden="false" customHeight="true" outlineLevel="0" collapsed="false">
      <c r="A47" s="64" t="str">
        <f aca="false">IF(PROJETS!A91="","",PROJETS!A91)</f>
        <v/>
      </c>
      <c r="B47" s="211" t="str">
        <f aca="false">IF($A47="","",IFERROR(INDEX(tbl_Projets[Titre complet du projet],MATCH($A47,tbl_Projets[ID Projet],0)),""))</f>
        <v/>
      </c>
      <c r="C47" s="209" t="str">
        <f aca="false">IF($A47="","",COUNTIFS($B$55:$B$104,$A47))</f>
        <v/>
      </c>
      <c r="D47" s="209" t="str">
        <f aca="false">IF($A47="","",COUNTIFS($B$55:$B$104,$A47,$AD$55:$AD$104,"&gt;=1"))</f>
        <v/>
      </c>
      <c r="E47" s="210" t="str">
        <f aca="false">IF($A47="","",IFERROR(AVERAGEIFS($AD$55:$AD$104,$B$55:$B$104,$A47,$AD$55:$AD$104,"&lt;&gt;"),""))</f>
        <v/>
      </c>
      <c r="F47" s="209" t="str">
        <f aca="false">IF($A47="","",SUMIFS($AJ$55:$AJ$104,$B$55:$B$104,$A47))</f>
        <v/>
      </c>
      <c r="G47" s="209" t="str">
        <f aca="false">IF($A47="","",IF(C47=0,"Pas de donnee",IF(E47&gt;=1,"Excellent",IF(E47&gt;=0.8,"Bon",IF(E47&gt;=0.6,"Moyen","A surveiller")))))</f>
        <v/>
      </c>
    </row>
    <row r="48" customFormat="false" ht="15" hidden="false" customHeight="true" outlineLevel="0" collapsed="false">
      <c r="A48" s="64" t="str">
        <f aca="false">IF(PROJETS!A92="","",PROJETS!A92)</f>
        <v/>
      </c>
      <c r="B48" s="211" t="str">
        <f aca="false">IF($A48="","",IFERROR(INDEX(tbl_Projets[Titre complet du projet],MATCH($A48,tbl_Projets[ID Projet],0)),""))</f>
        <v/>
      </c>
      <c r="C48" s="209" t="str">
        <f aca="false">IF($A48="","",COUNTIFS($B$55:$B$104,$A48))</f>
        <v/>
      </c>
      <c r="D48" s="209" t="str">
        <f aca="false">IF($A48="","",COUNTIFS($B$55:$B$104,$A48,$AD$55:$AD$104,"&gt;=1"))</f>
        <v/>
      </c>
      <c r="E48" s="210" t="str">
        <f aca="false">IF($A48="","",IFERROR(AVERAGEIFS($AD$55:$AD$104,$B$55:$B$104,$A48,$AD$55:$AD$104,"&lt;&gt;"),""))</f>
        <v/>
      </c>
      <c r="F48" s="209" t="str">
        <f aca="false">IF($A48="","",SUMIFS($AJ$55:$AJ$104,$B$55:$B$104,$A48))</f>
        <v/>
      </c>
      <c r="G48" s="209" t="str">
        <f aca="false">IF($A48="","",IF(C48=0,"Pas de donnee",IF(E48&gt;=1,"Excellent",IF(E48&gt;=0.8,"Bon",IF(E48&gt;=0.6,"Moyen","A surveiller")))))</f>
        <v/>
      </c>
    </row>
    <row r="49" customFormat="false" ht="15" hidden="false" customHeight="true" outlineLevel="0" collapsed="false">
      <c r="A49" s="64" t="str">
        <f aca="false">IF(PROJETS!A93="","",PROJETS!A93)</f>
        <v/>
      </c>
      <c r="B49" s="211" t="str">
        <f aca="false">IF($A49="","",IFERROR(INDEX(tbl_Projets[Titre complet du projet],MATCH($A49,tbl_Projets[ID Projet],0)),""))</f>
        <v/>
      </c>
      <c r="C49" s="209" t="str">
        <f aca="false">IF($A49="","",COUNTIFS($B$55:$B$104,$A49))</f>
        <v/>
      </c>
      <c r="D49" s="209" t="str">
        <f aca="false">IF($A49="","",COUNTIFS($B$55:$B$104,$A49,$AD$55:$AD$104,"&gt;=1"))</f>
        <v/>
      </c>
      <c r="E49" s="210" t="str">
        <f aca="false">IF($A49="","",IFERROR(AVERAGEIFS($AD$55:$AD$104,$B$55:$B$104,$A49,$AD$55:$AD$104,"&lt;&gt;"),""))</f>
        <v/>
      </c>
      <c r="F49" s="209" t="str">
        <f aca="false">IF($A49="","",SUMIFS($AJ$55:$AJ$104,$B$55:$B$104,$A49))</f>
        <v/>
      </c>
      <c r="G49" s="209" t="str">
        <f aca="false">IF($A49="","",IF(C49=0,"Pas de donnee",IF(E49&gt;=1,"Excellent",IF(E49&gt;=0.8,"Bon",IF(E49&gt;=0.6,"Moyen","A surveiller")))))</f>
        <v/>
      </c>
    </row>
    <row r="50" customFormat="false" ht="15" hidden="false" customHeight="true" outlineLevel="0" collapsed="false">
      <c r="A50" s="64" t="str">
        <f aca="false">IF(PROJETS!A94="","",PROJETS!A94)</f>
        <v/>
      </c>
      <c r="B50" s="211" t="str">
        <f aca="false">IF($A50="","",IFERROR(INDEX(tbl_Projets[Titre complet du projet],MATCH($A50,tbl_Projets[ID Projet],0)),""))</f>
        <v/>
      </c>
      <c r="C50" s="209" t="str">
        <f aca="false">IF($A50="","",COUNTIFS($B$55:$B$104,$A50))</f>
        <v/>
      </c>
      <c r="D50" s="209" t="str">
        <f aca="false">IF($A50="","",COUNTIFS($B$55:$B$104,$A50,$AD$55:$AD$104,"&gt;=1"))</f>
        <v/>
      </c>
      <c r="E50" s="210" t="str">
        <f aca="false">IF($A50="","",IFERROR(AVERAGEIFS($AD$55:$AD$104,$B$55:$B$104,$A50,$AD$55:$AD$104,"&lt;&gt;"),""))</f>
        <v/>
      </c>
      <c r="F50" s="209" t="str">
        <f aca="false">IF($A50="","",SUMIFS($AJ$55:$AJ$104,$B$55:$B$104,$A50))</f>
        <v/>
      </c>
      <c r="G50" s="209" t="str">
        <f aca="false">IF($A50="","",IF(C50=0,"Pas de donnee",IF(E50&gt;=1,"Excellent",IF(E50&gt;=0.8,"Bon",IF(E50&gt;=0.6,"Moyen","A surveiller")))))</f>
        <v/>
      </c>
    </row>
    <row r="51" customFormat="false" ht="15" hidden="false" customHeight="true" outlineLevel="0" collapsed="false">
      <c r="A51" s="64" t="str">
        <f aca="false">IF(PROJETS!A95="","",PROJETS!A95)</f>
        <v/>
      </c>
      <c r="B51" s="211" t="str">
        <f aca="false">IF($A51="","",IFERROR(INDEX(tbl_Projets[Titre complet du projet],MATCH($A51,tbl_Projets[ID Projet],0)),""))</f>
        <v/>
      </c>
      <c r="C51" s="209" t="str">
        <f aca="false">IF($A51="","",COUNTIFS($B$55:$B$104,$A51))</f>
        <v/>
      </c>
      <c r="D51" s="209" t="str">
        <f aca="false">IF($A51="","",COUNTIFS($B$55:$B$104,$A51,$AD$55:$AD$104,"&gt;=1"))</f>
        <v/>
      </c>
      <c r="E51" s="210" t="str">
        <f aca="false">IF($A51="","",IFERROR(AVERAGEIFS($AD$55:$AD$104,$B$55:$B$104,$A51,$AD$55:$AD$104,"&lt;&gt;"),""))</f>
        <v/>
      </c>
      <c r="F51" s="209" t="str">
        <f aca="false">IF($A51="","",SUMIFS($AJ$55:$AJ$104,$B$55:$B$104,$A51))</f>
        <v/>
      </c>
      <c r="G51" s="209" t="str">
        <f aca="false">IF($A51="","",IF(C51=0,"Pas de donnee",IF(E51&gt;=1,"Excellent",IF(E51&gt;=0.8,"Bon",IF(E51&gt;=0.6,"Moyen","A surveiller")))))</f>
        <v/>
      </c>
    </row>
    <row r="53" customFormat="false" ht="19.5" hidden="false" customHeight="true" outlineLevel="0" collapsed="false">
      <c r="A53" s="207" t="s">
        <v>2355</v>
      </c>
      <c r="B53" s="207"/>
      <c r="C53" s="207"/>
      <c r="D53" s="207"/>
      <c r="E53" s="207"/>
      <c r="F53" s="207"/>
      <c r="G53" s="207"/>
      <c r="H53" s="207"/>
      <c r="I53" s="207"/>
      <c r="J53" s="207"/>
      <c r="K53" s="207"/>
      <c r="L53" s="207"/>
      <c r="M53" s="207"/>
      <c r="N53" s="207"/>
      <c r="O53" s="207"/>
      <c r="P53" s="207"/>
      <c r="Q53" s="207"/>
      <c r="R53" s="207"/>
      <c r="S53" s="207"/>
      <c r="T53" s="207"/>
      <c r="U53" s="207"/>
    </row>
    <row r="54" customFormat="false" ht="39.75" hidden="false" customHeight="true" outlineLevel="0" collapsed="false">
      <c r="A54" s="59" t="s">
        <v>2356</v>
      </c>
      <c r="B54" s="59" t="s">
        <v>1570</v>
      </c>
      <c r="C54" s="59" t="s">
        <v>1508</v>
      </c>
      <c r="D54" s="59" t="s">
        <v>1459</v>
      </c>
      <c r="E54" s="59" t="s">
        <v>1567</v>
      </c>
      <c r="F54" s="59" t="s">
        <v>1696</v>
      </c>
      <c r="G54" s="59" t="s">
        <v>2357</v>
      </c>
      <c r="H54" s="59" t="s">
        <v>1693</v>
      </c>
      <c r="I54" s="59" t="s">
        <v>2358</v>
      </c>
      <c r="J54" s="59" t="s">
        <v>1580</v>
      </c>
      <c r="K54" s="59" t="s">
        <v>1631</v>
      </c>
      <c r="L54" s="59" t="s">
        <v>2359</v>
      </c>
      <c r="M54" s="59" t="s">
        <v>2360</v>
      </c>
      <c r="N54" s="59" t="s">
        <v>2361</v>
      </c>
      <c r="O54" s="59" t="s">
        <v>2362</v>
      </c>
      <c r="P54" s="59" t="s">
        <v>2363</v>
      </c>
      <c r="Q54" s="59" t="s">
        <v>2364</v>
      </c>
      <c r="R54" s="59" t="s">
        <v>2365</v>
      </c>
      <c r="S54" s="59" t="s">
        <v>1581</v>
      </c>
      <c r="T54" s="59" t="s">
        <v>1582</v>
      </c>
      <c r="U54" s="59" t="s">
        <v>2366</v>
      </c>
      <c r="V54" s="59" t="s">
        <v>2367</v>
      </c>
      <c r="W54" s="59" t="s">
        <v>2368</v>
      </c>
      <c r="X54" s="59" t="s">
        <v>2369</v>
      </c>
      <c r="Y54" s="59" t="s">
        <v>2370</v>
      </c>
      <c r="Z54" s="59" t="s">
        <v>2371</v>
      </c>
      <c r="AA54" s="59" t="s">
        <v>1641</v>
      </c>
      <c r="AB54" s="59" t="s">
        <v>2372</v>
      </c>
      <c r="AC54" s="59" t="s">
        <v>86</v>
      </c>
      <c r="AD54" s="59" t="s">
        <v>1772</v>
      </c>
      <c r="AE54" s="59" t="s">
        <v>2373</v>
      </c>
      <c r="AF54" s="59" t="s">
        <v>2043</v>
      </c>
      <c r="AG54" s="59" t="s">
        <v>2307</v>
      </c>
      <c r="AH54" s="59" t="s">
        <v>2374</v>
      </c>
      <c r="AI54" s="59" t="s">
        <v>2349</v>
      </c>
      <c r="AJ54" s="59" t="s">
        <v>2350</v>
      </c>
      <c r="AK54" s="59" t="s">
        <v>2375</v>
      </c>
      <c r="AL54" s="59" t="s">
        <v>2376</v>
      </c>
      <c r="AM54" s="59" t="s">
        <v>2377</v>
      </c>
      <c r="AN54" s="59" t="s">
        <v>2378</v>
      </c>
      <c r="AO54" s="59" t="s">
        <v>882</v>
      </c>
      <c r="AP54" s="59" t="s">
        <v>876</v>
      </c>
      <c r="AQ54" s="59" t="s">
        <v>2379</v>
      </c>
      <c r="AR54" s="59" t="s">
        <v>2380</v>
      </c>
      <c r="AS54" s="59" t="s">
        <v>1524</v>
      </c>
      <c r="AT54" s="59" t="s">
        <v>2381</v>
      </c>
      <c r="AU54" s="59" t="s">
        <v>1520</v>
      </c>
      <c r="AV54" s="59" t="s">
        <v>2382</v>
      </c>
      <c r="AW54" s="59" t="s">
        <v>2383</v>
      </c>
      <c r="AX54" s="59" t="s">
        <v>2384</v>
      </c>
      <c r="AY54" s="59" t="s">
        <v>2153</v>
      </c>
      <c r="AZ54" s="59" t="s">
        <v>1533</v>
      </c>
    </row>
    <row r="55" customFormat="false" ht="15" hidden="false" customHeight="true" outlineLevel="0" collapsed="false">
      <c r="A55" s="212" t="str">
        <f aca="false">IF(M55="","","IND"&amp;TEXT(ROW()-54,"00000"))</f>
        <v/>
      </c>
      <c r="B55" s="213"/>
      <c r="C55" s="214" t="str">
        <f aca="false">IF(B55="","",IFERROR(INDEX(tbl_Projets[Titre complet du projet],MATCH(B55,tbl_Projets[ID Projet],0)),""))</f>
        <v/>
      </c>
      <c r="D55" s="212" t="str">
        <f aca="false">IF(B55="","",IFERROR(INDEX(tbl_Projets[Domaine d''intervention],MATCH(B55,tbl_Projets[ID Projet],0)),""))</f>
        <v/>
      </c>
      <c r="E55" s="212" t="str">
        <f aca="false">IF(B55="","",IFERROR(INDEX(tbl_Projets[Statut du projet],MATCH(B55,tbl_Projets[ID Projet],0)),""))</f>
        <v/>
      </c>
      <c r="F55" s="213"/>
      <c r="G55" s="214" t="str">
        <f aca="false">IF(F55="","",IFERROR(INDEX(tbl_Activites[Intitule de l''activite],MATCH(F55,tbl_Activites[ID Activite],0)),""))</f>
        <v/>
      </c>
      <c r="H55" s="212" t="str">
        <f aca="false">IF(F55="","",IFERROR(INDEX(tbl_Activites[Statut de l''activite],MATCH(F55,tbl_Activites[ID Activite],0)),""))</f>
        <v/>
      </c>
      <c r="I55" s="213"/>
      <c r="J55" s="214" t="str">
        <f aca="false">IF(B55="","",IFERROR(INDEX(tbl_Projets[Objectif general],MATCH(B55,tbl_Projets[ID Projet],0)),""))</f>
        <v/>
      </c>
      <c r="K55" s="213"/>
      <c r="L55" s="213"/>
      <c r="M55" s="213"/>
      <c r="N55" s="213"/>
      <c r="O55" s="213"/>
      <c r="P55" s="213"/>
      <c r="Q55" s="213"/>
      <c r="R55" s="213"/>
      <c r="S55" s="213"/>
      <c r="T55" s="212" t="str">
        <f aca="false">IF(S55="","",IFERROR(INDEX(tbl_RH[Nom complet],MATCH(S55,tbl_RH[ID RH],0)),""))</f>
        <v/>
      </c>
      <c r="U55" s="212" t="str">
        <f aca="false">IF(S55="","",IFERROR(INDEX(tbl_RH[Fonction],MATCH(S55,tbl_RH[ID RH],0)),""))</f>
        <v/>
      </c>
      <c r="V55" s="213"/>
      <c r="W55" s="213"/>
      <c r="X55" s="213"/>
      <c r="Y55" s="213"/>
      <c r="Z55" s="213"/>
      <c r="AA55" s="213"/>
      <c r="AB55" s="213"/>
      <c r="AC55" s="215" t="str">
        <f aca="false">IF(AB55="","",INDEX(PARAMETRES!$C$53:$C$64,MONTH(AB55))&amp;" "&amp;YEAR(AB55))</f>
        <v/>
      </c>
      <c r="AD55" s="216" t="str">
        <f aca="false">IF(OR(M55="",AA55=""),"",IF(AND(Z55&lt;&gt;"",Z55&lt;&gt;0),IFERROR(AA55/Z55,""),IF(AND(Y55&lt;&gt;"",Y55&lt;&gt;0),IFERROR(AA55/Y55,""),"")))</f>
        <v/>
      </c>
      <c r="AE55" s="215" t="str">
        <f aca="false">IF(AD55="","",IF(AND(Z55&lt;&gt;"",Z55&lt;&gt;0),AA55-Z55,IF(AND(Y55&lt;&gt;"",Y55&lt;&gt;0),AA55-Y55,"")))</f>
        <v/>
      </c>
      <c r="AF55" s="216" t="str">
        <f aca="false">IF(AD55="","",AD55-1)</f>
        <v/>
      </c>
      <c r="AG55" s="215" t="str">
        <f aca="false">IF(AD55="","",IF(AD55&gt;=1,"Excellent",IF(AD55&gt;=0.9,"Bon",IF(AD55&gt;=0.7,"Moyen",IF(AD55&gt;=0.5,"Faible","Critique")))))</f>
        <v/>
      </c>
      <c r="AH55" s="215" t="str">
        <f aca="false">IF(AD55="","",IF(AD55&gt;=1,"OK - Cible atteinte",IF(AD55&gt;=0.8,"Attention","Insuffisant")))</f>
        <v/>
      </c>
      <c r="AI55" s="213"/>
      <c r="AJ55" s="213"/>
      <c r="AK55" s="213"/>
      <c r="AL55" s="213"/>
      <c r="AM55" s="213"/>
      <c r="AN55" s="216" t="str">
        <f aca="false">IF(AI55="","",IF(AI55=0,"",IFERROR(AJ55/AI55,"")))</f>
        <v/>
      </c>
      <c r="AO55" s="213"/>
      <c r="AP55" s="212" t="str">
        <f aca="false">IF(AO55="","",IFERROR(INDEX(PARAMETRES!$D$536:$D$586,MATCH(AO55,PARAMETRES!$J$536:$J$586,0)),""))</f>
        <v/>
      </c>
      <c r="AQ55" s="212" t="str">
        <f aca="false">IF(AO55="","",IFERROR(INDEX(PARAMETRES!$F$536:$F$586,MATCH(AO55,PARAMETRES!$J$536:$J$586,0)),""))</f>
        <v/>
      </c>
      <c r="AR55" s="213"/>
      <c r="AS55" s="213"/>
      <c r="AT55" s="213"/>
      <c r="AU55" s="213"/>
      <c r="AV55" s="213"/>
      <c r="AW55" s="213"/>
      <c r="AX55" s="213"/>
      <c r="AY55" s="215" t="str">
        <f aca="false">IF(M55="","",IF(AND(AA55="",OR(Y55&lt;&gt;"",Z55&lt;&gt;"")),"Donnee manquante",IF(AD55&lt;0.8,"Cible non atteinte",IF(AD55&lt;1,"A surveiller","OK"))))</f>
        <v/>
      </c>
      <c r="AZ55" s="213"/>
    </row>
    <row r="56" customFormat="false" ht="15" hidden="false" customHeight="true" outlineLevel="0" collapsed="false">
      <c r="A56" s="212" t="str">
        <f aca="false">IF(M56="","","IND"&amp;TEXT(ROW()-54,"00000"))</f>
        <v/>
      </c>
      <c r="B56" s="213"/>
      <c r="C56" s="214" t="str">
        <f aca="false">IF(B56="","",IFERROR(INDEX(tbl_Projets[Titre complet du projet],MATCH(B56,tbl_Projets[ID Projet],0)),""))</f>
        <v/>
      </c>
      <c r="D56" s="212" t="str">
        <f aca="false">IF(B56="","",IFERROR(INDEX(tbl_Projets[Domaine d''intervention],MATCH(B56,tbl_Projets[ID Projet],0)),""))</f>
        <v/>
      </c>
      <c r="E56" s="212" t="str">
        <f aca="false">IF(B56="","",IFERROR(INDEX(tbl_Projets[Statut du projet],MATCH(B56,tbl_Projets[ID Projet],0)),""))</f>
        <v/>
      </c>
      <c r="F56" s="213"/>
      <c r="G56" s="214" t="str">
        <f aca="false">IF(F56="","",IFERROR(INDEX(tbl_Activites[Intitule de l''activite],MATCH(F56,tbl_Activites[ID Activite],0)),""))</f>
        <v/>
      </c>
      <c r="H56" s="212" t="str">
        <f aca="false">IF(F56="","",IFERROR(INDEX(tbl_Activites[Statut de l''activite],MATCH(F56,tbl_Activites[ID Activite],0)),""))</f>
        <v/>
      </c>
      <c r="I56" s="213"/>
      <c r="J56" s="214" t="str">
        <f aca="false">IF(B56="","",IFERROR(INDEX(tbl_Projets[Objectif general],MATCH(B56,tbl_Projets[ID Projet],0)),""))</f>
        <v/>
      </c>
      <c r="K56" s="213"/>
      <c r="L56" s="213"/>
      <c r="M56" s="213"/>
      <c r="N56" s="213"/>
      <c r="O56" s="213"/>
      <c r="P56" s="213"/>
      <c r="Q56" s="213"/>
      <c r="R56" s="213"/>
      <c r="S56" s="213"/>
      <c r="T56" s="212" t="str">
        <f aca="false">IF(S56="","",IFERROR(INDEX(tbl_RH[Nom complet],MATCH(S56,tbl_RH[ID RH],0)),""))</f>
        <v/>
      </c>
      <c r="U56" s="212" t="str">
        <f aca="false">IF(S56="","",IFERROR(INDEX(tbl_RH[Fonction],MATCH(S56,tbl_RH[ID RH],0)),""))</f>
        <v/>
      </c>
      <c r="V56" s="213"/>
      <c r="W56" s="213"/>
      <c r="X56" s="213"/>
      <c r="Y56" s="213"/>
      <c r="Z56" s="213"/>
      <c r="AA56" s="213"/>
      <c r="AB56" s="213"/>
      <c r="AC56" s="215" t="str">
        <f aca="false">IF(AB56="","",INDEX(PARAMETRES!$C$53:$C$64,MONTH(AB56))&amp;" "&amp;YEAR(AB56))</f>
        <v/>
      </c>
      <c r="AD56" s="216" t="str">
        <f aca="false">IF(OR(M56="",AA56=""),"",IF(AND(Z56&lt;&gt;"",Z56&lt;&gt;0),IFERROR(AA56/Z56,""),IF(AND(Y56&lt;&gt;"",Y56&lt;&gt;0),IFERROR(AA56/Y56,""),"")))</f>
        <v/>
      </c>
      <c r="AE56" s="215" t="str">
        <f aca="false">IF(AD56="","",IF(AND(Z56&lt;&gt;"",Z56&lt;&gt;0),AA56-Z56,IF(AND(Y56&lt;&gt;"",Y56&lt;&gt;0),AA56-Y56,"")))</f>
        <v/>
      </c>
      <c r="AF56" s="216" t="str">
        <f aca="false">IF(AD56="","",AD56-1)</f>
        <v/>
      </c>
      <c r="AG56" s="215" t="str">
        <f aca="false">IF(AD56="","",IF(AD56&gt;=1,"Excellent",IF(AD56&gt;=0.9,"Bon",IF(AD56&gt;=0.7,"Moyen",IF(AD56&gt;=0.5,"Faible","Critique")))))</f>
        <v/>
      </c>
      <c r="AH56" s="215" t="str">
        <f aca="false">IF(AD56="","",IF(AD56&gt;=1,"OK - Cible atteinte",IF(AD56&gt;=0.8,"Attention","Insuffisant")))</f>
        <v/>
      </c>
      <c r="AI56" s="213"/>
      <c r="AJ56" s="213"/>
      <c r="AK56" s="213"/>
      <c r="AL56" s="213"/>
      <c r="AM56" s="213"/>
      <c r="AN56" s="216" t="str">
        <f aca="false">IF(AI56="","",IF(AI56=0,"",IFERROR(AJ56/AI56,"")))</f>
        <v/>
      </c>
      <c r="AO56" s="213"/>
      <c r="AP56" s="212" t="str">
        <f aca="false">IF(AO56="","",IFERROR(INDEX(PARAMETRES!$D$536:$D$586,MATCH(AO56,PARAMETRES!$J$536:$J$586,0)),""))</f>
        <v/>
      </c>
      <c r="AQ56" s="212" t="str">
        <f aca="false">IF(AO56="","",IFERROR(INDEX(PARAMETRES!$F$536:$F$586,MATCH(AO56,PARAMETRES!$J$536:$J$586,0)),""))</f>
        <v/>
      </c>
      <c r="AR56" s="213"/>
      <c r="AS56" s="213"/>
      <c r="AT56" s="213"/>
      <c r="AU56" s="213"/>
      <c r="AV56" s="213"/>
      <c r="AW56" s="213"/>
      <c r="AX56" s="213"/>
      <c r="AY56" s="215" t="str">
        <f aca="false">IF(M56="","",IF(AND(AA56="",OR(Y56&lt;&gt;"",Z56&lt;&gt;"")),"Donnee manquante",IF(AD56&lt;0.8,"Cible non atteinte",IF(AD56&lt;1,"A surveiller","OK"))))</f>
        <v/>
      </c>
      <c r="AZ56" s="213"/>
    </row>
    <row r="57" customFormat="false" ht="15" hidden="false" customHeight="true" outlineLevel="0" collapsed="false">
      <c r="A57" s="212" t="str">
        <f aca="false">IF(M57="","","IND"&amp;TEXT(ROW()-54,"00000"))</f>
        <v/>
      </c>
      <c r="B57" s="213"/>
      <c r="C57" s="214" t="str">
        <f aca="false">IF(B57="","",IFERROR(INDEX(tbl_Projets[Titre complet du projet],MATCH(B57,tbl_Projets[ID Projet],0)),""))</f>
        <v/>
      </c>
      <c r="D57" s="212" t="str">
        <f aca="false">IF(B57="","",IFERROR(INDEX(tbl_Projets[Domaine d''intervention],MATCH(B57,tbl_Projets[ID Projet],0)),""))</f>
        <v/>
      </c>
      <c r="E57" s="212" t="str">
        <f aca="false">IF(B57="","",IFERROR(INDEX(tbl_Projets[Statut du projet],MATCH(B57,tbl_Projets[ID Projet],0)),""))</f>
        <v/>
      </c>
      <c r="F57" s="213"/>
      <c r="G57" s="214" t="str">
        <f aca="false">IF(F57="","",IFERROR(INDEX(tbl_Activites[Intitule de l''activite],MATCH(F57,tbl_Activites[ID Activite],0)),""))</f>
        <v/>
      </c>
      <c r="H57" s="212" t="str">
        <f aca="false">IF(F57="","",IFERROR(INDEX(tbl_Activites[Statut de l''activite],MATCH(F57,tbl_Activites[ID Activite],0)),""))</f>
        <v/>
      </c>
      <c r="I57" s="213"/>
      <c r="J57" s="214" t="str">
        <f aca="false">IF(B57="","",IFERROR(INDEX(tbl_Projets[Objectif general],MATCH(B57,tbl_Projets[ID Projet],0)),""))</f>
        <v/>
      </c>
      <c r="K57" s="213"/>
      <c r="L57" s="213"/>
      <c r="M57" s="213"/>
      <c r="N57" s="213"/>
      <c r="O57" s="213"/>
      <c r="P57" s="213"/>
      <c r="Q57" s="213"/>
      <c r="R57" s="213"/>
      <c r="S57" s="213"/>
      <c r="T57" s="212" t="str">
        <f aca="false">IF(S57="","",IFERROR(INDEX(tbl_RH[Nom complet],MATCH(S57,tbl_RH[ID RH],0)),""))</f>
        <v/>
      </c>
      <c r="U57" s="212" t="str">
        <f aca="false">IF(S57="","",IFERROR(INDEX(tbl_RH[Fonction],MATCH(S57,tbl_RH[ID RH],0)),""))</f>
        <v/>
      </c>
      <c r="V57" s="213"/>
      <c r="W57" s="213"/>
      <c r="X57" s="213"/>
      <c r="Y57" s="213"/>
      <c r="Z57" s="213"/>
      <c r="AA57" s="213"/>
      <c r="AB57" s="213"/>
      <c r="AC57" s="215" t="str">
        <f aca="false">IF(AB57="","",INDEX(PARAMETRES!$C$53:$C$64,MONTH(AB57))&amp;" "&amp;YEAR(AB57))</f>
        <v/>
      </c>
      <c r="AD57" s="216" t="str">
        <f aca="false">IF(OR(M57="",AA57=""),"",IF(AND(Z57&lt;&gt;"",Z57&lt;&gt;0),IFERROR(AA57/Z57,""),IF(AND(Y57&lt;&gt;"",Y57&lt;&gt;0),IFERROR(AA57/Y57,""),"")))</f>
        <v/>
      </c>
      <c r="AE57" s="215" t="str">
        <f aca="false">IF(AD57="","",IF(AND(Z57&lt;&gt;"",Z57&lt;&gt;0),AA57-Z57,IF(AND(Y57&lt;&gt;"",Y57&lt;&gt;0),AA57-Y57,"")))</f>
        <v/>
      </c>
      <c r="AF57" s="216" t="str">
        <f aca="false">IF(AD57="","",AD57-1)</f>
        <v/>
      </c>
      <c r="AG57" s="215" t="str">
        <f aca="false">IF(AD57="","",IF(AD57&gt;=1,"Excellent",IF(AD57&gt;=0.9,"Bon",IF(AD57&gt;=0.7,"Moyen",IF(AD57&gt;=0.5,"Faible","Critique")))))</f>
        <v/>
      </c>
      <c r="AH57" s="215" t="str">
        <f aca="false">IF(AD57="","",IF(AD57&gt;=1,"OK - Cible atteinte",IF(AD57&gt;=0.8,"Attention","Insuffisant")))</f>
        <v/>
      </c>
      <c r="AI57" s="213"/>
      <c r="AJ57" s="213"/>
      <c r="AK57" s="213"/>
      <c r="AL57" s="213"/>
      <c r="AM57" s="213"/>
      <c r="AN57" s="216" t="str">
        <f aca="false">IF(AI57="","",IF(AI57=0,"",IFERROR(AJ57/AI57,"")))</f>
        <v/>
      </c>
      <c r="AO57" s="213"/>
      <c r="AP57" s="212" t="str">
        <f aca="false">IF(AO57="","",IFERROR(INDEX(PARAMETRES!$D$536:$D$586,MATCH(AO57,PARAMETRES!$J$536:$J$586,0)),""))</f>
        <v/>
      </c>
      <c r="AQ57" s="212" t="str">
        <f aca="false">IF(AO57="","",IFERROR(INDEX(PARAMETRES!$F$536:$F$586,MATCH(AO57,PARAMETRES!$J$536:$J$586,0)),""))</f>
        <v/>
      </c>
      <c r="AR57" s="213"/>
      <c r="AS57" s="213"/>
      <c r="AT57" s="213"/>
      <c r="AU57" s="213"/>
      <c r="AV57" s="213"/>
      <c r="AW57" s="213"/>
      <c r="AX57" s="213"/>
      <c r="AY57" s="215" t="str">
        <f aca="false">IF(M57="","",IF(AND(AA57="",OR(Y57&lt;&gt;"",Z57&lt;&gt;"")),"Donnee manquante",IF(AD57&lt;0.8,"Cible non atteinte",IF(AD57&lt;1,"A surveiller","OK"))))</f>
        <v/>
      </c>
      <c r="AZ57" s="213"/>
    </row>
    <row r="58" customFormat="false" ht="15" hidden="false" customHeight="true" outlineLevel="0" collapsed="false">
      <c r="A58" s="212" t="str">
        <f aca="false">IF(M58="","","IND"&amp;TEXT(ROW()-54,"00000"))</f>
        <v/>
      </c>
      <c r="B58" s="213"/>
      <c r="C58" s="214" t="str">
        <f aca="false">IF(B58="","",IFERROR(INDEX(tbl_Projets[Titre complet du projet],MATCH(B58,tbl_Projets[ID Projet],0)),""))</f>
        <v/>
      </c>
      <c r="D58" s="212" t="str">
        <f aca="false">IF(B58="","",IFERROR(INDEX(tbl_Projets[Domaine d''intervention],MATCH(B58,tbl_Projets[ID Projet],0)),""))</f>
        <v/>
      </c>
      <c r="E58" s="212" t="str">
        <f aca="false">IF(B58="","",IFERROR(INDEX(tbl_Projets[Statut du projet],MATCH(B58,tbl_Projets[ID Projet],0)),""))</f>
        <v/>
      </c>
      <c r="F58" s="213"/>
      <c r="G58" s="214" t="str">
        <f aca="false">IF(F58="","",IFERROR(INDEX(tbl_Activites[Intitule de l''activite],MATCH(F58,tbl_Activites[ID Activite],0)),""))</f>
        <v/>
      </c>
      <c r="H58" s="212" t="str">
        <f aca="false">IF(F58="","",IFERROR(INDEX(tbl_Activites[Statut de l''activite],MATCH(F58,tbl_Activites[ID Activite],0)),""))</f>
        <v/>
      </c>
      <c r="I58" s="213"/>
      <c r="J58" s="214" t="str">
        <f aca="false">IF(B58="","",IFERROR(INDEX(tbl_Projets[Objectif general],MATCH(B58,tbl_Projets[ID Projet],0)),""))</f>
        <v/>
      </c>
      <c r="K58" s="213"/>
      <c r="L58" s="213"/>
      <c r="M58" s="213"/>
      <c r="N58" s="213"/>
      <c r="O58" s="213"/>
      <c r="P58" s="213"/>
      <c r="Q58" s="213"/>
      <c r="R58" s="213"/>
      <c r="S58" s="213"/>
      <c r="T58" s="212" t="str">
        <f aca="false">IF(S58="","",IFERROR(INDEX(tbl_RH[Nom complet],MATCH(S58,tbl_RH[ID RH],0)),""))</f>
        <v/>
      </c>
      <c r="U58" s="212" t="str">
        <f aca="false">IF(S58="","",IFERROR(INDEX(tbl_RH[Fonction],MATCH(S58,tbl_RH[ID RH],0)),""))</f>
        <v/>
      </c>
      <c r="V58" s="213"/>
      <c r="W58" s="213"/>
      <c r="X58" s="213"/>
      <c r="Y58" s="213"/>
      <c r="Z58" s="213"/>
      <c r="AA58" s="213"/>
      <c r="AB58" s="213"/>
      <c r="AC58" s="215" t="str">
        <f aca="false">IF(AB58="","",INDEX(PARAMETRES!$C$53:$C$64,MONTH(AB58))&amp;" "&amp;YEAR(AB58))</f>
        <v/>
      </c>
      <c r="AD58" s="216" t="str">
        <f aca="false">IF(OR(M58="",AA58=""),"",IF(AND(Z58&lt;&gt;"",Z58&lt;&gt;0),IFERROR(AA58/Z58,""),IF(AND(Y58&lt;&gt;"",Y58&lt;&gt;0),IFERROR(AA58/Y58,""),"")))</f>
        <v/>
      </c>
      <c r="AE58" s="215" t="str">
        <f aca="false">IF(AD58="","",IF(AND(Z58&lt;&gt;"",Z58&lt;&gt;0),AA58-Z58,IF(AND(Y58&lt;&gt;"",Y58&lt;&gt;0),AA58-Y58,"")))</f>
        <v/>
      </c>
      <c r="AF58" s="216" t="str">
        <f aca="false">IF(AD58="","",AD58-1)</f>
        <v/>
      </c>
      <c r="AG58" s="215" t="str">
        <f aca="false">IF(AD58="","",IF(AD58&gt;=1,"Excellent",IF(AD58&gt;=0.9,"Bon",IF(AD58&gt;=0.7,"Moyen",IF(AD58&gt;=0.5,"Faible","Critique")))))</f>
        <v/>
      </c>
      <c r="AH58" s="215" t="str">
        <f aca="false">IF(AD58="","",IF(AD58&gt;=1,"OK - Cible atteinte",IF(AD58&gt;=0.8,"Attention","Insuffisant")))</f>
        <v/>
      </c>
      <c r="AI58" s="213"/>
      <c r="AJ58" s="213"/>
      <c r="AK58" s="213"/>
      <c r="AL58" s="213"/>
      <c r="AM58" s="213"/>
      <c r="AN58" s="216" t="str">
        <f aca="false">IF(AI58="","",IF(AI58=0,"",IFERROR(AJ58/AI58,"")))</f>
        <v/>
      </c>
      <c r="AO58" s="213"/>
      <c r="AP58" s="212" t="str">
        <f aca="false">IF(AO58="","",IFERROR(INDEX(PARAMETRES!$D$536:$D$586,MATCH(AO58,PARAMETRES!$J$536:$J$586,0)),""))</f>
        <v/>
      </c>
      <c r="AQ58" s="212" t="str">
        <f aca="false">IF(AO58="","",IFERROR(INDEX(PARAMETRES!$F$536:$F$586,MATCH(AO58,PARAMETRES!$J$536:$J$586,0)),""))</f>
        <v/>
      </c>
      <c r="AR58" s="213"/>
      <c r="AS58" s="213"/>
      <c r="AT58" s="213"/>
      <c r="AU58" s="213"/>
      <c r="AV58" s="213"/>
      <c r="AW58" s="213"/>
      <c r="AX58" s="213"/>
      <c r="AY58" s="215" t="str">
        <f aca="false">IF(M58="","",IF(AND(AA58="",OR(Y58&lt;&gt;"",Z58&lt;&gt;"")),"Donnee manquante",IF(AD58&lt;0.8,"Cible non atteinte",IF(AD58&lt;1,"A surveiller","OK"))))</f>
        <v/>
      </c>
      <c r="AZ58" s="213"/>
    </row>
    <row r="59" customFormat="false" ht="15" hidden="false" customHeight="true" outlineLevel="0" collapsed="false">
      <c r="A59" s="212" t="str">
        <f aca="false">IF(M59="","","IND"&amp;TEXT(ROW()-54,"00000"))</f>
        <v/>
      </c>
      <c r="B59" s="213"/>
      <c r="C59" s="214" t="str">
        <f aca="false">IF(B59="","",IFERROR(INDEX(tbl_Projets[Titre complet du projet],MATCH(B59,tbl_Projets[ID Projet],0)),""))</f>
        <v/>
      </c>
      <c r="D59" s="212" t="str">
        <f aca="false">IF(B59="","",IFERROR(INDEX(tbl_Projets[Domaine d''intervention],MATCH(B59,tbl_Projets[ID Projet],0)),""))</f>
        <v/>
      </c>
      <c r="E59" s="212" t="str">
        <f aca="false">IF(B59="","",IFERROR(INDEX(tbl_Projets[Statut du projet],MATCH(B59,tbl_Projets[ID Projet],0)),""))</f>
        <v/>
      </c>
      <c r="F59" s="213"/>
      <c r="G59" s="214" t="str">
        <f aca="false">IF(F59="","",IFERROR(INDEX(tbl_Activites[Intitule de l''activite],MATCH(F59,tbl_Activites[ID Activite],0)),""))</f>
        <v/>
      </c>
      <c r="H59" s="212" t="str">
        <f aca="false">IF(F59="","",IFERROR(INDEX(tbl_Activites[Statut de l''activite],MATCH(F59,tbl_Activites[ID Activite],0)),""))</f>
        <v/>
      </c>
      <c r="I59" s="213"/>
      <c r="J59" s="214" t="str">
        <f aca="false">IF(B59="","",IFERROR(INDEX(tbl_Projets[Objectif general],MATCH(B59,tbl_Projets[ID Projet],0)),""))</f>
        <v/>
      </c>
      <c r="K59" s="213"/>
      <c r="L59" s="213"/>
      <c r="M59" s="213"/>
      <c r="N59" s="213"/>
      <c r="O59" s="213"/>
      <c r="P59" s="213"/>
      <c r="Q59" s="213"/>
      <c r="R59" s="213"/>
      <c r="S59" s="213"/>
      <c r="T59" s="212" t="str">
        <f aca="false">IF(S59="","",IFERROR(INDEX(tbl_RH[Nom complet],MATCH(S59,tbl_RH[ID RH],0)),""))</f>
        <v/>
      </c>
      <c r="U59" s="212" t="str">
        <f aca="false">IF(S59="","",IFERROR(INDEX(tbl_RH[Fonction],MATCH(S59,tbl_RH[ID RH],0)),""))</f>
        <v/>
      </c>
      <c r="V59" s="213"/>
      <c r="W59" s="213"/>
      <c r="X59" s="213"/>
      <c r="Y59" s="213"/>
      <c r="Z59" s="213"/>
      <c r="AA59" s="213"/>
      <c r="AB59" s="213"/>
      <c r="AC59" s="215" t="str">
        <f aca="false">IF(AB59="","",INDEX(PARAMETRES!$C$53:$C$64,MONTH(AB59))&amp;" "&amp;YEAR(AB59))</f>
        <v/>
      </c>
      <c r="AD59" s="216" t="str">
        <f aca="false">IF(OR(M59="",AA59=""),"",IF(AND(Z59&lt;&gt;"",Z59&lt;&gt;0),IFERROR(AA59/Z59,""),IF(AND(Y59&lt;&gt;"",Y59&lt;&gt;0),IFERROR(AA59/Y59,""),"")))</f>
        <v/>
      </c>
      <c r="AE59" s="215" t="str">
        <f aca="false">IF(AD59="","",IF(AND(Z59&lt;&gt;"",Z59&lt;&gt;0),AA59-Z59,IF(AND(Y59&lt;&gt;"",Y59&lt;&gt;0),AA59-Y59,"")))</f>
        <v/>
      </c>
      <c r="AF59" s="216" t="str">
        <f aca="false">IF(AD59="","",AD59-1)</f>
        <v/>
      </c>
      <c r="AG59" s="215" t="str">
        <f aca="false">IF(AD59="","",IF(AD59&gt;=1,"Excellent",IF(AD59&gt;=0.9,"Bon",IF(AD59&gt;=0.7,"Moyen",IF(AD59&gt;=0.5,"Faible","Critique")))))</f>
        <v/>
      </c>
      <c r="AH59" s="215" t="str">
        <f aca="false">IF(AD59="","",IF(AD59&gt;=1,"OK - Cible atteinte",IF(AD59&gt;=0.8,"Attention","Insuffisant")))</f>
        <v/>
      </c>
      <c r="AI59" s="213"/>
      <c r="AJ59" s="213"/>
      <c r="AK59" s="213"/>
      <c r="AL59" s="213"/>
      <c r="AM59" s="213"/>
      <c r="AN59" s="216" t="str">
        <f aca="false">IF(AI59="","",IF(AI59=0,"",IFERROR(AJ59/AI59,"")))</f>
        <v/>
      </c>
      <c r="AO59" s="213"/>
      <c r="AP59" s="212" t="str">
        <f aca="false">IF(AO59="","",IFERROR(INDEX(PARAMETRES!$D$536:$D$586,MATCH(AO59,PARAMETRES!$J$536:$J$586,0)),""))</f>
        <v/>
      </c>
      <c r="AQ59" s="212" t="str">
        <f aca="false">IF(AO59="","",IFERROR(INDEX(PARAMETRES!$F$536:$F$586,MATCH(AO59,PARAMETRES!$J$536:$J$586,0)),""))</f>
        <v/>
      </c>
      <c r="AR59" s="213"/>
      <c r="AS59" s="213"/>
      <c r="AT59" s="213"/>
      <c r="AU59" s="213"/>
      <c r="AV59" s="213"/>
      <c r="AW59" s="213"/>
      <c r="AX59" s="213"/>
      <c r="AY59" s="215" t="str">
        <f aca="false">IF(M59="","",IF(AND(AA59="",OR(Y59&lt;&gt;"",Z59&lt;&gt;"")),"Donnee manquante",IF(AD59&lt;0.8,"Cible non atteinte",IF(AD59&lt;1,"A surveiller","OK"))))</f>
        <v/>
      </c>
      <c r="AZ59" s="213"/>
    </row>
    <row r="60" customFormat="false" ht="15" hidden="false" customHeight="true" outlineLevel="0" collapsed="false">
      <c r="A60" s="212" t="str">
        <f aca="false">IF(M60="","","IND"&amp;TEXT(ROW()-54,"00000"))</f>
        <v/>
      </c>
      <c r="B60" s="213"/>
      <c r="C60" s="214" t="str">
        <f aca="false">IF(B60="","",IFERROR(INDEX(tbl_Projets[Titre complet du projet],MATCH(B60,tbl_Projets[ID Projet],0)),""))</f>
        <v/>
      </c>
      <c r="D60" s="212" t="str">
        <f aca="false">IF(B60="","",IFERROR(INDEX(tbl_Projets[Domaine d''intervention],MATCH(B60,tbl_Projets[ID Projet],0)),""))</f>
        <v/>
      </c>
      <c r="E60" s="212" t="str">
        <f aca="false">IF(B60="","",IFERROR(INDEX(tbl_Projets[Statut du projet],MATCH(B60,tbl_Projets[ID Projet],0)),""))</f>
        <v/>
      </c>
      <c r="F60" s="213"/>
      <c r="G60" s="214" t="str">
        <f aca="false">IF(F60="","",IFERROR(INDEX(tbl_Activites[Intitule de l''activite],MATCH(F60,tbl_Activites[ID Activite],0)),""))</f>
        <v/>
      </c>
      <c r="H60" s="212" t="str">
        <f aca="false">IF(F60="","",IFERROR(INDEX(tbl_Activites[Statut de l''activite],MATCH(F60,tbl_Activites[ID Activite],0)),""))</f>
        <v/>
      </c>
      <c r="I60" s="213"/>
      <c r="J60" s="214" t="str">
        <f aca="false">IF(B60="","",IFERROR(INDEX(tbl_Projets[Objectif general],MATCH(B60,tbl_Projets[ID Projet],0)),""))</f>
        <v/>
      </c>
      <c r="K60" s="213"/>
      <c r="L60" s="213"/>
      <c r="M60" s="213"/>
      <c r="N60" s="213"/>
      <c r="O60" s="213"/>
      <c r="P60" s="213"/>
      <c r="Q60" s="213"/>
      <c r="R60" s="213"/>
      <c r="S60" s="213"/>
      <c r="T60" s="212" t="str">
        <f aca="false">IF(S60="","",IFERROR(INDEX(tbl_RH[Nom complet],MATCH(S60,tbl_RH[ID RH],0)),""))</f>
        <v/>
      </c>
      <c r="U60" s="212" t="str">
        <f aca="false">IF(S60="","",IFERROR(INDEX(tbl_RH[Fonction],MATCH(S60,tbl_RH[ID RH],0)),""))</f>
        <v/>
      </c>
      <c r="V60" s="213"/>
      <c r="W60" s="213"/>
      <c r="X60" s="213"/>
      <c r="Y60" s="213"/>
      <c r="Z60" s="213"/>
      <c r="AA60" s="213"/>
      <c r="AB60" s="213"/>
      <c r="AC60" s="215" t="str">
        <f aca="false">IF(AB60="","",INDEX(PARAMETRES!$C$53:$C$64,MONTH(AB60))&amp;" "&amp;YEAR(AB60))</f>
        <v/>
      </c>
      <c r="AD60" s="216" t="str">
        <f aca="false">IF(OR(M60="",AA60=""),"",IF(AND(Z60&lt;&gt;"",Z60&lt;&gt;0),IFERROR(AA60/Z60,""),IF(AND(Y60&lt;&gt;"",Y60&lt;&gt;0),IFERROR(AA60/Y60,""),"")))</f>
        <v/>
      </c>
      <c r="AE60" s="215" t="str">
        <f aca="false">IF(AD60="","",IF(AND(Z60&lt;&gt;"",Z60&lt;&gt;0),AA60-Z60,IF(AND(Y60&lt;&gt;"",Y60&lt;&gt;0),AA60-Y60,"")))</f>
        <v/>
      </c>
      <c r="AF60" s="216" t="str">
        <f aca="false">IF(AD60="","",AD60-1)</f>
        <v/>
      </c>
      <c r="AG60" s="215" t="str">
        <f aca="false">IF(AD60="","",IF(AD60&gt;=1,"Excellent",IF(AD60&gt;=0.9,"Bon",IF(AD60&gt;=0.7,"Moyen",IF(AD60&gt;=0.5,"Faible","Critique")))))</f>
        <v/>
      </c>
      <c r="AH60" s="215" t="str">
        <f aca="false">IF(AD60="","",IF(AD60&gt;=1,"OK - Cible atteinte",IF(AD60&gt;=0.8,"Attention","Insuffisant")))</f>
        <v/>
      </c>
      <c r="AI60" s="213"/>
      <c r="AJ60" s="213"/>
      <c r="AK60" s="213"/>
      <c r="AL60" s="213"/>
      <c r="AM60" s="213"/>
      <c r="AN60" s="216" t="str">
        <f aca="false">IF(AI60="","",IF(AI60=0,"",IFERROR(AJ60/AI60,"")))</f>
        <v/>
      </c>
      <c r="AO60" s="213"/>
      <c r="AP60" s="212" t="str">
        <f aca="false">IF(AO60="","",IFERROR(INDEX(PARAMETRES!$D$536:$D$586,MATCH(AO60,PARAMETRES!$J$536:$J$586,0)),""))</f>
        <v/>
      </c>
      <c r="AQ60" s="212" t="str">
        <f aca="false">IF(AO60="","",IFERROR(INDEX(PARAMETRES!$F$536:$F$586,MATCH(AO60,PARAMETRES!$J$536:$J$586,0)),""))</f>
        <v/>
      </c>
      <c r="AR60" s="213"/>
      <c r="AS60" s="213"/>
      <c r="AT60" s="213"/>
      <c r="AU60" s="213"/>
      <c r="AV60" s="213"/>
      <c r="AW60" s="213"/>
      <c r="AX60" s="213"/>
      <c r="AY60" s="215" t="str">
        <f aca="false">IF(M60="","",IF(AND(AA60="",OR(Y60&lt;&gt;"",Z60&lt;&gt;"")),"Donnee manquante",IF(AD60&lt;0.8,"Cible non atteinte",IF(AD60&lt;1,"A surveiller","OK"))))</f>
        <v/>
      </c>
      <c r="AZ60" s="213"/>
    </row>
    <row r="61" customFormat="false" ht="15" hidden="false" customHeight="true" outlineLevel="0" collapsed="false">
      <c r="A61" s="212" t="str">
        <f aca="false">IF(M61="","","IND"&amp;TEXT(ROW()-54,"00000"))</f>
        <v/>
      </c>
      <c r="B61" s="213"/>
      <c r="C61" s="214" t="str">
        <f aca="false">IF(B61="","",IFERROR(INDEX(tbl_Projets[Titre complet du projet],MATCH(B61,tbl_Projets[ID Projet],0)),""))</f>
        <v/>
      </c>
      <c r="D61" s="212" t="str">
        <f aca="false">IF(B61="","",IFERROR(INDEX(tbl_Projets[Domaine d''intervention],MATCH(B61,tbl_Projets[ID Projet],0)),""))</f>
        <v/>
      </c>
      <c r="E61" s="212" t="str">
        <f aca="false">IF(B61="","",IFERROR(INDEX(tbl_Projets[Statut du projet],MATCH(B61,tbl_Projets[ID Projet],0)),""))</f>
        <v/>
      </c>
      <c r="F61" s="213"/>
      <c r="G61" s="214" t="str">
        <f aca="false">IF(F61="","",IFERROR(INDEX(tbl_Activites[Intitule de l''activite],MATCH(F61,tbl_Activites[ID Activite],0)),""))</f>
        <v/>
      </c>
      <c r="H61" s="212" t="str">
        <f aca="false">IF(F61="","",IFERROR(INDEX(tbl_Activites[Statut de l''activite],MATCH(F61,tbl_Activites[ID Activite],0)),""))</f>
        <v/>
      </c>
      <c r="I61" s="213"/>
      <c r="J61" s="214" t="str">
        <f aca="false">IF(B61="","",IFERROR(INDEX(tbl_Projets[Objectif general],MATCH(B61,tbl_Projets[ID Projet],0)),""))</f>
        <v/>
      </c>
      <c r="K61" s="213"/>
      <c r="L61" s="213"/>
      <c r="M61" s="213"/>
      <c r="N61" s="213"/>
      <c r="O61" s="213"/>
      <c r="P61" s="213"/>
      <c r="Q61" s="213"/>
      <c r="R61" s="213"/>
      <c r="S61" s="213"/>
      <c r="T61" s="212" t="str">
        <f aca="false">IF(S61="","",IFERROR(INDEX(tbl_RH[Nom complet],MATCH(S61,tbl_RH[ID RH],0)),""))</f>
        <v/>
      </c>
      <c r="U61" s="212" t="str">
        <f aca="false">IF(S61="","",IFERROR(INDEX(tbl_RH[Fonction],MATCH(S61,tbl_RH[ID RH],0)),""))</f>
        <v/>
      </c>
      <c r="V61" s="213"/>
      <c r="W61" s="213"/>
      <c r="X61" s="213"/>
      <c r="Y61" s="213"/>
      <c r="Z61" s="213"/>
      <c r="AA61" s="213"/>
      <c r="AB61" s="213"/>
      <c r="AC61" s="215" t="str">
        <f aca="false">IF(AB61="","",INDEX(PARAMETRES!$C$53:$C$64,MONTH(AB61))&amp;" "&amp;YEAR(AB61))</f>
        <v/>
      </c>
      <c r="AD61" s="216" t="str">
        <f aca="false">IF(OR(M61="",AA61=""),"",IF(AND(Z61&lt;&gt;"",Z61&lt;&gt;0),IFERROR(AA61/Z61,""),IF(AND(Y61&lt;&gt;"",Y61&lt;&gt;0),IFERROR(AA61/Y61,""),"")))</f>
        <v/>
      </c>
      <c r="AE61" s="215" t="str">
        <f aca="false">IF(AD61="","",IF(AND(Z61&lt;&gt;"",Z61&lt;&gt;0),AA61-Z61,IF(AND(Y61&lt;&gt;"",Y61&lt;&gt;0),AA61-Y61,"")))</f>
        <v/>
      </c>
      <c r="AF61" s="216" t="str">
        <f aca="false">IF(AD61="","",AD61-1)</f>
        <v/>
      </c>
      <c r="AG61" s="215" t="str">
        <f aca="false">IF(AD61="","",IF(AD61&gt;=1,"Excellent",IF(AD61&gt;=0.9,"Bon",IF(AD61&gt;=0.7,"Moyen",IF(AD61&gt;=0.5,"Faible","Critique")))))</f>
        <v/>
      </c>
      <c r="AH61" s="215" t="str">
        <f aca="false">IF(AD61="","",IF(AD61&gt;=1,"OK - Cible atteinte",IF(AD61&gt;=0.8,"Attention","Insuffisant")))</f>
        <v/>
      </c>
      <c r="AI61" s="213"/>
      <c r="AJ61" s="213"/>
      <c r="AK61" s="213"/>
      <c r="AL61" s="213"/>
      <c r="AM61" s="213"/>
      <c r="AN61" s="216" t="str">
        <f aca="false">IF(AI61="","",IF(AI61=0,"",IFERROR(AJ61/AI61,"")))</f>
        <v/>
      </c>
      <c r="AO61" s="213"/>
      <c r="AP61" s="212" t="str">
        <f aca="false">IF(AO61="","",IFERROR(INDEX(PARAMETRES!$D$536:$D$586,MATCH(AO61,PARAMETRES!$J$536:$J$586,0)),""))</f>
        <v/>
      </c>
      <c r="AQ61" s="212" t="str">
        <f aca="false">IF(AO61="","",IFERROR(INDEX(PARAMETRES!$F$536:$F$586,MATCH(AO61,PARAMETRES!$J$536:$J$586,0)),""))</f>
        <v/>
      </c>
      <c r="AR61" s="213"/>
      <c r="AS61" s="213"/>
      <c r="AT61" s="213"/>
      <c r="AU61" s="213"/>
      <c r="AV61" s="213"/>
      <c r="AW61" s="213"/>
      <c r="AX61" s="213"/>
      <c r="AY61" s="215" t="str">
        <f aca="false">IF(M61="","",IF(AND(AA61="",OR(Y61&lt;&gt;"",Z61&lt;&gt;"")),"Donnee manquante",IF(AD61&lt;0.8,"Cible non atteinte",IF(AD61&lt;1,"A surveiller","OK"))))</f>
        <v/>
      </c>
      <c r="AZ61" s="213"/>
    </row>
    <row r="62" customFormat="false" ht="15" hidden="false" customHeight="true" outlineLevel="0" collapsed="false">
      <c r="A62" s="212" t="str">
        <f aca="false">IF(M62="","","IND"&amp;TEXT(ROW()-54,"00000"))</f>
        <v/>
      </c>
      <c r="B62" s="213"/>
      <c r="C62" s="214" t="str">
        <f aca="false">IF(B62="","",IFERROR(INDEX(tbl_Projets[Titre complet du projet],MATCH(B62,tbl_Projets[ID Projet],0)),""))</f>
        <v/>
      </c>
      <c r="D62" s="212" t="str">
        <f aca="false">IF(B62="","",IFERROR(INDEX(tbl_Projets[Domaine d''intervention],MATCH(B62,tbl_Projets[ID Projet],0)),""))</f>
        <v/>
      </c>
      <c r="E62" s="212" t="str">
        <f aca="false">IF(B62="","",IFERROR(INDEX(tbl_Projets[Statut du projet],MATCH(B62,tbl_Projets[ID Projet],0)),""))</f>
        <v/>
      </c>
      <c r="F62" s="213"/>
      <c r="G62" s="214" t="str">
        <f aca="false">IF(F62="","",IFERROR(INDEX(tbl_Activites[Intitule de l''activite],MATCH(F62,tbl_Activites[ID Activite],0)),""))</f>
        <v/>
      </c>
      <c r="H62" s="212" t="str">
        <f aca="false">IF(F62="","",IFERROR(INDEX(tbl_Activites[Statut de l''activite],MATCH(F62,tbl_Activites[ID Activite],0)),""))</f>
        <v/>
      </c>
      <c r="I62" s="213"/>
      <c r="J62" s="214" t="str">
        <f aca="false">IF(B62="","",IFERROR(INDEX(tbl_Projets[Objectif general],MATCH(B62,tbl_Projets[ID Projet],0)),""))</f>
        <v/>
      </c>
      <c r="K62" s="213"/>
      <c r="L62" s="213"/>
      <c r="M62" s="213"/>
      <c r="N62" s="213"/>
      <c r="O62" s="213"/>
      <c r="P62" s="213"/>
      <c r="Q62" s="213"/>
      <c r="R62" s="213"/>
      <c r="S62" s="213"/>
      <c r="T62" s="212" t="str">
        <f aca="false">IF(S62="","",IFERROR(INDEX(tbl_RH[Nom complet],MATCH(S62,tbl_RH[ID RH],0)),""))</f>
        <v/>
      </c>
      <c r="U62" s="212" t="str">
        <f aca="false">IF(S62="","",IFERROR(INDEX(tbl_RH[Fonction],MATCH(S62,tbl_RH[ID RH],0)),""))</f>
        <v/>
      </c>
      <c r="V62" s="213"/>
      <c r="W62" s="213"/>
      <c r="X62" s="213"/>
      <c r="Y62" s="213"/>
      <c r="Z62" s="213"/>
      <c r="AA62" s="213"/>
      <c r="AB62" s="213"/>
      <c r="AC62" s="215" t="str">
        <f aca="false">IF(AB62="","",INDEX(PARAMETRES!$C$53:$C$64,MONTH(AB62))&amp;" "&amp;YEAR(AB62))</f>
        <v/>
      </c>
      <c r="AD62" s="216" t="str">
        <f aca="false">IF(OR(M62="",AA62=""),"",IF(AND(Z62&lt;&gt;"",Z62&lt;&gt;0),IFERROR(AA62/Z62,""),IF(AND(Y62&lt;&gt;"",Y62&lt;&gt;0),IFERROR(AA62/Y62,""),"")))</f>
        <v/>
      </c>
      <c r="AE62" s="215" t="str">
        <f aca="false">IF(AD62="","",IF(AND(Z62&lt;&gt;"",Z62&lt;&gt;0),AA62-Z62,IF(AND(Y62&lt;&gt;"",Y62&lt;&gt;0),AA62-Y62,"")))</f>
        <v/>
      </c>
      <c r="AF62" s="216" t="str">
        <f aca="false">IF(AD62="","",AD62-1)</f>
        <v/>
      </c>
      <c r="AG62" s="215" t="str">
        <f aca="false">IF(AD62="","",IF(AD62&gt;=1,"Excellent",IF(AD62&gt;=0.9,"Bon",IF(AD62&gt;=0.7,"Moyen",IF(AD62&gt;=0.5,"Faible","Critique")))))</f>
        <v/>
      </c>
      <c r="AH62" s="215" t="str">
        <f aca="false">IF(AD62="","",IF(AD62&gt;=1,"OK - Cible atteinte",IF(AD62&gt;=0.8,"Attention","Insuffisant")))</f>
        <v/>
      </c>
      <c r="AI62" s="213"/>
      <c r="AJ62" s="213"/>
      <c r="AK62" s="213"/>
      <c r="AL62" s="213"/>
      <c r="AM62" s="213"/>
      <c r="AN62" s="216" t="str">
        <f aca="false">IF(AI62="","",IF(AI62=0,"",IFERROR(AJ62/AI62,"")))</f>
        <v/>
      </c>
      <c r="AO62" s="213"/>
      <c r="AP62" s="212" t="str">
        <f aca="false">IF(AO62="","",IFERROR(INDEX(PARAMETRES!$D$536:$D$586,MATCH(AO62,PARAMETRES!$J$536:$J$586,0)),""))</f>
        <v/>
      </c>
      <c r="AQ62" s="212" t="str">
        <f aca="false">IF(AO62="","",IFERROR(INDEX(PARAMETRES!$F$536:$F$586,MATCH(AO62,PARAMETRES!$J$536:$J$586,0)),""))</f>
        <v/>
      </c>
      <c r="AR62" s="213"/>
      <c r="AS62" s="213"/>
      <c r="AT62" s="213"/>
      <c r="AU62" s="213"/>
      <c r="AV62" s="213"/>
      <c r="AW62" s="213"/>
      <c r="AX62" s="213"/>
      <c r="AY62" s="215" t="str">
        <f aca="false">IF(M62="","",IF(AND(AA62="",OR(Y62&lt;&gt;"",Z62&lt;&gt;"")),"Donnee manquante",IF(AD62&lt;0.8,"Cible non atteinte",IF(AD62&lt;1,"A surveiller","OK"))))</f>
        <v/>
      </c>
      <c r="AZ62" s="213"/>
    </row>
    <row r="63" customFormat="false" ht="15" hidden="false" customHeight="true" outlineLevel="0" collapsed="false">
      <c r="A63" s="212" t="str">
        <f aca="false">IF(M63="","","IND"&amp;TEXT(ROW()-54,"00000"))</f>
        <v/>
      </c>
      <c r="B63" s="213"/>
      <c r="C63" s="214" t="str">
        <f aca="false">IF(B63="","",IFERROR(INDEX(tbl_Projets[Titre complet du projet],MATCH(B63,tbl_Projets[ID Projet],0)),""))</f>
        <v/>
      </c>
      <c r="D63" s="212" t="str">
        <f aca="false">IF(B63="","",IFERROR(INDEX(tbl_Projets[Domaine d''intervention],MATCH(B63,tbl_Projets[ID Projet],0)),""))</f>
        <v/>
      </c>
      <c r="E63" s="212" t="str">
        <f aca="false">IF(B63="","",IFERROR(INDEX(tbl_Projets[Statut du projet],MATCH(B63,tbl_Projets[ID Projet],0)),""))</f>
        <v/>
      </c>
      <c r="F63" s="213"/>
      <c r="G63" s="214" t="str">
        <f aca="false">IF(F63="","",IFERROR(INDEX(tbl_Activites[Intitule de l''activite],MATCH(F63,tbl_Activites[ID Activite],0)),""))</f>
        <v/>
      </c>
      <c r="H63" s="212" t="str">
        <f aca="false">IF(F63="","",IFERROR(INDEX(tbl_Activites[Statut de l''activite],MATCH(F63,tbl_Activites[ID Activite],0)),""))</f>
        <v/>
      </c>
      <c r="I63" s="213"/>
      <c r="J63" s="214" t="str">
        <f aca="false">IF(B63="","",IFERROR(INDEX(tbl_Projets[Objectif general],MATCH(B63,tbl_Projets[ID Projet],0)),""))</f>
        <v/>
      </c>
      <c r="K63" s="213"/>
      <c r="L63" s="213"/>
      <c r="M63" s="213"/>
      <c r="N63" s="213"/>
      <c r="O63" s="213"/>
      <c r="P63" s="213"/>
      <c r="Q63" s="213"/>
      <c r="R63" s="213"/>
      <c r="S63" s="213"/>
      <c r="T63" s="212" t="str">
        <f aca="false">IF(S63="","",IFERROR(INDEX(tbl_RH[Nom complet],MATCH(S63,tbl_RH[ID RH],0)),""))</f>
        <v/>
      </c>
      <c r="U63" s="212" t="str">
        <f aca="false">IF(S63="","",IFERROR(INDEX(tbl_RH[Fonction],MATCH(S63,tbl_RH[ID RH],0)),""))</f>
        <v/>
      </c>
      <c r="V63" s="213"/>
      <c r="W63" s="213"/>
      <c r="X63" s="213"/>
      <c r="Y63" s="213"/>
      <c r="Z63" s="213"/>
      <c r="AA63" s="213"/>
      <c r="AB63" s="213"/>
      <c r="AC63" s="215" t="str">
        <f aca="false">IF(AB63="","",INDEX(PARAMETRES!$C$53:$C$64,MONTH(AB63))&amp;" "&amp;YEAR(AB63))</f>
        <v/>
      </c>
      <c r="AD63" s="216" t="str">
        <f aca="false">IF(OR(M63="",AA63=""),"",IF(AND(Z63&lt;&gt;"",Z63&lt;&gt;0),IFERROR(AA63/Z63,""),IF(AND(Y63&lt;&gt;"",Y63&lt;&gt;0),IFERROR(AA63/Y63,""),"")))</f>
        <v/>
      </c>
      <c r="AE63" s="215" t="str">
        <f aca="false">IF(AD63="","",IF(AND(Z63&lt;&gt;"",Z63&lt;&gt;0),AA63-Z63,IF(AND(Y63&lt;&gt;"",Y63&lt;&gt;0),AA63-Y63,"")))</f>
        <v/>
      </c>
      <c r="AF63" s="216" t="str">
        <f aca="false">IF(AD63="","",AD63-1)</f>
        <v/>
      </c>
      <c r="AG63" s="215" t="str">
        <f aca="false">IF(AD63="","",IF(AD63&gt;=1,"Excellent",IF(AD63&gt;=0.9,"Bon",IF(AD63&gt;=0.7,"Moyen",IF(AD63&gt;=0.5,"Faible","Critique")))))</f>
        <v/>
      </c>
      <c r="AH63" s="215" t="str">
        <f aca="false">IF(AD63="","",IF(AD63&gt;=1,"OK - Cible atteinte",IF(AD63&gt;=0.8,"Attention","Insuffisant")))</f>
        <v/>
      </c>
      <c r="AI63" s="213"/>
      <c r="AJ63" s="213"/>
      <c r="AK63" s="213"/>
      <c r="AL63" s="213"/>
      <c r="AM63" s="213"/>
      <c r="AN63" s="216" t="str">
        <f aca="false">IF(AI63="","",IF(AI63=0,"",IFERROR(AJ63/AI63,"")))</f>
        <v/>
      </c>
      <c r="AO63" s="213"/>
      <c r="AP63" s="212" t="str">
        <f aca="false">IF(AO63="","",IFERROR(INDEX(PARAMETRES!$D$536:$D$586,MATCH(AO63,PARAMETRES!$J$536:$J$586,0)),""))</f>
        <v/>
      </c>
      <c r="AQ63" s="212" t="str">
        <f aca="false">IF(AO63="","",IFERROR(INDEX(PARAMETRES!$F$536:$F$586,MATCH(AO63,PARAMETRES!$J$536:$J$586,0)),""))</f>
        <v/>
      </c>
      <c r="AR63" s="213"/>
      <c r="AS63" s="213"/>
      <c r="AT63" s="213"/>
      <c r="AU63" s="213"/>
      <c r="AV63" s="213"/>
      <c r="AW63" s="213"/>
      <c r="AX63" s="213"/>
      <c r="AY63" s="215" t="str">
        <f aca="false">IF(M63="","",IF(AND(AA63="",OR(Y63&lt;&gt;"",Z63&lt;&gt;"")),"Donnee manquante",IF(AD63&lt;0.8,"Cible non atteinte",IF(AD63&lt;1,"A surveiller","OK"))))</f>
        <v/>
      </c>
      <c r="AZ63" s="213"/>
    </row>
    <row r="64" customFormat="false" ht="15" hidden="false" customHeight="true" outlineLevel="0" collapsed="false">
      <c r="A64" s="212" t="str">
        <f aca="false">IF(M64="","","IND"&amp;TEXT(ROW()-54,"00000"))</f>
        <v/>
      </c>
      <c r="B64" s="213"/>
      <c r="C64" s="214" t="str">
        <f aca="false">IF(B64="","",IFERROR(INDEX(tbl_Projets[Titre complet du projet],MATCH(B64,tbl_Projets[ID Projet],0)),""))</f>
        <v/>
      </c>
      <c r="D64" s="212" t="str">
        <f aca="false">IF(B64="","",IFERROR(INDEX(tbl_Projets[Domaine d''intervention],MATCH(B64,tbl_Projets[ID Projet],0)),""))</f>
        <v/>
      </c>
      <c r="E64" s="212" t="str">
        <f aca="false">IF(B64="","",IFERROR(INDEX(tbl_Projets[Statut du projet],MATCH(B64,tbl_Projets[ID Projet],0)),""))</f>
        <v/>
      </c>
      <c r="F64" s="213"/>
      <c r="G64" s="214" t="str">
        <f aca="false">IF(F64="","",IFERROR(INDEX(tbl_Activites[Intitule de l''activite],MATCH(F64,tbl_Activites[ID Activite],0)),""))</f>
        <v/>
      </c>
      <c r="H64" s="212" t="str">
        <f aca="false">IF(F64="","",IFERROR(INDEX(tbl_Activites[Statut de l''activite],MATCH(F64,tbl_Activites[ID Activite],0)),""))</f>
        <v/>
      </c>
      <c r="I64" s="213"/>
      <c r="J64" s="214" t="str">
        <f aca="false">IF(B64="","",IFERROR(INDEX(tbl_Projets[Objectif general],MATCH(B64,tbl_Projets[ID Projet],0)),""))</f>
        <v/>
      </c>
      <c r="K64" s="213"/>
      <c r="L64" s="213"/>
      <c r="M64" s="213"/>
      <c r="N64" s="213"/>
      <c r="O64" s="213"/>
      <c r="P64" s="213"/>
      <c r="Q64" s="213"/>
      <c r="R64" s="213"/>
      <c r="S64" s="213"/>
      <c r="T64" s="212" t="str">
        <f aca="false">IF(S64="","",IFERROR(INDEX(tbl_RH[Nom complet],MATCH(S64,tbl_RH[ID RH],0)),""))</f>
        <v/>
      </c>
      <c r="U64" s="212" t="str">
        <f aca="false">IF(S64="","",IFERROR(INDEX(tbl_RH[Fonction],MATCH(S64,tbl_RH[ID RH],0)),""))</f>
        <v/>
      </c>
      <c r="V64" s="213"/>
      <c r="W64" s="213"/>
      <c r="X64" s="213"/>
      <c r="Y64" s="213"/>
      <c r="Z64" s="213"/>
      <c r="AA64" s="213"/>
      <c r="AB64" s="213"/>
      <c r="AC64" s="215" t="str">
        <f aca="false">IF(AB64="","",INDEX(PARAMETRES!$C$53:$C$64,MONTH(AB64))&amp;" "&amp;YEAR(AB64))</f>
        <v/>
      </c>
      <c r="AD64" s="216" t="str">
        <f aca="false">IF(OR(M64="",AA64=""),"",IF(AND(Z64&lt;&gt;"",Z64&lt;&gt;0),IFERROR(AA64/Z64,""),IF(AND(Y64&lt;&gt;"",Y64&lt;&gt;0),IFERROR(AA64/Y64,""),"")))</f>
        <v/>
      </c>
      <c r="AE64" s="215" t="str">
        <f aca="false">IF(AD64="","",IF(AND(Z64&lt;&gt;"",Z64&lt;&gt;0),AA64-Z64,IF(AND(Y64&lt;&gt;"",Y64&lt;&gt;0),AA64-Y64,"")))</f>
        <v/>
      </c>
      <c r="AF64" s="216" t="str">
        <f aca="false">IF(AD64="","",AD64-1)</f>
        <v/>
      </c>
      <c r="AG64" s="215" t="str">
        <f aca="false">IF(AD64="","",IF(AD64&gt;=1,"Excellent",IF(AD64&gt;=0.9,"Bon",IF(AD64&gt;=0.7,"Moyen",IF(AD64&gt;=0.5,"Faible","Critique")))))</f>
        <v/>
      </c>
      <c r="AH64" s="215" t="str">
        <f aca="false">IF(AD64="","",IF(AD64&gt;=1,"OK - Cible atteinte",IF(AD64&gt;=0.8,"Attention","Insuffisant")))</f>
        <v/>
      </c>
      <c r="AI64" s="213"/>
      <c r="AJ64" s="213"/>
      <c r="AK64" s="213"/>
      <c r="AL64" s="213"/>
      <c r="AM64" s="213"/>
      <c r="AN64" s="216" t="str">
        <f aca="false">IF(AI64="","",IF(AI64=0,"",IFERROR(AJ64/AI64,"")))</f>
        <v/>
      </c>
      <c r="AO64" s="213"/>
      <c r="AP64" s="212" t="str">
        <f aca="false">IF(AO64="","",IFERROR(INDEX(PARAMETRES!$D$536:$D$586,MATCH(AO64,PARAMETRES!$J$536:$J$586,0)),""))</f>
        <v/>
      </c>
      <c r="AQ64" s="212" t="str">
        <f aca="false">IF(AO64="","",IFERROR(INDEX(PARAMETRES!$F$536:$F$586,MATCH(AO64,PARAMETRES!$J$536:$J$586,0)),""))</f>
        <v/>
      </c>
      <c r="AR64" s="213"/>
      <c r="AS64" s="213"/>
      <c r="AT64" s="213"/>
      <c r="AU64" s="213"/>
      <c r="AV64" s="213"/>
      <c r="AW64" s="213"/>
      <c r="AX64" s="213"/>
      <c r="AY64" s="215" t="str">
        <f aca="false">IF(M64="","",IF(AND(AA64="",OR(Y64&lt;&gt;"",Z64&lt;&gt;"")),"Donnee manquante",IF(AD64&lt;0.8,"Cible non atteinte",IF(AD64&lt;1,"A surveiller","OK"))))</f>
        <v/>
      </c>
      <c r="AZ64" s="213"/>
    </row>
    <row r="65" customFormat="false" ht="15" hidden="false" customHeight="true" outlineLevel="0" collapsed="false">
      <c r="A65" s="212" t="str">
        <f aca="false">IF(M65="","","IND"&amp;TEXT(ROW()-54,"00000"))</f>
        <v/>
      </c>
      <c r="B65" s="213"/>
      <c r="C65" s="214" t="str">
        <f aca="false">IF(B65="","",IFERROR(INDEX(tbl_Projets[Titre complet du projet],MATCH(B65,tbl_Projets[ID Projet],0)),""))</f>
        <v/>
      </c>
      <c r="D65" s="212" t="str">
        <f aca="false">IF(B65="","",IFERROR(INDEX(tbl_Projets[Domaine d''intervention],MATCH(B65,tbl_Projets[ID Projet],0)),""))</f>
        <v/>
      </c>
      <c r="E65" s="212" t="str">
        <f aca="false">IF(B65="","",IFERROR(INDEX(tbl_Projets[Statut du projet],MATCH(B65,tbl_Projets[ID Projet],0)),""))</f>
        <v/>
      </c>
      <c r="F65" s="213"/>
      <c r="G65" s="214" t="str">
        <f aca="false">IF(F65="","",IFERROR(INDEX(tbl_Activites[Intitule de l''activite],MATCH(F65,tbl_Activites[ID Activite],0)),""))</f>
        <v/>
      </c>
      <c r="H65" s="212" t="str">
        <f aca="false">IF(F65="","",IFERROR(INDEX(tbl_Activites[Statut de l''activite],MATCH(F65,tbl_Activites[ID Activite],0)),""))</f>
        <v/>
      </c>
      <c r="I65" s="213"/>
      <c r="J65" s="214" t="str">
        <f aca="false">IF(B65="","",IFERROR(INDEX(tbl_Projets[Objectif general],MATCH(B65,tbl_Projets[ID Projet],0)),""))</f>
        <v/>
      </c>
      <c r="K65" s="213"/>
      <c r="L65" s="213"/>
      <c r="M65" s="213"/>
      <c r="N65" s="213"/>
      <c r="O65" s="213"/>
      <c r="P65" s="213"/>
      <c r="Q65" s="213"/>
      <c r="R65" s="213"/>
      <c r="S65" s="213"/>
      <c r="T65" s="212" t="str">
        <f aca="false">IF(S65="","",IFERROR(INDEX(tbl_RH[Nom complet],MATCH(S65,tbl_RH[ID RH],0)),""))</f>
        <v/>
      </c>
      <c r="U65" s="212" t="str">
        <f aca="false">IF(S65="","",IFERROR(INDEX(tbl_RH[Fonction],MATCH(S65,tbl_RH[ID RH],0)),""))</f>
        <v/>
      </c>
      <c r="V65" s="213"/>
      <c r="W65" s="213"/>
      <c r="X65" s="213"/>
      <c r="Y65" s="213"/>
      <c r="Z65" s="213"/>
      <c r="AA65" s="213"/>
      <c r="AB65" s="213"/>
      <c r="AC65" s="215" t="str">
        <f aca="false">IF(AB65="","",INDEX(PARAMETRES!$C$53:$C$64,MONTH(AB65))&amp;" "&amp;YEAR(AB65))</f>
        <v/>
      </c>
      <c r="AD65" s="216" t="str">
        <f aca="false">IF(OR(M65="",AA65=""),"",IF(AND(Z65&lt;&gt;"",Z65&lt;&gt;0),IFERROR(AA65/Z65,""),IF(AND(Y65&lt;&gt;"",Y65&lt;&gt;0),IFERROR(AA65/Y65,""),"")))</f>
        <v/>
      </c>
      <c r="AE65" s="215" t="str">
        <f aca="false">IF(AD65="","",IF(AND(Z65&lt;&gt;"",Z65&lt;&gt;0),AA65-Z65,IF(AND(Y65&lt;&gt;"",Y65&lt;&gt;0),AA65-Y65,"")))</f>
        <v/>
      </c>
      <c r="AF65" s="216" t="str">
        <f aca="false">IF(AD65="","",AD65-1)</f>
        <v/>
      </c>
      <c r="AG65" s="215" t="str">
        <f aca="false">IF(AD65="","",IF(AD65&gt;=1,"Excellent",IF(AD65&gt;=0.9,"Bon",IF(AD65&gt;=0.7,"Moyen",IF(AD65&gt;=0.5,"Faible","Critique")))))</f>
        <v/>
      </c>
      <c r="AH65" s="215" t="str">
        <f aca="false">IF(AD65="","",IF(AD65&gt;=1,"OK - Cible atteinte",IF(AD65&gt;=0.8,"Attention","Insuffisant")))</f>
        <v/>
      </c>
      <c r="AI65" s="213"/>
      <c r="AJ65" s="213"/>
      <c r="AK65" s="213"/>
      <c r="AL65" s="213"/>
      <c r="AM65" s="213"/>
      <c r="AN65" s="216" t="str">
        <f aca="false">IF(AI65="","",IF(AI65=0,"",IFERROR(AJ65/AI65,"")))</f>
        <v/>
      </c>
      <c r="AO65" s="213"/>
      <c r="AP65" s="212" t="str">
        <f aca="false">IF(AO65="","",IFERROR(INDEX(PARAMETRES!$D$536:$D$586,MATCH(AO65,PARAMETRES!$J$536:$J$586,0)),""))</f>
        <v/>
      </c>
      <c r="AQ65" s="212" t="str">
        <f aca="false">IF(AO65="","",IFERROR(INDEX(PARAMETRES!$F$536:$F$586,MATCH(AO65,PARAMETRES!$J$536:$J$586,0)),""))</f>
        <v/>
      </c>
      <c r="AR65" s="213"/>
      <c r="AS65" s="213"/>
      <c r="AT65" s="213"/>
      <c r="AU65" s="213"/>
      <c r="AV65" s="213"/>
      <c r="AW65" s="213"/>
      <c r="AX65" s="213"/>
      <c r="AY65" s="215" t="str">
        <f aca="false">IF(M65="","",IF(AND(AA65="",OR(Y65&lt;&gt;"",Z65&lt;&gt;"")),"Donnee manquante",IF(AD65&lt;0.8,"Cible non atteinte",IF(AD65&lt;1,"A surveiller","OK"))))</f>
        <v/>
      </c>
      <c r="AZ65" s="213"/>
    </row>
    <row r="66" customFormat="false" ht="15" hidden="false" customHeight="true" outlineLevel="0" collapsed="false">
      <c r="A66" s="212" t="str">
        <f aca="false">IF(M66="","","IND"&amp;TEXT(ROW()-54,"00000"))</f>
        <v/>
      </c>
      <c r="B66" s="213"/>
      <c r="C66" s="214" t="str">
        <f aca="false">IF(B66="","",IFERROR(INDEX(tbl_Projets[Titre complet du projet],MATCH(B66,tbl_Projets[ID Projet],0)),""))</f>
        <v/>
      </c>
      <c r="D66" s="212" t="str">
        <f aca="false">IF(B66="","",IFERROR(INDEX(tbl_Projets[Domaine d''intervention],MATCH(B66,tbl_Projets[ID Projet],0)),""))</f>
        <v/>
      </c>
      <c r="E66" s="212" t="str">
        <f aca="false">IF(B66="","",IFERROR(INDEX(tbl_Projets[Statut du projet],MATCH(B66,tbl_Projets[ID Projet],0)),""))</f>
        <v/>
      </c>
      <c r="F66" s="213"/>
      <c r="G66" s="214" t="str">
        <f aca="false">IF(F66="","",IFERROR(INDEX(tbl_Activites[Intitule de l''activite],MATCH(F66,tbl_Activites[ID Activite],0)),""))</f>
        <v/>
      </c>
      <c r="H66" s="212" t="str">
        <f aca="false">IF(F66="","",IFERROR(INDEX(tbl_Activites[Statut de l''activite],MATCH(F66,tbl_Activites[ID Activite],0)),""))</f>
        <v/>
      </c>
      <c r="I66" s="213"/>
      <c r="J66" s="214" t="str">
        <f aca="false">IF(B66="","",IFERROR(INDEX(tbl_Projets[Objectif general],MATCH(B66,tbl_Projets[ID Projet],0)),""))</f>
        <v/>
      </c>
      <c r="K66" s="213"/>
      <c r="L66" s="213"/>
      <c r="M66" s="213"/>
      <c r="N66" s="213"/>
      <c r="O66" s="213"/>
      <c r="P66" s="213"/>
      <c r="Q66" s="213"/>
      <c r="R66" s="213"/>
      <c r="S66" s="213"/>
      <c r="T66" s="212" t="str">
        <f aca="false">IF(S66="","",IFERROR(INDEX(tbl_RH[Nom complet],MATCH(S66,tbl_RH[ID RH],0)),""))</f>
        <v/>
      </c>
      <c r="U66" s="212" t="str">
        <f aca="false">IF(S66="","",IFERROR(INDEX(tbl_RH[Fonction],MATCH(S66,tbl_RH[ID RH],0)),""))</f>
        <v/>
      </c>
      <c r="V66" s="213"/>
      <c r="W66" s="213"/>
      <c r="X66" s="213"/>
      <c r="Y66" s="213"/>
      <c r="Z66" s="213"/>
      <c r="AA66" s="213"/>
      <c r="AB66" s="213"/>
      <c r="AC66" s="215" t="str">
        <f aca="false">IF(AB66="","",INDEX(PARAMETRES!$C$53:$C$64,MONTH(AB66))&amp;" "&amp;YEAR(AB66))</f>
        <v/>
      </c>
      <c r="AD66" s="216" t="str">
        <f aca="false">IF(OR(M66="",AA66=""),"",IF(AND(Z66&lt;&gt;"",Z66&lt;&gt;0),IFERROR(AA66/Z66,""),IF(AND(Y66&lt;&gt;"",Y66&lt;&gt;0),IFERROR(AA66/Y66,""),"")))</f>
        <v/>
      </c>
      <c r="AE66" s="215" t="str">
        <f aca="false">IF(AD66="","",IF(AND(Z66&lt;&gt;"",Z66&lt;&gt;0),AA66-Z66,IF(AND(Y66&lt;&gt;"",Y66&lt;&gt;0),AA66-Y66,"")))</f>
        <v/>
      </c>
      <c r="AF66" s="216" t="str">
        <f aca="false">IF(AD66="","",AD66-1)</f>
        <v/>
      </c>
      <c r="AG66" s="215" t="str">
        <f aca="false">IF(AD66="","",IF(AD66&gt;=1,"Excellent",IF(AD66&gt;=0.9,"Bon",IF(AD66&gt;=0.7,"Moyen",IF(AD66&gt;=0.5,"Faible","Critique")))))</f>
        <v/>
      </c>
      <c r="AH66" s="215" t="str">
        <f aca="false">IF(AD66="","",IF(AD66&gt;=1,"OK - Cible atteinte",IF(AD66&gt;=0.8,"Attention","Insuffisant")))</f>
        <v/>
      </c>
      <c r="AI66" s="213"/>
      <c r="AJ66" s="213"/>
      <c r="AK66" s="213"/>
      <c r="AL66" s="213"/>
      <c r="AM66" s="213"/>
      <c r="AN66" s="216" t="str">
        <f aca="false">IF(AI66="","",IF(AI66=0,"",IFERROR(AJ66/AI66,"")))</f>
        <v/>
      </c>
      <c r="AO66" s="213"/>
      <c r="AP66" s="212" t="str">
        <f aca="false">IF(AO66="","",IFERROR(INDEX(PARAMETRES!$D$536:$D$586,MATCH(AO66,PARAMETRES!$J$536:$J$586,0)),""))</f>
        <v/>
      </c>
      <c r="AQ66" s="212" t="str">
        <f aca="false">IF(AO66="","",IFERROR(INDEX(PARAMETRES!$F$536:$F$586,MATCH(AO66,PARAMETRES!$J$536:$J$586,0)),""))</f>
        <v/>
      </c>
      <c r="AR66" s="213"/>
      <c r="AS66" s="213"/>
      <c r="AT66" s="213"/>
      <c r="AU66" s="213"/>
      <c r="AV66" s="213"/>
      <c r="AW66" s="213"/>
      <c r="AX66" s="213"/>
      <c r="AY66" s="215" t="str">
        <f aca="false">IF(M66="","",IF(AND(AA66="",OR(Y66&lt;&gt;"",Z66&lt;&gt;"")),"Donnee manquante",IF(AD66&lt;0.8,"Cible non atteinte",IF(AD66&lt;1,"A surveiller","OK"))))</f>
        <v/>
      </c>
      <c r="AZ66" s="213"/>
    </row>
    <row r="67" customFormat="false" ht="15" hidden="false" customHeight="true" outlineLevel="0" collapsed="false">
      <c r="A67" s="212" t="str">
        <f aca="false">IF(M67="","","IND"&amp;TEXT(ROW()-54,"00000"))</f>
        <v/>
      </c>
      <c r="B67" s="213"/>
      <c r="C67" s="214" t="str">
        <f aca="false">IF(B67="","",IFERROR(INDEX(tbl_Projets[Titre complet du projet],MATCH(B67,tbl_Projets[ID Projet],0)),""))</f>
        <v/>
      </c>
      <c r="D67" s="212" t="str">
        <f aca="false">IF(B67="","",IFERROR(INDEX(tbl_Projets[Domaine d''intervention],MATCH(B67,tbl_Projets[ID Projet],0)),""))</f>
        <v/>
      </c>
      <c r="E67" s="212" t="str">
        <f aca="false">IF(B67="","",IFERROR(INDEX(tbl_Projets[Statut du projet],MATCH(B67,tbl_Projets[ID Projet],0)),""))</f>
        <v/>
      </c>
      <c r="F67" s="213"/>
      <c r="G67" s="214" t="str">
        <f aca="false">IF(F67="","",IFERROR(INDEX(tbl_Activites[Intitule de l''activite],MATCH(F67,tbl_Activites[ID Activite],0)),""))</f>
        <v/>
      </c>
      <c r="H67" s="212" t="str">
        <f aca="false">IF(F67="","",IFERROR(INDEX(tbl_Activites[Statut de l''activite],MATCH(F67,tbl_Activites[ID Activite],0)),""))</f>
        <v/>
      </c>
      <c r="I67" s="213"/>
      <c r="J67" s="214" t="str">
        <f aca="false">IF(B67="","",IFERROR(INDEX(tbl_Projets[Objectif general],MATCH(B67,tbl_Projets[ID Projet],0)),""))</f>
        <v/>
      </c>
      <c r="K67" s="213"/>
      <c r="L67" s="213"/>
      <c r="M67" s="213"/>
      <c r="N67" s="213"/>
      <c r="O67" s="213"/>
      <c r="P67" s="213"/>
      <c r="Q67" s="213"/>
      <c r="R67" s="213"/>
      <c r="S67" s="213"/>
      <c r="T67" s="212" t="str">
        <f aca="false">IF(S67="","",IFERROR(INDEX(tbl_RH[Nom complet],MATCH(S67,tbl_RH[ID RH],0)),""))</f>
        <v/>
      </c>
      <c r="U67" s="212" t="str">
        <f aca="false">IF(S67="","",IFERROR(INDEX(tbl_RH[Fonction],MATCH(S67,tbl_RH[ID RH],0)),""))</f>
        <v/>
      </c>
      <c r="V67" s="213"/>
      <c r="W67" s="213"/>
      <c r="X67" s="213"/>
      <c r="Y67" s="213"/>
      <c r="Z67" s="213"/>
      <c r="AA67" s="213"/>
      <c r="AB67" s="213"/>
      <c r="AC67" s="215" t="str">
        <f aca="false">IF(AB67="","",INDEX(PARAMETRES!$C$53:$C$64,MONTH(AB67))&amp;" "&amp;YEAR(AB67))</f>
        <v/>
      </c>
      <c r="AD67" s="216" t="str">
        <f aca="false">IF(OR(M67="",AA67=""),"",IF(AND(Z67&lt;&gt;"",Z67&lt;&gt;0),IFERROR(AA67/Z67,""),IF(AND(Y67&lt;&gt;"",Y67&lt;&gt;0),IFERROR(AA67/Y67,""),"")))</f>
        <v/>
      </c>
      <c r="AE67" s="215" t="str">
        <f aca="false">IF(AD67="","",IF(AND(Z67&lt;&gt;"",Z67&lt;&gt;0),AA67-Z67,IF(AND(Y67&lt;&gt;"",Y67&lt;&gt;0),AA67-Y67,"")))</f>
        <v/>
      </c>
      <c r="AF67" s="216" t="str">
        <f aca="false">IF(AD67="","",AD67-1)</f>
        <v/>
      </c>
      <c r="AG67" s="215" t="str">
        <f aca="false">IF(AD67="","",IF(AD67&gt;=1,"Excellent",IF(AD67&gt;=0.9,"Bon",IF(AD67&gt;=0.7,"Moyen",IF(AD67&gt;=0.5,"Faible","Critique")))))</f>
        <v/>
      </c>
      <c r="AH67" s="215" t="str">
        <f aca="false">IF(AD67="","",IF(AD67&gt;=1,"OK - Cible atteinte",IF(AD67&gt;=0.8,"Attention","Insuffisant")))</f>
        <v/>
      </c>
      <c r="AI67" s="213"/>
      <c r="AJ67" s="213"/>
      <c r="AK67" s="213"/>
      <c r="AL67" s="213"/>
      <c r="AM67" s="213"/>
      <c r="AN67" s="216" t="str">
        <f aca="false">IF(AI67="","",IF(AI67=0,"",IFERROR(AJ67/AI67,"")))</f>
        <v/>
      </c>
      <c r="AO67" s="213"/>
      <c r="AP67" s="212" t="str">
        <f aca="false">IF(AO67="","",IFERROR(INDEX(PARAMETRES!$D$536:$D$586,MATCH(AO67,PARAMETRES!$J$536:$J$586,0)),""))</f>
        <v/>
      </c>
      <c r="AQ67" s="212" t="str">
        <f aca="false">IF(AO67="","",IFERROR(INDEX(PARAMETRES!$F$536:$F$586,MATCH(AO67,PARAMETRES!$J$536:$J$586,0)),""))</f>
        <v/>
      </c>
      <c r="AR67" s="213"/>
      <c r="AS67" s="213"/>
      <c r="AT67" s="213"/>
      <c r="AU67" s="213"/>
      <c r="AV67" s="213"/>
      <c r="AW67" s="213"/>
      <c r="AX67" s="213"/>
      <c r="AY67" s="215" t="str">
        <f aca="false">IF(M67="","",IF(AND(AA67="",OR(Y67&lt;&gt;"",Z67&lt;&gt;"")),"Donnee manquante",IF(AD67&lt;0.8,"Cible non atteinte",IF(AD67&lt;1,"A surveiller","OK"))))</f>
        <v/>
      </c>
      <c r="AZ67" s="213"/>
    </row>
    <row r="68" customFormat="false" ht="15" hidden="false" customHeight="true" outlineLevel="0" collapsed="false">
      <c r="A68" s="212" t="str">
        <f aca="false">IF(M68="","","IND"&amp;TEXT(ROW()-54,"00000"))</f>
        <v/>
      </c>
      <c r="B68" s="213"/>
      <c r="C68" s="214" t="str">
        <f aca="false">IF(B68="","",IFERROR(INDEX(tbl_Projets[Titre complet du projet],MATCH(B68,tbl_Projets[ID Projet],0)),""))</f>
        <v/>
      </c>
      <c r="D68" s="212" t="str">
        <f aca="false">IF(B68="","",IFERROR(INDEX(tbl_Projets[Domaine d''intervention],MATCH(B68,tbl_Projets[ID Projet],0)),""))</f>
        <v/>
      </c>
      <c r="E68" s="212" t="str">
        <f aca="false">IF(B68="","",IFERROR(INDEX(tbl_Projets[Statut du projet],MATCH(B68,tbl_Projets[ID Projet],0)),""))</f>
        <v/>
      </c>
      <c r="F68" s="213"/>
      <c r="G68" s="214" t="str">
        <f aca="false">IF(F68="","",IFERROR(INDEX(tbl_Activites[Intitule de l''activite],MATCH(F68,tbl_Activites[ID Activite],0)),""))</f>
        <v/>
      </c>
      <c r="H68" s="212" t="str">
        <f aca="false">IF(F68="","",IFERROR(INDEX(tbl_Activites[Statut de l''activite],MATCH(F68,tbl_Activites[ID Activite],0)),""))</f>
        <v/>
      </c>
      <c r="I68" s="213"/>
      <c r="J68" s="214" t="str">
        <f aca="false">IF(B68="","",IFERROR(INDEX(tbl_Projets[Objectif general],MATCH(B68,tbl_Projets[ID Projet],0)),""))</f>
        <v/>
      </c>
      <c r="K68" s="213"/>
      <c r="L68" s="213"/>
      <c r="M68" s="213"/>
      <c r="N68" s="213"/>
      <c r="O68" s="213"/>
      <c r="P68" s="213"/>
      <c r="Q68" s="213"/>
      <c r="R68" s="213"/>
      <c r="S68" s="213"/>
      <c r="T68" s="212" t="str">
        <f aca="false">IF(S68="","",IFERROR(INDEX(tbl_RH[Nom complet],MATCH(S68,tbl_RH[ID RH],0)),""))</f>
        <v/>
      </c>
      <c r="U68" s="212" t="str">
        <f aca="false">IF(S68="","",IFERROR(INDEX(tbl_RH[Fonction],MATCH(S68,tbl_RH[ID RH],0)),""))</f>
        <v/>
      </c>
      <c r="V68" s="213"/>
      <c r="W68" s="213"/>
      <c r="X68" s="213"/>
      <c r="Y68" s="213"/>
      <c r="Z68" s="213"/>
      <c r="AA68" s="213"/>
      <c r="AB68" s="213"/>
      <c r="AC68" s="215" t="str">
        <f aca="false">IF(AB68="","",INDEX(PARAMETRES!$C$53:$C$64,MONTH(AB68))&amp;" "&amp;YEAR(AB68))</f>
        <v/>
      </c>
      <c r="AD68" s="216" t="str">
        <f aca="false">IF(OR(M68="",AA68=""),"",IF(AND(Z68&lt;&gt;"",Z68&lt;&gt;0),IFERROR(AA68/Z68,""),IF(AND(Y68&lt;&gt;"",Y68&lt;&gt;0),IFERROR(AA68/Y68,""),"")))</f>
        <v/>
      </c>
      <c r="AE68" s="215" t="str">
        <f aca="false">IF(AD68="","",IF(AND(Z68&lt;&gt;"",Z68&lt;&gt;0),AA68-Z68,IF(AND(Y68&lt;&gt;"",Y68&lt;&gt;0),AA68-Y68,"")))</f>
        <v/>
      </c>
      <c r="AF68" s="216" t="str">
        <f aca="false">IF(AD68="","",AD68-1)</f>
        <v/>
      </c>
      <c r="AG68" s="215" t="str">
        <f aca="false">IF(AD68="","",IF(AD68&gt;=1,"Excellent",IF(AD68&gt;=0.9,"Bon",IF(AD68&gt;=0.7,"Moyen",IF(AD68&gt;=0.5,"Faible","Critique")))))</f>
        <v/>
      </c>
      <c r="AH68" s="215" t="str">
        <f aca="false">IF(AD68="","",IF(AD68&gt;=1,"OK - Cible atteinte",IF(AD68&gt;=0.8,"Attention","Insuffisant")))</f>
        <v/>
      </c>
      <c r="AI68" s="213"/>
      <c r="AJ68" s="213"/>
      <c r="AK68" s="213"/>
      <c r="AL68" s="213"/>
      <c r="AM68" s="213"/>
      <c r="AN68" s="216" t="str">
        <f aca="false">IF(AI68="","",IF(AI68=0,"",IFERROR(AJ68/AI68,"")))</f>
        <v/>
      </c>
      <c r="AO68" s="213"/>
      <c r="AP68" s="212" t="str">
        <f aca="false">IF(AO68="","",IFERROR(INDEX(PARAMETRES!$D$536:$D$586,MATCH(AO68,PARAMETRES!$J$536:$J$586,0)),""))</f>
        <v/>
      </c>
      <c r="AQ68" s="212" t="str">
        <f aca="false">IF(AO68="","",IFERROR(INDEX(PARAMETRES!$F$536:$F$586,MATCH(AO68,PARAMETRES!$J$536:$J$586,0)),""))</f>
        <v/>
      </c>
      <c r="AR68" s="213"/>
      <c r="AS68" s="213"/>
      <c r="AT68" s="213"/>
      <c r="AU68" s="213"/>
      <c r="AV68" s="213"/>
      <c r="AW68" s="213"/>
      <c r="AX68" s="213"/>
      <c r="AY68" s="215" t="str">
        <f aca="false">IF(M68="","",IF(AND(AA68="",OR(Y68&lt;&gt;"",Z68&lt;&gt;"")),"Donnee manquante",IF(AD68&lt;0.8,"Cible non atteinte",IF(AD68&lt;1,"A surveiller","OK"))))</f>
        <v/>
      </c>
      <c r="AZ68" s="213"/>
    </row>
    <row r="69" customFormat="false" ht="15" hidden="false" customHeight="true" outlineLevel="0" collapsed="false">
      <c r="A69" s="212" t="str">
        <f aca="false">IF(M69="","","IND"&amp;TEXT(ROW()-54,"00000"))</f>
        <v/>
      </c>
      <c r="B69" s="213"/>
      <c r="C69" s="214" t="str">
        <f aca="false">IF(B69="","",IFERROR(INDEX(tbl_Projets[Titre complet du projet],MATCH(B69,tbl_Projets[ID Projet],0)),""))</f>
        <v/>
      </c>
      <c r="D69" s="212" t="str">
        <f aca="false">IF(B69="","",IFERROR(INDEX(tbl_Projets[Domaine d''intervention],MATCH(B69,tbl_Projets[ID Projet],0)),""))</f>
        <v/>
      </c>
      <c r="E69" s="212" t="str">
        <f aca="false">IF(B69="","",IFERROR(INDEX(tbl_Projets[Statut du projet],MATCH(B69,tbl_Projets[ID Projet],0)),""))</f>
        <v/>
      </c>
      <c r="F69" s="213"/>
      <c r="G69" s="214" t="str">
        <f aca="false">IF(F69="","",IFERROR(INDEX(tbl_Activites[Intitule de l''activite],MATCH(F69,tbl_Activites[ID Activite],0)),""))</f>
        <v/>
      </c>
      <c r="H69" s="212" t="str">
        <f aca="false">IF(F69="","",IFERROR(INDEX(tbl_Activites[Statut de l''activite],MATCH(F69,tbl_Activites[ID Activite],0)),""))</f>
        <v/>
      </c>
      <c r="I69" s="213"/>
      <c r="J69" s="214" t="str">
        <f aca="false">IF(B69="","",IFERROR(INDEX(tbl_Projets[Objectif general],MATCH(B69,tbl_Projets[ID Projet],0)),""))</f>
        <v/>
      </c>
      <c r="K69" s="213"/>
      <c r="L69" s="213"/>
      <c r="M69" s="213"/>
      <c r="N69" s="213"/>
      <c r="O69" s="213"/>
      <c r="P69" s="213"/>
      <c r="Q69" s="213"/>
      <c r="R69" s="213"/>
      <c r="S69" s="213"/>
      <c r="T69" s="212" t="str">
        <f aca="false">IF(S69="","",IFERROR(INDEX(tbl_RH[Nom complet],MATCH(S69,tbl_RH[ID RH],0)),""))</f>
        <v/>
      </c>
      <c r="U69" s="212" t="str">
        <f aca="false">IF(S69="","",IFERROR(INDEX(tbl_RH[Fonction],MATCH(S69,tbl_RH[ID RH],0)),""))</f>
        <v/>
      </c>
      <c r="V69" s="213"/>
      <c r="W69" s="213"/>
      <c r="X69" s="213"/>
      <c r="Y69" s="213"/>
      <c r="Z69" s="213"/>
      <c r="AA69" s="213"/>
      <c r="AB69" s="213"/>
      <c r="AC69" s="215" t="str">
        <f aca="false">IF(AB69="","",INDEX(PARAMETRES!$C$53:$C$64,MONTH(AB69))&amp;" "&amp;YEAR(AB69))</f>
        <v/>
      </c>
      <c r="AD69" s="216" t="str">
        <f aca="false">IF(OR(M69="",AA69=""),"",IF(AND(Z69&lt;&gt;"",Z69&lt;&gt;0),IFERROR(AA69/Z69,""),IF(AND(Y69&lt;&gt;"",Y69&lt;&gt;0),IFERROR(AA69/Y69,""),"")))</f>
        <v/>
      </c>
      <c r="AE69" s="215" t="str">
        <f aca="false">IF(AD69="","",IF(AND(Z69&lt;&gt;"",Z69&lt;&gt;0),AA69-Z69,IF(AND(Y69&lt;&gt;"",Y69&lt;&gt;0),AA69-Y69,"")))</f>
        <v/>
      </c>
      <c r="AF69" s="216" t="str">
        <f aca="false">IF(AD69="","",AD69-1)</f>
        <v/>
      </c>
      <c r="AG69" s="215" t="str">
        <f aca="false">IF(AD69="","",IF(AD69&gt;=1,"Excellent",IF(AD69&gt;=0.9,"Bon",IF(AD69&gt;=0.7,"Moyen",IF(AD69&gt;=0.5,"Faible","Critique")))))</f>
        <v/>
      </c>
      <c r="AH69" s="215" t="str">
        <f aca="false">IF(AD69="","",IF(AD69&gt;=1,"OK - Cible atteinte",IF(AD69&gt;=0.8,"Attention","Insuffisant")))</f>
        <v/>
      </c>
      <c r="AI69" s="213"/>
      <c r="AJ69" s="213"/>
      <c r="AK69" s="213"/>
      <c r="AL69" s="213"/>
      <c r="AM69" s="213"/>
      <c r="AN69" s="216" t="str">
        <f aca="false">IF(AI69="","",IF(AI69=0,"",IFERROR(AJ69/AI69,"")))</f>
        <v/>
      </c>
      <c r="AO69" s="213"/>
      <c r="AP69" s="212" t="str">
        <f aca="false">IF(AO69="","",IFERROR(INDEX(PARAMETRES!$D$536:$D$586,MATCH(AO69,PARAMETRES!$J$536:$J$586,0)),""))</f>
        <v/>
      </c>
      <c r="AQ69" s="212" t="str">
        <f aca="false">IF(AO69="","",IFERROR(INDEX(PARAMETRES!$F$536:$F$586,MATCH(AO69,PARAMETRES!$J$536:$J$586,0)),""))</f>
        <v/>
      </c>
      <c r="AR69" s="213"/>
      <c r="AS69" s="213"/>
      <c r="AT69" s="213"/>
      <c r="AU69" s="213"/>
      <c r="AV69" s="213"/>
      <c r="AW69" s="213"/>
      <c r="AX69" s="213"/>
      <c r="AY69" s="215" t="str">
        <f aca="false">IF(M69="","",IF(AND(AA69="",OR(Y69&lt;&gt;"",Z69&lt;&gt;"")),"Donnee manquante",IF(AD69&lt;0.8,"Cible non atteinte",IF(AD69&lt;1,"A surveiller","OK"))))</f>
        <v/>
      </c>
      <c r="AZ69" s="213"/>
    </row>
    <row r="70" customFormat="false" ht="15" hidden="false" customHeight="true" outlineLevel="0" collapsed="false">
      <c r="A70" s="212" t="str">
        <f aca="false">IF(M70="","","IND"&amp;TEXT(ROW()-54,"00000"))</f>
        <v/>
      </c>
      <c r="B70" s="213"/>
      <c r="C70" s="214" t="str">
        <f aca="false">IF(B70="","",IFERROR(INDEX(tbl_Projets[Titre complet du projet],MATCH(B70,tbl_Projets[ID Projet],0)),""))</f>
        <v/>
      </c>
      <c r="D70" s="212" t="str">
        <f aca="false">IF(B70="","",IFERROR(INDEX(tbl_Projets[Domaine d''intervention],MATCH(B70,tbl_Projets[ID Projet],0)),""))</f>
        <v/>
      </c>
      <c r="E70" s="212" t="str">
        <f aca="false">IF(B70="","",IFERROR(INDEX(tbl_Projets[Statut du projet],MATCH(B70,tbl_Projets[ID Projet],0)),""))</f>
        <v/>
      </c>
      <c r="F70" s="213"/>
      <c r="G70" s="214" t="str">
        <f aca="false">IF(F70="","",IFERROR(INDEX(tbl_Activites[Intitule de l''activite],MATCH(F70,tbl_Activites[ID Activite],0)),""))</f>
        <v/>
      </c>
      <c r="H70" s="212" t="str">
        <f aca="false">IF(F70="","",IFERROR(INDEX(tbl_Activites[Statut de l''activite],MATCH(F70,tbl_Activites[ID Activite],0)),""))</f>
        <v/>
      </c>
      <c r="I70" s="213"/>
      <c r="J70" s="214" t="str">
        <f aca="false">IF(B70="","",IFERROR(INDEX(tbl_Projets[Objectif general],MATCH(B70,tbl_Projets[ID Projet],0)),""))</f>
        <v/>
      </c>
      <c r="K70" s="213"/>
      <c r="L70" s="213"/>
      <c r="M70" s="213"/>
      <c r="N70" s="213"/>
      <c r="O70" s="213"/>
      <c r="P70" s="213"/>
      <c r="Q70" s="213"/>
      <c r="R70" s="213"/>
      <c r="S70" s="213"/>
      <c r="T70" s="212" t="str">
        <f aca="false">IF(S70="","",IFERROR(INDEX(tbl_RH[Nom complet],MATCH(S70,tbl_RH[ID RH],0)),""))</f>
        <v/>
      </c>
      <c r="U70" s="212" t="str">
        <f aca="false">IF(S70="","",IFERROR(INDEX(tbl_RH[Fonction],MATCH(S70,tbl_RH[ID RH],0)),""))</f>
        <v/>
      </c>
      <c r="V70" s="213"/>
      <c r="W70" s="213"/>
      <c r="X70" s="213"/>
      <c r="Y70" s="213"/>
      <c r="Z70" s="213"/>
      <c r="AA70" s="213"/>
      <c r="AB70" s="213"/>
      <c r="AC70" s="215" t="str">
        <f aca="false">IF(AB70="","",INDEX(PARAMETRES!$C$53:$C$64,MONTH(AB70))&amp;" "&amp;YEAR(AB70))</f>
        <v/>
      </c>
      <c r="AD70" s="216" t="str">
        <f aca="false">IF(OR(M70="",AA70=""),"",IF(AND(Z70&lt;&gt;"",Z70&lt;&gt;0),IFERROR(AA70/Z70,""),IF(AND(Y70&lt;&gt;"",Y70&lt;&gt;0),IFERROR(AA70/Y70,""),"")))</f>
        <v/>
      </c>
      <c r="AE70" s="215" t="str">
        <f aca="false">IF(AD70="","",IF(AND(Z70&lt;&gt;"",Z70&lt;&gt;0),AA70-Z70,IF(AND(Y70&lt;&gt;"",Y70&lt;&gt;0),AA70-Y70,"")))</f>
        <v/>
      </c>
      <c r="AF70" s="216" t="str">
        <f aca="false">IF(AD70="","",AD70-1)</f>
        <v/>
      </c>
      <c r="AG70" s="215" t="str">
        <f aca="false">IF(AD70="","",IF(AD70&gt;=1,"Excellent",IF(AD70&gt;=0.9,"Bon",IF(AD70&gt;=0.7,"Moyen",IF(AD70&gt;=0.5,"Faible","Critique")))))</f>
        <v/>
      </c>
      <c r="AH70" s="215" t="str">
        <f aca="false">IF(AD70="","",IF(AD70&gt;=1,"OK - Cible atteinte",IF(AD70&gt;=0.8,"Attention","Insuffisant")))</f>
        <v/>
      </c>
      <c r="AI70" s="213"/>
      <c r="AJ70" s="213"/>
      <c r="AK70" s="213"/>
      <c r="AL70" s="213"/>
      <c r="AM70" s="213"/>
      <c r="AN70" s="216" t="str">
        <f aca="false">IF(AI70="","",IF(AI70=0,"",IFERROR(AJ70/AI70,"")))</f>
        <v/>
      </c>
      <c r="AO70" s="213"/>
      <c r="AP70" s="212" t="str">
        <f aca="false">IF(AO70="","",IFERROR(INDEX(PARAMETRES!$D$536:$D$586,MATCH(AO70,PARAMETRES!$J$536:$J$586,0)),""))</f>
        <v/>
      </c>
      <c r="AQ70" s="212" t="str">
        <f aca="false">IF(AO70="","",IFERROR(INDEX(PARAMETRES!$F$536:$F$586,MATCH(AO70,PARAMETRES!$J$536:$J$586,0)),""))</f>
        <v/>
      </c>
      <c r="AR70" s="213"/>
      <c r="AS70" s="213"/>
      <c r="AT70" s="213"/>
      <c r="AU70" s="213"/>
      <c r="AV70" s="213"/>
      <c r="AW70" s="213"/>
      <c r="AX70" s="213"/>
      <c r="AY70" s="215" t="str">
        <f aca="false">IF(M70="","",IF(AND(AA70="",OR(Y70&lt;&gt;"",Z70&lt;&gt;"")),"Donnee manquante",IF(AD70&lt;0.8,"Cible non atteinte",IF(AD70&lt;1,"A surveiller","OK"))))</f>
        <v/>
      </c>
      <c r="AZ70" s="213"/>
    </row>
    <row r="71" customFormat="false" ht="15" hidden="false" customHeight="true" outlineLevel="0" collapsed="false">
      <c r="A71" s="212" t="str">
        <f aca="false">IF(M71="","","IND"&amp;TEXT(ROW()-54,"00000"))</f>
        <v/>
      </c>
      <c r="B71" s="213"/>
      <c r="C71" s="214" t="str">
        <f aca="false">IF(B71="","",IFERROR(INDEX(tbl_Projets[Titre complet du projet],MATCH(B71,tbl_Projets[ID Projet],0)),""))</f>
        <v/>
      </c>
      <c r="D71" s="212" t="str">
        <f aca="false">IF(B71="","",IFERROR(INDEX(tbl_Projets[Domaine d''intervention],MATCH(B71,tbl_Projets[ID Projet],0)),""))</f>
        <v/>
      </c>
      <c r="E71" s="212" t="str">
        <f aca="false">IF(B71="","",IFERROR(INDEX(tbl_Projets[Statut du projet],MATCH(B71,tbl_Projets[ID Projet],0)),""))</f>
        <v/>
      </c>
      <c r="F71" s="213"/>
      <c r="G71" s="214" t="str">
        <f aca="false">IF(F71="","",IFERROR(INDEX(tbl_Activites[Intitule de l''activite],MATCH(F71,tbl_Activites[ID Activite],0)),""))</f>
        <v/>
      </c>
      <c r="H71" s="212" t="str">
        <f aca="false">IF(F71="","",IFERROR(INDEX(tbl_Activites[Statut de l''activite],MATCH(F71,tbl_Activites[ID Activite],0)),""))</f>
        <v/>
      </c>
      <c r="I71" s="213"/>
      <c r="J71" s="214" t="str">
        <f aca="false">IF(B71="","",IFERROR(INDEX(tbl_Projets[Objectif general],MATCH(B71,tbl_Projets[ID Projet],0)),""))</f>
        <v/>
      </c>
      <c r="K71" s="213"/>
      <c r="L71" s="213"/>
      <c r="M71" s="213"/>
      <c r="N71" s="213"/>
      <c r="O71" s="213"/>
      <c r="P71" s="213"/>
      <c r="Q71" s="213"/>
      <c r="R71" s="213"/>
      <c r="S71" s="213"/>
      <c r="T71" s="212" t="str">
        <f aca="false">IF(S71="","",IFERROR(INDEX(tbl_RH[Nom complet],MATCH(S71,tbl_RH[ID RH],0)),""))</f>
        <v/>
      </c>
      <c r="U71" s="212" t="str">
        <f aca="false">IF(S71="","",IFERROR(INDEX(tbl_RH[Fonction],MATCH(S71,tbl_RH[ID RH],0)),""))</f>
        <v/>
      </c>
      <c r="V71" s="213"/>
      <c r="W71" s="213"/>
      <c r="X71" s="213"/>
      <c r="Y71" s="213"/>
      <c r="Z71" s="213"/>
      <c r="AA71" s="213"/>
      <c r="AB71" s="213"/>
      <c r="AC71" s="215" t="str">
        <f aca="false">IF(AB71="","",INDEX(PARAMETRES!$C$53:$C$64,MONTH(AB71))&amp;" "&amp;YEAR(AB71))</f>
        <v/>
      </c>
      <c r="AD71" s="216" t="str">
        <f aca="false">IF(OR(M71="",AA71=""),"",IF(AND(Z71&lt;&gt;"",Z71&lt;&gt;0),IFERROR(AA71/Z71,""),IF(AND(Y71&lt;&gt;"",Y71&lt;&gt;0),IFERROR(AA71/Y71,""),"")))</f>
        <v/>
      </c>
      <c r="AE71" s="215" t="str">
        <f aca="false">IF(AD71="","",IF(AND(Z71&lt;&gt;"",Z71&lt;&gt;0),AA71-Z71,IF(AND(Y71&lt;&gt;"",Y71&lt;&gt;0),AA71-Y71,"")))</f>
        <v/>
      </c>
      <c r="AF71" s="216" t="str">
        <f aca="false">IF(AD71="","",AD71-1)</f>
        <v/>
      </c>
      <c r="AG71" s="215" t="str">
        <f aca="false">IF(AD71="","",IF(AD71&gt;=1,"Excellent",IF(AD71&gt;=0.9,"Bon",IF(AD71&gt;=0.7,"Moyen",IF(AD71&gt;=0.5,"Faible","Critique")))))</f>
        <v/>
      </c>
      <c r="AH71" s="215" t="str">
        <f aca="false">IF(AD71="","",IF(AD71&gt;=1,"OK - Cible atteinte",IF(AD71&gt;=0.8,"Attention","Insuffisant")))</f>
        <v/>
      </c>
      <c r="AI71" s="213"/>
      <c r="AJ71" s="213"/>
      <c r="AK71" s="213"/>
      <c r="AL71" s="213"/>
      <c r="AM71" s="213"/>
      <c r="AN71" s="216" t="str">
        <f aca="false">IF(AI71="","",IF(AI71=0,"",IFERROR(AJ71/AI71,"")))</f>
        <v/>
      </c>
      <c r="AO71" s="213"/>
      <c r="AP71" s="212" t="str">
        <f aca="false">IF(AO71="","",IFERROR(INDEX(PARAMETRES!$D$536:$D$586,MATCH(AO71,PARAMETRES!$J$536:$J$586,0)),""))</f>
        <v/>
      </c>
      <c r="AQ71" s="212" t="str">
        <f aca="false">IF(AO71="","",IFERROR(INDEX(PARAMETRES!$F$536:$F$586,MATCH(AO71,PARAMETRES!$J$536:$J$586,0)),""))</f>
        <v/>
      </c>
      <c r="AR71" s="213"/>
      <c r="AS71" s="213"/>
      <c r="AT71" s="213"/>
      <c r="AU71" s="213"/>
      <c r="AV71" s="213"/>
      <c r="AW71" s="213"/>
      <c r="AX71" s="213"/>
      <c r="AY71" s="215" t="str">
        <f aca="false">IF(M71="","",IF(AND(AA71="",OR(Y71&lt;&gt;"",Z71&lt;&gt;"")),"Donnee manquante",IF(AD71&lt;0.8,"Cible non atteinte",IF(AD71&lt;1,"A surveiller","OK"))))</f>
        <v/>
      </c>
      <c r="AZ71" s="213"/>
    </row>
    <row r="72" customFormat="false" ht="15" hidden="false" customHeight="true" outlineLevel="0" collapsed="false">
      <c r="A72" s="212" t="str">
        <f aca="false">IF(M72="","","IND"&amp;TEXT(ROW()-54,"00000"))</f>
        <v/>
      </c>
      <c r="B72" s="213"/>
      <c r="C72" s="214" t="str">
        <f aca="false">IF(B72="","",IFERROR(INDEX(tbl_Projets[Titre complet du projet],MATCH(B72,tbl_Projets[ID Projet],0)),""))</f>
        <v/>
      </c>
      <c r="D72" s="212" t="str">
        <f aca="false">IF(B72="","",IFERROR(INDEX(tbl_Projets[Domaine d''intervention],MATCH(B72,tbl_Projets[ID Projet],0)),""))</f>
        <v/>
      </c>
      <c r="E72" s="212" t="str">
        <f aca="false">IF(B72="","",IFERROR(INDEX(tbl_Projets[Statut du projet],MATCH(B72,tbl_Projets[ID Projet],0)),""))</f>
        <v/>
      </c>
      <c r="F72" s="213"/>
      <c r="G72" s="214" t="str">
        <f aca="false">IF(F72="","",IFERROR(INDEX(tbl_Activites[Intitule de l''activite],MATCH(F72,tbl_Activites[ID Activite],0)),""))</f>
        <v/>
      </c>
      <c r="H72" s="212" t="str">
        <f aca="false">IF(F72="","",IFERROR(INDEX(tbl_Activites[Statut de l''activite],MATCH(F72,tbl_Activites[ID Activite],0)),""))</f>
        <v/>
      </c>
      <c r="I72" s="213"/>
      <c r="J72" s="214" t="str">
        <f aca="false">IF(B72="","",IFERROR(INDEX(tbl_Projets[Objectif general],MATCH(B72,tbl_Projets[ID Projet],0)),""))</f>
        <v/>
      </c>
      <c r="K72" s="213"/>
      <c r="L72" s="213"/>
      <c r="M72" s="213"/>
      <c r="N72" s="213"/>
      <c r="O72" s="213"/>
      <c r="P72" s="213"/>
      <c r="Q72" s="213"/>
      <c r="R72" s="213"/>
      <c r="S72" s="213"/>
      <c r="T72" s="212" t="str">
        <f aca="false">IF(S72="","",IFERROR(INDEX(tbl_RH[Nom complet],MATCH(S72,tbl_RH[ID RH],0)),""))</f>
        <v/>
      </c>
      <c r="U72" s="212" t="str">
        <f aca="false">IF(S72="","",IFERROR(INDEX(tbl_RH[Fonction],MATCH(S72,tbl_RH[ID RH],0)),""))</f>
        <v/>
      </c>
      <c r="V72" s="213"/>
      <c r="W72" s="213"/>
      <c r="X72" s="213"/>
      <c r="Y72" s="213"/>
      <c r="Z72" s="213"/>
      <c r="AA72" s="213"/>
      <c r="AB72" s="213"/>
      <c r="AC72" s="215" t="str">
        <f aca="false">IF(AB72="","",INDEX(PARAMETRES!$C$53:$C$64,MONTH(AB72))&amp;" "&amp;YEAR(AB72))</f>
        <v/>
      </c>
      <c r="AD72" s="216" t="str">
        <f aca="false">IF(OR(M72="",AA72=""),"",IF(AND(Z72&lt;&gt;"",Z72&lt;&gt;0),IFERROR(AA72/Z72,""),IF(AND(Y72&lt;&gt;"",Y72&lt;&gt;0),IFERROR(AA72/Y72,""),"")))</f>
        <v/>
      </c>
      <c r="AE72" s="215" t="str">
        <f aca="false">IF(AD72="","",IF(AND(Z72&lt;&gt;"",Z72&lt;&gt;0),AA72-Z72,IF(AND(Y72&lt;&gt;"",Y72&lt;&gt;0),AA72-Y72,"")))</f>
        <v/>
      </c>
      <c r="AF72" s="216" t="str">
        <f aca="false">IF(AD72="","",AD72-1)</f>
        <v/>
      </c>
      <c r="AG72" s="215" t="str">
        <f aca="false">IF(AD72="","",IF(AD72&gt;=1,"Excellent",IF(AD72&gt;=0.9,"Bon",IF(AD72&gt;=0.7,"Moyen",IF(AD72&gt;=0.5,"Faible","Critique")))))</f>
        <v/>
      </c>
      <c r="AH72" s="215" t="str">
        <f aca="false">IF(AD72="","",IF(AD72&gt;=1,"OK - Cible atteinte",IF(AD72&gt;=0.8,"Attention","Insuffisant")))</f>
        <v/>
      </c>
      <c r="AI72" s="213"/>
      <c r="AJ72" s="213"/>
      <c r="AK72" s="213"/>
      <c r="AL72" s="213"/>
      <c r="AM72" s="213"/>
      <c r="AN72" s="216" t="str">
        <f aca="false">IF(AI72="","",IF(AI72=0,"",IFERROR(AJ72/AI72,"")))</f>
        <v/>
      </c>
      <c r="AO72" s="213"/>
      <c r="AP72" s="212" t="str">
        <f aca="false">IF(AO72="","",IFERROR(INDEX(PARAMETRES!$D$536:$D$586,MATCH(AO72,PARAMETRES!$J$536:$J$586,0)),""))</f>
        <v/>
      </c>
      <c r="AQ72" s="212" t="str">
        <f aca="false">IF(AO72="","",IFERROR(INDEX(PARAMETRES!$F$536:$F$586,MATCH(AO72,PARAMETRES!$J$536:$J$586,0)),""))</f>
        <v/>
      </c>
      <c r="AR72" s="213"/>
      <c r="AS72" s="213"/>
      <c r="AT72" s="213"/>
      <c r="AU72" s="213"/>
      <c r="AV72" s="213"/>
      <c r="AW72" s="213"/>
      <c r="AX72" s="213"/>
      <c r="AY72" s="215" t="str">
        <f aca="false">IF(M72="","",IF(AND(AA72="",OR(Y72&lt;&gt;"",Z72&lt;&gt;"")),"Donnee manquante",IF(AD72&lt;0.8,"Cible non atteinte",IF(AD72&lt;1,"A surveiller","OK"))))</f>
        <v/>
      </c>
      <c r="AZ72" s="213"/>
    </row>
    <row r="73" customFormat="false" ht="15" hidden="false" customHeight="true" outlineLevel="0" collapsed="false">
      <c r="A73" s="212" t="str">
        <f aca="false">IF(M73="","","IND"&amp;TEXT(ROW()-54,"00000"))</f>
        <v/>
      </c>
      <c r="B73" s="213"/>
      <c r="C73" s="214" t="str">
        <f aca="false">IF(B73="","",IFERROR(INDEX(tbl_Projets[Titre complet du projet],MATCH(B73,tbl_Projets[ID Projet],0)),""))</f>
        <v/>
      </c>
      <c r="D73" s="212" t="str">
        <f aca="false">IF(B73="","",IFERROR(INDEX(tbl_Projets[Domaine d''intervention],MATCH(B73,tbl_Projets[ID Projet],0)),""))</f>
        <v/>
      </c>
      <c r="E73" s="212" t="str">
        <f aca="false">IF(B73="","",IFERROR(INDEX(tbl_Projets[Statut du projet],MATCH(B73,tbl_Projets[ID Projet],0)),""))</f>
        <v/>
      </c>
      <c r="F73" s="213"/>
      <c r="G73" s="214" t="str">
        <f aca="false">IF(F73="","",IFERROR(INDEX(tbl_Activites[Intitule de l''activite],MATCH(F73,tbl_Activites[ID Activite],0)),""))</f>
        <v/>
      </c>
      <c r="H73" s="212" t="str">
        <f aca="false">IF(F73="","",IFERROR(INDEX(tbl_Activites[Statut de l''activite],MATCH(F73,tbl_Activites[ID Activite],0)),""))</f>
        <v/>
      </c>
      <c r="I73" s="213"/>
      <c r="J73" s="214" t="str">
        <f aca="false">IF(B73="","",IFERROR(INDEX(tbl_Projets[Objectif general],MATCH(B73,tbl_Projets[ID Projet],0)),""))</f>
        <v/>
      </c>
      <c r="K73" s="213"/>
      <c r="L73" s="213"/>
      <c r="M73" s="213"/>
      <c r="N73" s="213"/>
      <c r="O73" s="213"/>
      <c r="P73" s="213"/>
      <c r="Q73" s="213"/>
      <c r="R73" s="213"/>
      <c r="S73" s="213"/>
      <c r="T73" s="212" t="str">
        <f aca="false">IF(S73="","",IFERROR(INDEX(tbl_RH[Nom complet],MATCH(S73,tbl_RH[ID RH],0)),""))</f>
        <v/>
      </c>
      <c r="U73" s="212" t="str">
        <f aca="false">IF(S73="","",IFERROR(INDEX(tbl_RH[Fonction],MATCH(S73,tbl_RH[ID RH],0)),""))</f>
        <v/>
      </c>
      <c r="V73" s="213"/>
      <c r="W73" s="213"/>
      <c r="X73" s="213"/>
      <c r="Y73" s="213"/>
      <c r="Z73" s="213"/>
      <c r="AA73" s="213"/>
      <c r="AB73" s="213"/>
      <c r="AC73" s="215" t="str">
        <f aca="false">IF(AB73="","",INDEX(PARAMETRES!$C$53:$C$64,MONTH(AB73))&amp;" "&amp;YEAR(AB73))</f>
        <v/>
      </c>
      <c r="AD73" s="216" t="str">
        <f aca="false">IF(OR(M73="",AA73=""),"",IF(AND(Z73&lt;&gt;"",Z73&lt;&gt;0),IFERROR(AA73/Z73,""),IF(AND(Y73&lt;&gt;"",Y73&lt;&gt;0),IFERROR(AA73/Y73,""),"")))</f>
        <v/>
      </c>
      <c r="AE73" s="215" t="str">
        <f aca="false">IF(AD73="","",IF(AND(Z73&lt;&gt;"",Z73&lt;&gt;0),AA73-Z73,IF(AND(Y73&lt;&gt;"",Y73&lt;&gt;0),AA73-Y73,"")))</f>
        <v/>
      </c>
      <c r="AF73" s="216" t="str">
        <f aca="false">IF(AD73="","",AD73-1)</f>
        <v/>
      </c>
      <c r="AG73" s="215" t="str">
        <f aca="false">IF(AD73="","",IF(AD73&gt;=1,"Excellent",IF(AD73&gt;=0.9,"Bon",IF(AD73&gt;=0.7,"Moyen",IF(AD73&gt;=0.5,"Faible","Critique")))))</f>
        <v/>
      </c>
      <c r="AH73" s="215" t="str">
        <f aca="false">IF(AD73="","",IF(AD73&gt;=1,"OK - Cible atteinte",IF(AD73&gt;=0.8,"Attention","Insuffisant")))</f>
        <v/>
      </c>
      <c r="AI73" s="213"/>
      <c r="AJ73" s="213"/>
      <c r="AK73" s="213"/>
      <c r="AL73" s="213"/>
      <c r="AM73" s="213"/>
      <c r="AN73" s="216" t="str">
        <f aca="false">IF(AI73="","",IF(AI73=0,"",IFERROR(AJ73/AI73,"")))</f>
        <v/>
      </c>
      <c r="AO73" s="213"/>
      <c r="AP73" s="212" t="str">
        <f aca="false">IF(AO73="","",IFERROR(INDEX(PARAMETRES!$D$536:$D$586,MATCH(AO73,PARAMETRES!$J$536:$J$586,0)),""))</f>
        <v/>
      </c>
      <c r="AQ73" s="212" t="str">
        <f aca="false">IF(AO73="","",IFERROR(INDEX(PARAMETRES!$F$536:$F$586,MATCH(AO73,PARAMETRES!$J$536:$J$586,0)),""))</f>
        <v/>
      </c>
      <c r="AR73" s="213"/>
      <c r="AS73" s="213"/>
      <c r="AT73" s="213"/>
      <c r="AU73" s="213"/>
      <c r="AV73" s="213"/>
      <c r="AW73" s="213"/>
      <c r="AX73" s="213"/>
      <c r="AY73" s="215" t="str">
        <f aca="false">IF(M73="","",IF(AND(AA73="",OR(Y73&lt;&gt;"",Z73&lt;&gt;"")),"Donnee manquante",IF(AD73&lt;0.8,"Cible non atteinte",IF(AD73&lt;1,"A surveiller","OK"))))</f>
        <v/>
      </c>
      <c r="AZ73" s="213"/>
    </row>
    <row r="74" customFormat="false" ht="15" hidden="false" customHeight="true" outlineLevel="0" collapsed="false">
      <c r="A74" s="212" t="str">
        <f aca="false">IF(M74="","","IND"&amp;TEXT(ROW()-54,"00000"))</f>
        <v/>
      </c>
      <c r="B74" s="213"/>
      <c r="C74" s="214" t="str">
        <f aca="false">IF(B74="","",IFERROR(INDEX(tbl_Projets[Titre complet du projet],MATCH(B74,tbl_Projets[ID Projet],0)),""))</f>
        <v/>
      </c>
      <c r="D74" s="212" t="str">
        <f aca="false">IF(B74="","",IFERROR(INDEX(tbl_Projets[Domaine d''intervention],MATCH(B74,tbl_Projets[ID Projet],0)),""))</f>
        <v/>
      </c>
      <c r="E74" s="212" t="str">
        <f aca="false">IF(B74="","",IFERROR(INDEX(tbl_Projets[Statut du projet],MATCH(B74,tbl_Projets[ID Projet],0)),""))</f>
        <v/>
      </c>
      <c r="F74" s="213"/>
      <c r="G74" s="214" t="str">
        <f aca="false">IF(F74="","",IFERROR(INDEX(tbl_Activites[Intitule de l''activite],MATCH(F74,tbl_Activites[ID Activite],0)),""))</f>
        <v/>
      </c>
      <c r="H74" s="212" t="str">
        <f aca="false">IF(F74="","",IFERROR(INDEX(tbl_Activites[Statut de l''activite],MATCH(F74,tbl_Activites[ID Activite],0)),""))</f>
        <v/>
      </c>
      <c r="I74" s="213"/>
      <c r="J74" s="214" t="str">
        <f aca="false">IF(B74="","",IFERROR(INDEX(tbl_Projets[Objectif general],MATCH(B74,tbl_Projets[ID Projet],0)),""))</f>
        <v/>
      </c>
      <c r="K74" s="213"/>
      <c r="L74" s="213"/>
      <c r="M74" s="213"/>
      <c r="N74" s="213"/>
      <c r="O74" s="213"/>
      <c r="P74" s="213"/>
      <c r="Q74" s="213"/>
      <c r="R74" s="213"/>
      <c r="S74" s="213"/>
      <c r="T74" s="212" t="str">
        <f aca="false">IF(S74="","",IFERROR(INDEX(tbl_RH[Nom complet],MATCH(S74,tbl_RH[ID RH],0)),""))</f>
        <v/>
      </c>
      <c r="U74" s="212" t="str">
        <f aca="false">IF(S74="","",IFERROR(INDEX(tbl_RH[Fonction],MATCH(S74,tbl_RH[ID RH],0)),""))</f>
        <v/>
      </c>
      <c r="V74" s="213"/>
      <c r="W74" s="213"/>
      <c r="X74" s="213"/>
      <c r="Y74" s="213"/>
      <c r="Z74" s="213"/>
      <c r="AA74" s="213"/>
      <c r="AB74" s="213"/>
      <c r="AC74" s="215" t="str">
        <f aca="false">IF(AB74="","",INDEX(PARAMETRES!$C$53:$C$64,MONTH(AB74))&amp;" "&amp;YEAR(AB74))</f>
        <v/>
      </c>
      <c r="AD74" s="216" t="str">
        <f aca="false">IF(OR(M74="",AA74=""),"",IF(AND(Z74&lt;&gt;"",Z74&lt;&gt;0),IFERROR(AA74/Z74,""),IF(AND(Y74&lt;&gt;"",Y74&lt;&gt;0),IFERROR(AA74/Y74,""),"")))</f>
        <v/>
      </c>
      <c r="AE74" s="215" t="str">
        <f aca="false">IF(AD74="","",IF(AND(Z74&lt;&gt;"",Z74&lt;&gt;0),AA74-Z74,IF(AND(Y74&lt;&gt;"",Y74&lt;&gt;0),AA74-Y74,"")))</f>
        <v/>
      </c>
      <c r="AF74" s="216" t="str">
        <f aca="false">IF(AD74="","",AD74-1)</f>
        <v/>
      </c>
      <c r="AG74" s="215" t="str">
        <f aca="false">IF(AD74="","",IF(AD74&gt;=1,"Excellent",IF(AD74&gt;=0.9,"Bon",IF(AD74&gt;=0.7,"Moyen",IF(AD74&gt;=0.5,"Faible","Critique")))))</f>
        <v/>
      </c>
      <c r="AH74" s="215" t="str">
        <f aca="false">IF(AD74="","",IF(AD74&gt;=1,"OK - Cible atteinte",IF(AD74&gt;=0.8,"Attention","Insuffisant")))</f>
        <v/>
      </c>
      <c r="AI74" s="213"/>
      <c r="AJ74" s="213"/>
      <c r="AK74" s="213"/>
      <c r="AL74" s="213"/>
      <c r="AM74" s="213"/>
      <c r="AN74" s="216" t="str">
        <f aca="false">IF(AI74="","",IF(AI74=0,"",IFERROR(AJ74/AI74,"")))</f>
        <v/>
      </c>
      <c r="AO74" s="213"/>
      <c r="AP74" s="212" t="str">
        <f aca="false">IF(AO74="","",IFERROR(INDEX(PARAMETRES!$D$536:$D$586,MATCH(AO74,PARAMETRES!$J$536:$J$586,0)),""))</f>
        <v/>
      </c>
      <c r="AQ74" s="212" t="str">
        <f aca="false">IF(AO74="","",IFERROR(INDEX(PARAMETRES!$F$536:$F$586,MATCH(AO74,PARAMETRES!$J$536:$J$586,0)),""))</f>
        <v/>
      </c>
      <c r="AR74" s="213"/>
      <c r="AS74" s="213"/>
      <c r="AT74" s="213"/>
      <c r="AU74" s="213"/>
      <c r="AV74" s="213"/>
      <c r="AW74" s="213"/>
      <c r="AX74" s="213"/>
      <c r="AY74" s="215" t="str">
        <f aca="false">IF(M74="","",IF(AND(AA74="",OR(Y74&lt;&gt;"",Z74&lt;&gt;"")),"Donnee manquante",IF(AD74&lt;0.8,"Cible non atteinte",IF(AD74&lt;1,"A surveiller","OK"))))</f>
        <v/>
      </c>
      <c r="AZ74" s="213"/>
    </row>
    <row r="75" customFormat="false" ht="15" hidden="false" customHeight="true" outlineLevel="0" collapsed="false">
      <c r="A75" s="212" t="str">
        <f aca="false">IF(M75="","","IND"&amp;TEXT(ROW()-54,"00000"))</f>
        <v/>
      </c>
      <c r="B75" s="213"/>
      <c r="C75" s="214" t="str">
        <f aca="false">IF(B75="","",IFERROR(INDEX(tbl_Projets[Titre complet du projet],MATCH(B75,tbl_Projets[ID Projet],0)),""))</f>
        <v/>
      </c>
      <c r="D75" s="212" t="str">
        <f aca="false">IF(B75="","",IFERROR(INDEX(tbl_Projets[Domaine d''intervention],MATCH(B75,tbl_Projets[ID Projet],0)),""))</f>
        <v/>
      </c>
      <c r="E75" s="212" t="str">
        <f aca="false">IF(B75="","",IFERROR(INDEX(tbl_Projets[Statut du projet],MATCH(B75,tbl_Projets[ID Projet],0)),""))</f>
        <v/>
      </c>
      <c r="F75" s="213"/>
      <c r="G75" s="214" t="str">
        <f aca="false">IF(F75="","",IFERROR(INDEX(tbl_Activites[Intitule de l''activite],MATCH(F75,tbl_Activites[ID Activite],0)),""))</f>
        <v/>
      </c>
      <c r="H75" s="212" t="str">
        <f aca="false">IF(F75="","",IFERROR(INDEX(tbl_Activites[Statut de l''activite],MATCH(F75,tbl_Activites[ID Activite],0)),""))</f>
        <v/>
      </c>
      <c r="I75" s="213"/>
      <c r="J75" s="214" t="str">
        <f aca="false">IF(B75="","",IFERROR(INDEX(tbl_Projets[Objectif general],MATCH(B75,tbl_Projets[ID Projet],0)),""))</f>
        <v/>
      </c>
      <c r="K75" s="213"/>
      <c r="L75" s="213"/>
      <c r="M75" s="213"/>
      <c r="N75" s="213"/>
      <c r="O75" s="213"/>
      <c r="P75" s="213"/>
      <c r="Q75" s="213"/>
      <c r="R75" s="213"/>
      <c r="S75" s="213"/>
      <c r="T75" s="212" t="str">
        <f aca="false">IF(S75="","",IFERROR(INDEX(tbl_RH[Nom complet],MATCH(S75,tbl_RH[ID RH],0)),""))</f>
        <v/>
      </c>
      <c r="U75" s="212" t="str">
        <f aca="false">IF(S75="","",IFERROR(INDEX(tbl_RH[Fonction],MATCH(S75,tbl_RH[ID RH],0)),""))</f>
        <v/>
      </c>
      <c r="V75" s="213"/>
      <c r="W75" s="213"/>
      <c r="X75" s="213"/>
      <c r="Y75" s="213"/>
      <c r="Z75" s="213"/>
      <c r="AA75" s="213"/>
      <c r="AB75" s="213"/>
      <c r="AC75" s="215" t="str">
        <f aca="false">IF(AB75="","",INDEX(PARAMETRES!$C$53:$C$64,MONTH(AB75))&amp;" "&amp;YEAR(AB75))</f>
        <v/>
      </c>
      <c r="AD75" s="216" t="str">
        <f aca="false">IF(OR(M75="",AA75=""),"",IF(AND(Z75&lt;&gt;"",Z75&lt;&gt;0),IFERROR(AA75/Z75,""),IF(AND(Y75&lt;&gt;"",Y75&lt;&gt;0),IFERROR(AA75/Y75,""),"")))</f>
        <v/>
      </c>
      <c r="AE75" s="215" t="str">
        <f aca="false">IF(AD75="","",IF(AND(Z75&lt;&gt;"",Z75&lt;&gt;0),AA75-Z75,IF(AND(Y75&lt;&gt;"",Y75&lt;&gt;0),AA75-Y75,"")))</f>
        <v/>
      </c>
      <c r="AF75" s="216" t="str">
        <f aca="false">IF(AD75="","",AD75-1)</f>
        <v/>
      </c>
      <c r="AG75" s="215" t="str">
        <f aca="false">IF(AD75="","",IF(AD75&gt;=1,"Excellent",IF(AD75&gt;=0.9,"Bon",IF(AD75&gt;=0.7,"Moyen",IF(AD75&gt;=0.5,"Faible","Critique")))))</f>
        <v/>
      </c>
      <c r="AH75" s="215" t="str">
        <f aca="false">IF(AD75="","",IF(AD75&gt;=1,"OK - Cible atteinte",IF(AD75&gt;=0.8,"Attention","Insuffisant")))</f>
        <v/>
      </c>
      <c r="AI75" s="213"/>
      <c r="AJ75" s="213"/>
      <c r="AK75" s="213"/>
      <c r="AL75" s="213"/>
      <c r="AM75" s="213"/>
      <c r="AN75" s="216" t="str">
        <f aca="false">IF(AI75="","",IF(AI75=0,"",IFERROR(AJ75/AI75,"")))</f>
        <v/>
      </c>
      <c r="AO75" s="213"/>
      <c r="AP75" s="212" t="str">
        <f aca="false">IF(AO75="","",IFERROR(INDEX(PARAMETRES!$D$536:$D$586,MATCH(AO75,PARAMETRES!$J$536:$J$586,0)),""))</f>
        <v/>
      </c>
      <c r="AQ75" s="212" t="str">
        <f aca="false">IF(AO75="","",IFERROR(INDEX(PARAMETRES!$F$536:$F$586,MATCH(AO75,PARAMETRES!$J$536:$J$586,0)),""))</f>
        <v/>
      </c>
      <c r="AR75" s="213"/>
      <c r="AS75" s="213"/>
      <c r="AT75" s="213"/>
      <c r="AU75" s="213"/>
      <c r="AV75" s="213"/>
      <c r="AW75" s="213"/>
      <c r="AX75" s="213"/>
      <c r="AY75" s="215" t="str">
        <f aca="false">IF(M75="","",IF(AND(AA75="",OR(Y75&lt;&gt;"",Z75&lt;&gt;"")),"Donnee manquante",IF(AD75&lt;0.8,"Cible non atteinte",IF(AD75&lt;1,"A surveiller","OK"))))</f>
        <v/>
      </c>
      <c r="AZ75" s="213"/>
    </row>
    <row r="76" customFormat="false" ht="15" hidden="false" customHeight="true" outlineLevel="0" collapsed="false">
      <c r="A76" s="212" t="str">
        <f aca="false">IF(M76="","","IND"&amp;TEXT(ROW()-54,"00000"))</f>
        <v/>
      </c>
      <c r="B76" s="213"/>
      <c r="C76" s="214" t="str">
        <f aca="false">IF(B76="","",IFERROR(INDEX(tbl_Projets[Titre complet du projet],MATCH(B76,tbl_Projets[ID Projet],0)),""))</f>
        <v/>
      </c>
      <c r="D76" s="212" t="str">
        <f aca="false">IF(B76="","",IFERROR(INDEX(tbl_Projets[Domaine d''intervention],MATCH(B76,tbl_Projets[ID Projet],0)),""))</f>
        <v/>
      </c>
      <c r="E76" s="212" t="str">
        <f aca="false">IF(B76="","",IFERROR(INDEX(tbl_Projets[Statut du projet],MATCH(B76,tbl_Projets[ID Projet],0)),""))</f>
        <v/>
      </c>
      <c r="F76" s="213"/>
      <c r="G76" s="214" t="str">
        <f aca="false">IF(F76="","",IFERROR(INDEX(tbl_Activites[Intitule de l''activite],MATCH(F76,tbl_Activites[ID Activite],0)),""))</f>
        <v/>
      </c>
      <c r="H76" s="212" t="str">
        <f aca="false">IF(F76="","",IFERROR(INDEX(tbl_Activites[Statut de l''activite],MATCH(F76,tbl_Activites[ID Activite],0)),""))</f>
        <v/>
      </c>
      <c r="I76" s="213"/>
      <c r="J76" s="214" t="str">
        <f aca="false">IF(B76="","",IFERROR(INDEX(tbl_Projets[Objectif general],MATCH(B76,tbl_Projets[ID Projet],0)),""))</f>
        <v/>
      </c>
      <c r="K76" s="213"/>
      <c r="L76" s="213"/>
      <c r="M76" s="213"/>
      <c r="N76" s="213"/>
      <c r="O76" s="213"/>
      <c r="P76" s="213"/>
      <c r="Q76" s="213"/>
      <c r="R76" s="213"/>
      <c r="S76" s="213"/>
      <c r="T76" s="212" t="str">
        <f aca="false">IF(S76="","",IFERROR(INDEX(tbl_RH[Nom complet],MATCH(S76,tbl_RH[ID RH],0)),""))</f>
        <v/>
      </c>
      <c r="U76" s="212" t="str">
        <f aca="false">IF(S76="","",IFERROR(INDEX(tbl_RH[Fonction],MATCH(S76,tbl_RH[ID RH],0)),""))</f>
        <v/>
      </c>
      <c r="V76" s="213"/>
      <c r="W76" s="213"/>
      <c r="X76" s="213"/>
      <c r="Y76" s="213"/>
      <c r="Z76" s="213"/>
      <c r="AA76" s="213"/>
      <c r="AB76" s="213"/>
      <c r="AC76" s="215" t="str">
        <f aca="false">IF(AB76="","",INDEX(PARAMETRES!$C$53:$C$64,MONTH(AB76))&amp;" "&amp;YEAR(AB76))</f>
        <v/>
      </c>
      <c r="AD76" s="216" t="str">
        <f aca="false">IF(OR(M76="",AA76=""),"",IF(AND(Z76&lt;&gt;"",Z76&lt;&gt;0),IFERROR(AA76/Z76,""),IF(AND(Y76&lt;&gt;"",Y76&lt;&gt;0),IFERROR(AA76/Y76,""),"")))</f>
        <v/>
      </c>
      <c r="AE76" s="215" t="str">
        <f aca="false">IF(AD76="","",IF(AND(Z76&lt;&gt;"",Z76&lt;&gt;0),AA76-Z76,IF(AND(Y76&lt;&gt;"",Y76&lt;&gt;0),AA76-Y76,"")))</f>
        <v/>
      </c>
      <c r="AF76" s="216" t="str">
        <f aca="false">IF(AD76="","",AD76-1)</f>
        <v/>
      </c>
      <c r="AG76" s="215" t="str">
        <f aca="false">IF(AD76="","",IF(AD76&gt;=1,"Excellent",IF(AD76&gt;=0.9,"Bon",IF(AD76&gt;=0.7,"Moyen",IF(AD76&gt;=0.5,"Faible","Critique")))))</f>
        <v/>
      </c>
      <c r="AH76" s="215" t="str">
        <f aca="false">IF(AD76="","",IF(AD76&gt;=1,"OK - Cible atteinte",IF(AD76&gt;=0.8,"Attention","Insuffisant")))</f>
        <v/>
      </c>
      <c r="AI76" s="213"/>
      <c r="AJ76" s="213"/>
      <c r="AK76" s="213"/>
      <c r="AL76" s="213"/>
      <c r="AM76" s="213"/>
      <c r="AN76" s="216" t="str">
        <f aca="false">IF(AI76="","",IF(AI76=0,"",IFERROR(AJ76/AI76,"")))</f>
        <v/>
      </c>
      <c r="AO76" s="213"/>
      <c r="AP76" s="212" t="str">
        <f aca="false">IF(AO76="","",IFERROR(INDEX(PARAMETRES!$D$536:$D$586,MATCH(AO76,PARAMETRES!$J$536:$J$586,0)),""))</f>
        <v/>
      </c>
      <c r="AQ76" s="212" t="str">
        <f aca="false">IF(AO76="","",IFERROR(INDEX(PARAMETRES!$F$536:$F$586,MATCH(AO76,PARAMETRES!$J$536:$J$586,0)),""))</f>
        <v/>
      </c>
      <c r="AR76" s="213"/>
      <c r="AS76" s="213"/>
      <c r="AT76" s="213"/>
      <c r="AU76" s="213"/>
      <c r="AV76" s="213"/>
      <c r="AW76" s="213"/>
      <c r="AX76" s="213"/>
      <c r="AY76" s="215" t="str">
        <f aca="false">IF(M76="","",IF(AND(AA76="",OR(Y76&lt;&gt;"",Z76&lt;&gt;"")),"Donnee manquante",IF(AD76&lt;0.8,"Cible non atteinte",IF(AD76&lt;1,"A surveiller","OK"))))</f>
        <v/>
      </c>
      <c r="AZ76" s="213"/>
    </row>
    <row r="77" customFormat="false" ht="15" hidden="false" customHeight="true" outlineLevel="0" collapsed="false">
      <c r="A77" s="212" t="str">
        <f aca="false">IF(M77="","","IND"&amp;TEXT(ROW()-54,"00000"))</f>
        <v/>
      </c>
      <c r="B77" s="213"/>
      <c r="C77" s="214" t="str">
        <f aca="false">IF(B77="","",IFERROR(INDEX(tbl_Projets[Titre complet du projet],MATCH(B77,tbl_Projets[ID Projet],0)),""))</f>
        <v/>
      </c>
      <c r="D77" s="212" t="str">
        <f aca="false">IF(B77="","",IFERROR(INDEX(tbl_Projets[Domaine d''intervention],MATCH(B77,tbl_Projets[ID Projet],0)),""))</f>
        <v/>
      </c>
      <c r="E77" s="212" t="str">
        <f aca="false">IF(B77="","",IFERROR(INDEX(tbl_Projets[Statut du projet],MATCH(B77,tbl_Projets[ID Projet],0)),""))</f>
        <v/>
      </c>
      <c r="F77" s="213"/>
      <c r="G77" s="214" t="str">
        <f aca="false">IF(F77="","",IFERROR(INDEX(tbl_Activites[Intitule de l''activite],MATCH(F77,tbl_Activites[ID Activite],0)),""))</f>
        <v/>
      </c>
      <c r="H77" s="212" t="str">
        <f aca="false">IF(F77="","",IFERROR(INDEX(tbl_Activites[Statut de l''activite],MATCH(F77,tbl_Activites[ID Activite],0)),""))</f>
        <v/>
      </c>
      <c r="I77" s="213"/>
      <c r="J77" s="214" t="str">
        <f aca="false">IF(B77="","",IFERROR(INDEX(tbl_Projets[Objectif general],MATCH(B77,tbl_Projets[ID Projet],0)),""))</f>
        <v/>
      </c>
      <c r="K77" s="213"/>
      <c r="L77" s="213"/>
      <c r="M77" s="213"/>
      <c r="N77" s="213"/>
      <c r="O77" s="213"/>
      <c r="P77" s="213"/>
      <c r="Q77" s="213"/>
      <c r="R77" s="213"/>
      <c r="S77" s="213"/>
      <c r="T77" s="212" t="str">
        <f aca="false">IF(S77="","",IFERROR(INDEX(tbl_RH[Nom complet],MATCH(S77,tbl_RH[ID RH],0)),""))</f>
        <v/>
      </c>
      <c r="U77" s="212" t="str">
        <f aca="false">IF(S77="","",IFERROR(INDEX(tbl_RH[Fonction],MATCH(S77,tbl_RH[ID RH],0)),""))</f>
        <v/>
      </c>
      <c r="V77" s="213"/>
      <c r="W77" s="213"/>
      <c r="X77" s="213"/>
      <c r="Y77" s="213"/>
      <c r="Z77" s="213"/>
      <c r="AA77" s="213"/>
      <c r="AB77" s="213"/>
      <c r="AC77" s="215" t="str">
        <f aca="false">IF(AB77="","",INDEX(PARAMETRES!$C$53:$C$64,MONTH(AB77))&amp;" "&amp;YEAR(AB77))</f>
        <v/>
      </c>
      <c r="AD77" s="216" t="str">
        <f aca="false">IF(OR(M77="",AA77=""),"",IF(AND(Z77&lt;&gt;"",Z77&lt;&gt;0),IFERROR(AA77/Z77,""),IF(AND(Y77&lt;&gt;"",Y77&lt;&gt;0),IFERROR(AA77/Y77,""),"")))</f>
        <v/>
      </c>
      <c r="AE77" s="215" t="str">
        <f aca="false">IF(AD77="","",IF(AND(Z77&lt;&gt;"",Z77&lt;&gt;0),AA77-Z77,IF(AND(Y77&lt;&gt;"",Y77&lt;&gt;0),AA77-Y77,"")))</f>
        <v/>
      </c>
      <c r="AF77" s="216" t="str">
        <f aca="false">IF(AD77="","",AD77-1)</f>
        <v/>
      </c>
      <c r="AG77" s="215" t="str">
        <f aca="false">IF(AD77="","",IF(AD77&gt;=1,"Excellent",IF(AD77&gt;=0.9,"Bon",IF(AD77&gt;=0.7,"Moyen",IF(AD77&gt;=0.5,"Faible","Critique")))))</f>
        <v/>
      </c>
      <c r="AH77" s="215" t="str">
        <f aca="false">IF(AD77="","",IF(AD77&gt;=1,"OK - Cible atteinte",IF(AD77&gt;=0.8,"Attention","Insuffisant")))</f>
        <v/>
      </c>
      <c r="AI77" s="213"/>
      <c r="AJ77" s="213"/>
      <c r="AK77" s="213"/>
      <c r="AL77" s="213"/>
      <c r="AM77" s="213"/>
      <c r="AN77" s="216" t="str">
        <f aca="false">IF(AI77="","",IF(AI77=0,"",IFERROR(AJ77/AI77,"")))</f>
        <v/>
      </c>
      <c r="AO77" s="213"/>
      <c r="AP77" s="212" t="str">
        <f aca="false">IF(AO77="","",IFERROR(INDEX(PARAMETRES!$D$536:$D$586,MATCH(AO77,PARAMETRES!$J$536:$J$586,0)),""))</f>
        <v/>
      </c>
      <c r="AQ77" s="212" t="str">
        <f aca="false">IF(AO77="","",IFERROR(INDEX(PARAMETRES!$F$536:$F$586,MATCH(AO77,PARAMETRES!$J$536:$J$586,0)),""))</f>
        <v/>
      </c>
      <c r="AR77" s="213"/>
      <c r="AS77" s="213"/>
      <c r="AT77" s="213"/>
      <c r="AU77" s="213"/>
      <c r="AV77" s="213"/>
      <c r="AW77" s="213"/>
      <c r="AX77" s="213"/>
      <c r="AY77" s="215" t="str">
        <f aca="false">IF(M77="","",IF(AND(AA77="",OR(Y77&lt;&gt;"",Z77&lt;&gt;"")),"Donnee manquante",IF(AD77&lt;0.8,"Cible non atteinte",IF(AD77&lt;1,"A surveiller","OK"))))</f>
        <v/>
      </c>
      <c r="AZ77" s="213"/>
    </row>
    <row r="78" customFormat="false" ht="15" hidden="false" customHeight="true" outlineLevel="0" collapsed="false">
      <c r="A78" s="212" t="str">
        <f aca="false">IF(M78="","","IND"&amp;TEXT(ROW()-54,"00000"))</f>
        <v/>
      </c>
      <c r="B78" s="213"/>
      <c r="C78" s="214" t="str">
        <f aca="false">IF(B78="","",IFERROR(INDEX(tbl_Projets[Titre complet du projet],MATCH(B78,tbl_Projets[ID Projet],0)),""))</f>
        <v/>
      </c>
      <c r="D78" s="212" t="str">
        <f aca="false">IF(B78="","",IFERROR(INDEX(tbl_Projets[Domaine d''intervention],MATCH(B78,tbl_Projets[ID Projet],0)),""))</f>
        <v/>
      </c>
      <c r="E78" s="212" t="str">
        <f aca="false">IF(B78="","",IFERROR(INDEX(tbl_Projets[Statut du projet],MATCH(B78,tbl_Projets[ID Projet],0)),""))</f>
        <v/>
      </c>
      <c r="F78" s="213"/>
      <c r="G78" s="214" t="str">
        <f aca="false">IF(F78="","",IFERROR(INDEX(tbl_Activites[Intitule de l''activite],MATCH(F78,tbl_Activites[ID Activite],0)),""))</f>
        <v/>
      </c>
      <c r="H78" s="212" t="str">
        <f aca="false">IF(F78="","",IFERROR(INDEX(tbl_Activites[Statut de l''activite],MATCH(F78,tbl_Activites[ID Activite],0)),""))</f>
        <v/>
      </c>
      <c r="I78" s="213"/>
      <c r="J78" s="214" t="str">
        <f aca="false">IF(B78="","",IFERROR(INDEX(tbl_Projets[Objectif general],MATCH(B78,tbl_Projets[ID Projet],0)),""))</f>
        <v/>
      </c>
      <c r="K78" s="213"/>
      <c r="L78" s="213"/>
      <c r="M78" s="213"/>
      <c r="N78" s="213"/>
      <c r="O78" s="213"/>
      <c r="P78" s="213"/>
      <c r="Q78" s="213"/>
      <c r="R78" s="213"/>
      <c r="S78" s="213"/>
      <c r="T78" s="212" t="str">
        <f aca="false">IF(S78="","",IFERROR(INDEX(tbl_RH[Nom complet],MATCH(S78,tbl_RH[ID RH],0)),""))</f>
        <v/>
      </c>
      <c r="U78" s="212" t="str">
        <f aca="false">IF(S78="","",IFERROR(INDEX(tbl_RH[Fonction],MATCH(S78,tbl_RH[ID RH],0)),""))</f>
        <v/>
      </c>
      <c r="V78" s="213"/>
      <c r="W78" s="213"/>
      <c r="X78" s="213"/>
      <c r="Y78" s="213"/>
      <c r="Z78" s="213"/>
      <c r="AA78" s="213"/>
      <c r="AB78" s="213"/>
      <c r="AC78" s="215" t="str">
        <f aca="false">IF(AB78="","",INDEX(PARAMETRES!$C$53:$C$64,MONTH(AB78))&amp;" "&amp;YEAR(AB78))</f>
        <v/>
      </c>
      <c r="AD78" s="216" t="str">
        <f aca="false">IF(OR(M78="",AA78=""),"",IF(AND(Z78&lt;&gt;"",Z78&lt;&gt;0),IFERROR(AA78/Z78,""),IF(AND(Y78&lt;&gt;"",Y78&lt;&gt;0),IFERROR(AA78/Y78,""),"")))</f>
        <v/>
      </c>
      <c r="AE78" s="215" t="str">
        <f aca="false">IF(AD78="","",IF(AND(Z78&lt;&gt;"",Z78&lt;&gt;0),AA78-Z78,IF(AND(Y78&lt;&gt;"",Y78&lt;&gt;0),AA78-Y78,"")))</f>
        <v/>
      </c>
      <c r="AF78" s="216" t="str">
        <f aca="false">IF(AD78="","",AD78-1)</f>
        <v/>
      </c>
      <c r="AG78" s="215" t="str">
        <f aca="false">IF(AD78="","",IF(AD78&gt;=1,"Excellent",IF(AD78&gt;=0.9,"Bon",IF(AD78&gt;=0.7,"Moyen",IF(AD78&gt;=0.5,"Faible","Critique")))))</f>
        <v/>
      </c>
      <c r="AH78" s="215" t="str">
        <f aca="false">IF(AD78="","",IF(AD78&gt;=1,"OK - Cible atteinte",IF(AD78&gt;=0.8,"Attention","Insuffisant")))</f>
        <v/>
      </c>
      <c r="AI78" s="213"/>
      <c r="AJ78" s="213"/>
      <c r="AK78" s="213"/>
      <c r="AL78" s="213"/>
      <c r="AM78" s="213"/>
      <c r="AN78" s="216" t="str">
        <f aca="false">IF(AI78="","",IF(AI78=0,"",IFERROR(AJ78/AI78,"")))</f>
        <v/>
      </c>
      <c r="AO78" s="213"/>
      <c r="AP78" s="212" t="str">
        <f aca="false">IF(AO78="","",IFERROR(INDEX(PARAMETRES!$D$536:$D$586,MATCH(AO78,PARAMETRES!$J$536:$J$586,0)),""))</f>
        <v/>
      </c>
      <c r="AQ78" s="212" t="str">
        <f aca="false">IF(AO78="","",IFERROR(INDEX(PARAMETRES!$F$536:$F$586,MATCH(AO78,PARAMETRES!$J$536:$J$586,0)),""))</f>
        <v/>
      </c>
      <c r="AR78" s="213"/>
      <c r="AS78" s="213"/>
      <c r="AT78" s="213"/>
      <c r="AU78" s="213"/>
      <c r="AV78" s="213"/>
      <c r="AW78" s="213"/>
      <c r="AX78" s="213"/>
      <c r="AY78" s="215" t="str">
        <f aca="false">IF(M78="","",IF(AND(AA78="",OR(Y78&lt;&gt;"",Z78&lt;&gt;"")),"Donnee manquante",IF(AD78&lt;0.8,"Cible non atteinte",IF(AD78&lt;1,"A surveiller","OK"))))</f>
        <v/>
      </c>
      <c r="AZ78" s="213"/>
    </row>
    <row r="79" customFormat="false" ht="15" hidden="false" customHeight="true" outlineLevel="0" collapsed="false">
      <c r="A79" s="212" t="str">
        <f aca="false">IF(M79="","","IND"&amp;TEXT(ROW()-54,"00000"))</f>
        <v/>
      </c>
      <c r="B79" s="213"/>
      <c r="C79" s="214" t="str">
        <f aca="false">IF(B79="","",IFERROR(INDEX(tbl_Projets[Titre complet du projet],MATCH(B79,tbl_Projets[ID Projet],0)),""))</f>
        <v/>
      </c>
      <c r="D79" s="212" t="str">
        <f aca="false">IF(B79="","",IFERROR(INDEX(tbl_Projets[Domaine d''intervention],MATCH(B79,tbl_Projets[ID Projet],0)),""))</f>
        <v/>
      </c>
      <c r="E79" s="212" t="str">
        <f aca="false">IF(B79="","",IFERROR(INDEX(tbl_Projets[Statut du projet],MATCH(B79,tbl_Projets[ID Projet],0)),""))</f>
        <v/>
      </c>
      <c r="F79" s="213"/>
      <c r="G79" s="214" t="str">
        <f aca="false">IF(F79="","",IFERROR(INDEX(tbl_Activites[Intitule de l''activite],MATCH(F79,tbl_Activites[ID Activite],0)),""))</f>
        <v/>
      </c>
      <c r="H79" s="212" t="str">
        <f aca="false">IF(F79="","",IFERROR(INDEX(tbl_Activites[Statut de l''activite],MATCH(F79,tbl_Activites[ID Activite],0)),""))</f>
        <v/>
      </c>
      <c r="I79" s="213"/>
      <c r="J79" s="214" t="str">
        <f aca="false">IF(B79="","",IFERROR(INDEX(tbl_Projets[Objectif general],MATCH(B79,tbl_Projets[ID Projet],0)),""))</f>
        <v/>
      </c>
      <c r="K79" s="213"/>
      <c r="L79" s="213"/>
      <c r="M79" s="213"/>
      <c r="N79" s="213"/>
      <c r="O79" s="213"/>
      <c r="P79" s="213"/>
      <c r="Q79" s="213"/>
      <c r="R79" s="213"/>
      <c r="S79" s="213"/>
      <c r="T79" s="212" t="str">
        <f aca="false">IF(S79="","",IFERROR(INDEX(tbl_RH[Nom complet],MATCH(S79,tbl_RH[ID RH],0)),""))</f>
        <v/>
      </c>
      <c r="U79" s="212" t="str">
        <f aca="false">IF(S79="","",IFERROR(INDEX(tbl_RH[Fonction],MATCH(S79,tbl_RH[ID RH],0)),""))</f>
        <v/>
      </c>
      <c r="V79" s="213"/>
      <c r="W79" s="213"/>
      <c r="X79" s="213"/>
      <c r="Y79" s="213"/>
      <c r="Z79" s="213"/>
      <c r="AA79" s="213"/>
      <c r="AB79" s="213"/>
      <c r="AC79" s="215" t="str">
        <f aca="false">IF(AB79="","",INDEX(PARAMETRES!$C$53:$C$64,MONTH(AB79))&amp;" "&amp;YEAR(AB79))</f>
        <v/>
      </c>
      <c r="AD79" s="216" t="str">
        <f aca="false">IF(OR(M79="",AA79=""),"",IF(AND(Z79&lt;&gt;"",Z79&lt;&gt;0),IFERROR(AA79/Z79,""),IF(AND(Y79&lt;&gt;"",Y79&lt;&gt;0),IFERROR(AA79/Y79,""),"")))</f>
        <v/>
      </c>
      <c r="AE79" s="215" t="str">
        <f aca="false">IF(AD79="","",IF(AND(Z79&lt;&gt;"",Z79&lt;&gt;0),AA79-Z79,IF(AND(Y79&lt;&gt;"",Y79&lt;&gt;0),AA79-Y79,"")))</f>
        <v/>
      </c>
      <c r="AF79" s="216" t="str">
        <f aca="false">IF(AD79="","",AD79-1)</f>
        <v/>
      </c>
      <c r="AG79" s="215" t="str">
        <f aca="false">IF(AD79="","",IF(AD79&gt;=1,"Excellent",IF(AD79&gt;=0.9,"Bon",IF(AD79&gt;=0.7,"Moyen",IF(AD79&gt;=0.5,"Faible","Critique")))))</f>
        <v/>
      </c>
      <c r="AH79" s="215" t="str">
        <f aca="false">IF(AD79="","",IF(AD79&gt;=1,"OK - Cible atteinte",IF(AD79&gt;=0.8,"Attention","Insuffisant")))</f>
        <v/>
      </c>
      <c r="AI79" s="213"/>
      <c r="AJ79" s="213"/>
      <c r="AK79" s="213"/>
      <c r="AL79" s="213"/>
      <c r="AM79" s="213"/>
      <c r="AN79" s="216" t="str">
        <f aca="false">IF(AI79="","",IF(AI79=0,"",IFERROR(AJ79/AI79,"")))</f>
        <v/>
      </c>
      <c r="AO79" s="213"/>
      <c r="AP79" s="212" t="str">
        <f aca="false">IF(AO79="","",IFERROR(INDEX(PARAMETRES!$D$536:$D$586,MATCH(AO79,PARAMETRES!$J$536:$J$586,0)),""))</f>
        <v/>
      </c>
      <c r="AQ79" s="212" t="str">
        <f aca="false">IF(AO79="","",IFERROR(INDEX(PARAMETRES!$F$536:$F$586,MATCH(AO79,PARAMETRES!$J$536:$J$586,0)),""))</f>
        <v/>
      </c>
      <c r="AR79" s="213"/>
      <c r="AS79" s="213"/>
      <c r="AT79" s="213"/>
      <c r="AU79" s="213"/>
      <c r="AV79" s="213"/>
      <c r="AW79" s="213"/>
      <c r="AX79" s="213"/>
      <c r="AY79" s="215" t="str">
        <f aca="false">IF(M79="","",IF(AND(AA79="",OR(Y79&lt;&gt;"",Z79&lt;&gt;"")),"Donnee manquante",IF(AD79&lt;0.8,"Cible non atteinte",IF(AD79&lt;1,"A surveiller","OK"))))</f>
        <v/>
      </c>
      <c r="AZ79" s="213"/>
    </row>
    <row r="80" customFormat="false" ht="15" hidden="false" customHeight="true" outlineLevel="0" collapsed="false">
      <c r="A80" s="212" t="str">
        <f aca="false">IF(M80="","","IND"&amp;TEXT(ROW()-54,"00000"))</f>
        <v/>
      </c>
      <c r="B80" s="213"/>
      <c r="C80" s="214" t="str">
        <f aca="false">IF(B80="","",IFERROR(INDEX(tbl_Projets[Titre complet du projet],MATCH(B80,tbl_Projets[ID Projet],0)),""))</f>
        <v/>
      </c>
      <c r="D80" s="212" t="str">
        <f aca="false">IF(B80="","",IFERROR(INDEX(tbl_Projets[Domaine d''intervention],MATCH(B80,tbl_Projets[ID Projet],0)),""))</f>
        <v/>
      </c>
      <c r="E80" s="212" t="str">
        <f aca="false">IF(B80="","",IFERROR(INDEX(tbl_Projets[Statut du projet],MATCH(B80,tbl_Projets[ID Projet],0)),""))</f>
        <v/>
      </c>
      <c r="F80" s="213"/>
      <c r="G80" s="214" t="str">
        <f aca="false">IF(F80="","",IFERROR(INDEX(tbl_Activites[Intitule de l''activite],MATCH(F80,tbl_Activites[ID Activite],0)),""))</f>
        <v/>
      </c>
      <c r="H80" s="212" t="str">
        <f aca="false">IF(F80="","",IFERROR(INDEX(tbl_Activites[Statut de l''activite],MATCH(F80,tbl_Activites[ID Activite],0)),""))</f>
        <v/>
      </c>
      <c r="I80" s="213"/>
      <c r="J80" s="214" t="str">
        <f aca="false">IF(B80="","",IFERROR(INDEX(tbl_Projets[Objectif general],MATCH(B80,tbl_Projets[ID Projet],0)),""))</f>
        <v/>
      </c>
      <c r="K80" s="213"/>
      <c r="L80" s="213"/>
      <c r="M80" s="213"/>
      <c r="N80" s="213"/>
      <c r="O80" s="213"/>
      <c r="P80" s="213"/>
      <c r="Q80" s="213"/>
      <c r="R80" s="213"/>
      <c r="S80" s="213"/>
      <c r="T80" s="212" t="str">
        <f aca="false">IF(S80="","",IFERROR(INDEX(tbl_RH[Nom complet],MATCH(S80,tbl_RH[ID RH],0)),""))</f>
        <v/>
      </c>
      <c r="U80" s="212" t="str">
        <f aca="false">IF(S80="","",IFERROR(INDEX(tbl_RH[Fonction],MATCH(S80,tbl_RH[ID RH],0)),""))</f>
        <v/>
      </c>
      <c r="V80" s="213"/>
      <c r="W80" s="213"/>
      <c r="X80" s="213"/>
      <c r="Y80" s="213"/>
      <c r="Z80" s="213"/>
      <c r="AA80" s="213"/>
      <c r="AB80" s="213"/>
      <c r="AC80" s="215" t="str">
        <f aca="false">IF(AB80="","",INDEX(PARAMETRES!$C$53:$C$64,MONTH(AB80))&amp;" "&amp;YEAR(AB80))</f>
        <v/>
      </c>
      <c r="AD80" s="216" t="str">
        <f aca="false">IF(OR(M80="",AA80=""),"",IF(AND(Z80&lt;&gt;"",Z80&lt;&gt;0),IFERROR(AA80/Z80,""),IF(AND(Y80&lt;&gt;"",Y80&lt;&gt;0),IFERROR(AA80/Y80,""),"")))</f>
        <v/>
      </c>
      <c r="AE80" s="215" t="str">
        <f aca="false">IF(AD80="","",IF(AND(Z80&lt;&gt;"",Z80&lt;&gt;0),AA80-Z80,IF(AND(Y80&lt;&gt;"",Y80&lt;&gt;0),AA80-Y80,"")))</f>
        <v/>
      </c>
      <c r="AF80" s="216" t="str">
        <f aca="false">IF(AD80="","",AD80-1)</f>
        <v/>
      </c>
      <c r="AG80" s="215" t="str">
        <f aca="false">IF(AD80="","",IF(AD80&gt;=1,"Excellent",IF(AD80&gt;=0.9,"Bon",IF(AD80&gt;=0.7,"Moyen",IF(AD80&gt;=0.5,"Faible","Critique")))))</f>
        <v/>
      </c>
      <c r="AH80" s="215" t="str">
        <f aca="false">IF(AD80="","",IF(AD80&gt;=1,"OK - Cible atteinte",IF(AD80&gt;=0.8,"Attention","Insuffisant")))</f>
        <v/>
      </c>
      <c r="AI80" s="213"/>
      <c r="AJ80" s="213"/>
      <c r="AK80" s="213"/>
      <c r="AL80" s="213"/>
      <c r="AM80" s="213"/>
      <c r="AN80" s="216" t="str">
        <f aca="false">IF(AI80="","",IF(AI80=0,"",IFERROR(AJ80/AI80,"")))</f>
        <v/>
      </c>
      <c r="AO80" s="213"/>
      <c r="AP80" s="212" t="str">
        <f aca="false">IF(AO80="","",IFERROR(INDEX(PARAMETRES!$D$536:$D$586,MATCH(AO80,PARAMETRES!$J$536:$J$586,0)),""))</f>
        <v/>
      </c>
      <c r="AQ80" s="212" t="str">
        <f aca="false">IF(AO80="","",IFERROR(INDEX(PARAMETRES!$F$536:$F$586,MATCH(AO80,PARAMETRES!$J$536:$J$586,0)),""))</f>
        <v/>
      </c>
      <c r="AR80" s="213"/>
      <c r="AS80" s="213"/>
      <c r="AT80" s="213"/>
      <c r="AU80" s="213"/>
      <c r="AV80" s="213"/>
      <c r="AW80" s="213"/>
      <c r="AX80" s="213"/>
      <c r="AY80" s="215" t="str">
        <f aca="false">IF(M80="","",IF(AND(AA80="",OR(Y80&lt;&gt;"",Z80&lt;&gt;"")),"Donnee manquante",IF(AD80&lt;0.8,"Cible non atteinte",IF(AD80&lt;1,"A surveiller","OK"))))</f>
        <v/>
      </c>
      <c r="AZ80" s="213"/>
    </row>
    <row r="81" customFormat="false" ht="15" hidden="false" customHeight="true" outlineLevel="0" collapsed="false">
      <c r="A81" s="212" t="str">
        <f aca="false">IF(M81="","","IND"&amp;TEXT(ROW()-54,"00000"))</f>
        <v/>
      </c>
      <c r="B81" s="213"/>
      <c r="C81" s="214" t="str">
        <f aca="false">IF(B81="","",IFERROR(INDEX(tbl_Projets[Titre complet du projet],MATCH(B81,tbl_Projets[ID Projet],0)),""))</f>
        <v/>
      </c>
      <c r="D81" s="212" t="str">
        <f aca="false">IF(B81="","",IFERROR(INDEX(tbl_Projets[Domaine d''intervention],MATCH(B81,tbl_Projets[ID Projet],0)),""))</f>
        <v/>
      </c>
      <c r="E81" s="212" t="str">
        <f aca="false">IF(B81="","",IFERROR(INDEX(tbl_Projets[Statut du projet],MATCH(B81,tbl_Projets[ID Projet],0)),""))</f>
        <v/>
      </c>
      <c r="F81" s="213"/>
      <c r="G81" s="214" t="str">
        <f aca="false">IF(F81="","",IFERROR(INDEX(tbl_Activites[Intitule de l''activite],MATCH(F81,tbl_Activites[ID Activite],0)),""))</f>
        <v/>
      </c>
      <c r="H81" s="212" t="str">
        <f aca="false">IF(F81="","",IFERROR(INDEX(tbl_Activites[Statut de l''activite],MATCH(F81,tbl_Activites[ID Activite],0)),""))</f>
        <v/>
      </c>
      <c r="I81" s="213"/>
      <c r="J81" s="214" t="str">
        <f aca="false">IF(B81="","",IFERROR(INDEX(tbl_Projets[Objectif general],MATCH(B81,tbl_Projets[ID Projet],0)),""))</f>
        <v/>
      </c>
      <c r="K81" s="213"/>
      <c r="L81" s="213"/>
      <c r="M81" s="213"/>
      <c r="N81" s="213"/>
      <c r="O81" s="213"/>
      <c r="P81" s="213"/>
      <c r="Q81" s="213"/>
      <c r="R81" s="213"/>
      <c r="S81" s="213"/>
      <c r="T81" s="212" t="str">
        <f aca="false">IF(S81="","",IFERROR(INDEX(tbl_RH[Nom complet],MATCH(S81,tbl_RH[ID RH],0)),""))</f>
        <v/>
      </c>
      <c r="U81" s="212" t="str">
        <f aca="false">IF(S81="","",IFERROR(INDEX(tbl_RH[Fonction],MATCH(S81,tbl_RH[ID RH],0)),""))</f>
        <v/>
      </c>
      <c r="V81" s="213"/>
      <c r="W81" s="213"/>
      <c r="X81" s="213"/>
      <c r="Y81" s="213"/>
      <c r="Z81" s="213"/>
      <c r="AA81" s="213"/>
      <c r="AB81" s="213"/>
      <c r="AC81" s="215" t="str">
        <f aca="false">IF(AB81="","",INDEX(PARAMETRES!$C$53:$C$64,MONTH(AB81))&amp;" "&amp;YEAR(AB81))</f>
        <v/>
      </c>
      <c r="AD81" s="216" t="str">
        <f aca="false">IF(OR(M81="",AA81=""),"",IF(AND(Z81&lt;&gt;"",Z81&lt;&gt;0),IFERROR(AA81/Z81,""),IF(AND(Y81&lt;&gt;"",Y81&lt;&gt;0),IFERROR(AA81/Y81,""),"")))</f>
        <v/>
      </c>
      <c r="AE81" s="215" t="str">
        <f aca="false">IF(AD81="","",IF(AND(Z81&lt;&gt;"",Z81&lt;&gt;0),AA81-Z81,IF(AND(Y81&lt;&gt;"",Y81&lt;&gt;0),AA81-Y81,"")))</f>
        <v/>
      </c>
      <c r="AF81" s="216" t="str">
        <f aca="false">IF(AD81="","",AD81-1)</f>
        <v/>
      </c>
      <c r="AG81" s="215" t="str">
        <f aca="false">IF(AD81="","",IF(AD81&gt;=1,"Excellent",IF(AD81&gt;=0.9,"Bon",IF(AD81&gt;=0.7,"Moyen",IF(AD81&gt;=0.5,"Faible","Critique")))))</f>
        <v/>
      </c>
      <c r="AH81" s="215" t="str">
        <f aca="false">IF(AD81="","",IF(AD81&gt;=1,"OK - Cible atteinte",IF(AD81&gt;=0.8,"Attention","Insuffisant")))</f>
        <v/>
      </c>
      <c r="AI81" s="213"/>
      <c r="AJ81" s="213"/>
      <c r="AK81" s="213"/>
      <c r="AL81" s="213"/>
      <c r="AM81" s="213"/>
      <c r="AN81" s="216" t="str">
        <f aca="false">IF(AI81="","",IF(AI81=0,"",IFERROR(AJ81/AI81,"")))</f>
        <v/>
      </c>
      <c r="AO81" s="213"/>
      <c r="AP81" s="212" t="str">
        <f aca="false">IF(AO81="","",IFERROR(INDEX(PARAMETRES!$D$536:$D$586,MATCH(AO81,PARAMETRES!$J$536:$J$586,0)),""))</f>
        <v/>
      </c>
      <c r="AQ81" s="212" t="str">
        <f aca="false">IF(AO81="","",IFERROR(INDEX(PARAMETRES!$F$536:$F$586,MATCH(AO81,PARAMETRES!$J$536:$J$586,0)),""))</f>
        <v/>
      </c>
      <c r="AR81" s="213"/>
      <c r="AS81" s="213"/>
      <c r="AT81" s="213"/>
      <c r="AU81" s="213"/>
      <c r="AV81" s="213"/>
      <c r="AW81" s="213"/>
      <c r="AX81" s="213"/>
      <c r="AY81" s="215" t="str">
        <f aca="false">IF(M81="","",IF(AND(AA81="",OR(Y81&lt;&gt;"",Z81&lt;&gt;"")),"Donnee manquante",IF(AD81&lt;0.8,"Cible non atteinte",IF(AD81&lt;1,"A surveiller","OK"))))</f>
        <v/>
      </c>
      <c r="AZ81" s="213"/>
    </row>
    <row r="82" customFormat="false" ht="15" hidden="false" customHeight="true" outlineLevel="0" collapsed="false">
      <c r="A82" s="212" t="str">
        <f aca="false">IF(M82="","","IND"&amp;TEXT(ROW()-54,"00000"))</f>
        <v/>
      </c>
      <c r="B82" s="213"/>
      <c r="C82" s="214" t="str">
        <f aca="false">IF(B82="","",IFERROR(INDEX(tbl_Projets[Titre complet du projet],MATCH(B82,tbl_Projets[ID Projet],0)),""))</f>
        <v/>
      </c>
      <c r="D82" s="212" t="str">
        <f aca="false">IF(B82="","",IFERROR(INDEX(tbl_Projets[Domaine d''intervention],MATCH(B82,tbl_Projets[ID Projet],0)),""))</f>
        <v/>
      </c>
      <c r="E82" s="212" t="str">
        <f aca="false">IF(B82="","",IFERROR(INDEX(tbl_Projets[Statut du projet],MATCH(B82,tbl_Projets[ID Projet],0)),""))</f>
        <v/>
      </c>
      <c r="F82" s="213"/>
      <c r="G82" s="214" t="str">
        <f aca="false">IF(F82="","",IFERROR(INDEX(tbl_Activites[Intitule de l''activite],MATCH(F82,tbl_Activites[ID Activite],0)),""))</f>
        <v/>
      </c>
      <c r="H82" s="212" t="str">
        <f aca="false">IF(F82="","",IFERROR(INDEX(tbl_Activites[Statut de l''activite],MATCH(F82,tbl_Activites[ID Activite],0)),""))</f>
        <v/>
      </c>
      <c r="I82" s="213"/>
      <c r="J82" s="214" t="str">
        <f aca="false">IF(B82="","",IFERROR(INDEX(tbl_Projets[Objectif general],MATCH(B82,tbl_Projets[ID Projet],0)),""))</f>
        <v/>
      </c>
      <c r="K82" s="213"/>
      <c r="L82" s="213"/>
      <c r="M82" s="213"/>
      <c r="N82" s="213"/>
      <c r="O82" s="213"/>
      <c r="P82" s="213"/>
      <c r="Q82" s="213"/>
      <c r="R82" s="213"/>
      <c r="S82" s="213"/>
      <c r="T82" s="212" t="str">
        <f aca="false">IF(S82="","",IFERROR(INDEX(tbl_RH[Nom complet],MATCH(S82,tbl_RH[ID RH],0)),""))</f>
        <v/>
      </c>
      <c r="U82" s="212" t="str">
        <f aca="false">IF(S82="","",IFERROR(INDEX(tbl_RH[Fonction],MATCH(S82,tbl_RH[ID RH],0)),""))</f>
        <v/>
      </c>
      <c r="V82" s="213"/>
      <c r="W82" s="213"/>
      <c r="X82" s="213"/>
      <c r="Y82" s="213"/>
      <c r="Z82" s="213"/>
      <c r="AA82" s="213"/>
      <c r="AB82" s="213"/>
      <c r="AC82" s="215" t="str">
        <f aca="false">IF(AB82="","",INDEX(PARAMETRES!$C$53:$C$64,MONTH(AB82))&amp;" "&amp;YEAR(AB82))</f>
        <v/>
      </c>
      <c r="AD82" s="216" t="str">
        <f aca="false">IF(OR(M82="",AA82=""),"",IF(AND(Z82&lt;&gt;"",Z82&lt;&gt;0),IFERROR(AA82/Z82,""),IF(AND(Y82&lt;&gt;"",Y82&lt;&gt;0),IFERROR(AA82/Y82,""),"")))</f>
        <v/>
      </c>
      <c r="AE82" s="215" t="str">
        <f aca="false">IF(AD82="","",IF(AND(Z82&lt;&gt;"",Z82&lt;&gt;0),AA82-Z82,IF(AND(Y82&lt;&gt;"",Y82&lt;&gt;0),AA82-Y82,"")))</f>
        <v/>
      </c>
      <c r="AF82" s="216" t="str">
        <f aca="false">IF(AD82="","",AD82-1)</f>
        <v/>
      </c>
      <c r="AG82" s="215" t="str">
        <f aca="false">IF(AD82="","",IF(AD82&gt;=1,"Excellent",IF(AD82&gt;=0.9,"Bon",IF(AD82&gt;=0.7,"Moyen",IF(AD82&gt;=0.5,"Faible","Critique")))))</f>
        <v/>
      </c>
      <c r="AH82" s="215" t="str">
        <f aca="false">IF(AD82="","",IF(AD82&gt;=1,"OK - Cible atteinte",IF(AD82&gt;=0.8,"Attention","Insuffisant")))</f>
        <v/>
      </c>
      <c r="AI82" s="213"/>
      <c r="AJ82" s="213"/>
      <c r="AK82" s="213"/>
      <c r="AL82" s="213"/>
      <c r="AM82" s="213"/>
      <c r="AN82" s="216" t="str">
        <f aca="false">IF(AI82="","",IF(AI82=0,"",IFERROR(AJ82/AI82,"")))</f>
        <v/>
      </c>
      <c r="AO82" s="213"/>
      <c r="AP82" s="212" t="str">
        <f aca="false">IF(AO82="","",IFERROR(INDEX(PARAMETRES!$D$536:$D$586,MATCH(AO82,PARAMETRES!$J$536:$J$586,0)),""))</f>
        <v/>
      </c>
      <c r="AQ82" s="212" t="str">
        <f aca="false">IF(AO82="","",IFERROR(INDEX(PARAMETRES!$F$536:$F$586,MATCH(AO82,PARAMETRES!$J$536:$J$586,0)),""))</f>
        <v/>
      </c>
      <c r="AR82" s="213"/>
      <c r="AS82" s="213"/>
      <c r="AT82" s="213"/>
      <c r="AU82" s="213"/>
      <c r="AV82" s="213"/>
      <c r="AW82" s="213"/>
      <c r="AX82" s="213"/>
      <c r="AY82" s="215" t="str">
        <f aca="false">IF(M82="","",IF(AND(AA82="",OR(Y82&lt;&gt;"",Z82&lt;&gt;"")),"Donnee manquante",IF(AD82&lt;0.8,"Cible non atteinte",IF(AD82&lt;1,"A surveiller","OK"))))</f>
        <v/>
      </c>
      <c r="AZ82" s="213"/>
    </row>
    <row r="83" customFormat="false" ht="15" hidden="false" customHeight="true" outlineLevel="0" collapsed="false">
      <c r="A83" s="212" t="str">
        <f aca="false">IF(M83="","","IND"&amp;TEXT(ROW()-54,"00000"))</f>
        <v/>
      </c>
      <c r="B83" s="213"/>
      <c r="C83" s="214" t="str">
        <f aca="false">IF(B83="","",IFERROR(INDEX(tbl_Projets[Titre complet du projet],MATCH(B83,tbl_Projets[ID Projet],0)),""))</f>
        <v/>
      </c>
      <c r="D83" s="212" t="str">
        <f aca="false">IF(B83="","",IFERROR(INDEX(tbl_Projets[Domaine d''intervention],MATCH(B83,tbl_Projets[ID Projet],0)),""))</f>
        <v/>
      </c>
      <c r="E83" s="212" t="str">
        <f aca="false">IF(B83="","",IFERROR(INDEX(tbl_Projets[Statut du projet],MATCH(B83,tbl_Projets[ID Projet],0)),""))</f>
        <v/>
      </c>
      <c r="F83" s="213"/>
      <c r="G83" s="214" t="str">
        <f aca="false">IF(F83="","",IFERROR(INDEX(tbl_Activites[Intitule de l''activite],MATCH(F83,tbl_Activites[ID Activite],0)),""))</f>
        <v/>
      </c>
      <c r="H83" s="212" t="str">
        <f aca="false">IF(F83="","",IFERROR(INDEX(tbl_Activites[Statut de l''activite],MATCH(F83,tbl_Activites[ID Activite],0)),""))</f>
        <v/>
      </c>
      <c r="I83" s="213"/>
      <c r="J83" s="214" t="str">
        <f aca="false">IF(B83="","",IFERROR(INDEX(tbl_Projets[Objectif general],MATCH(B83,tbl_Projets[ID Projet],0)),""))</f>
        <v/>
      </c>
      <c r="K83" s="213"/>
      <c r="L83" s="213"/>
      <c r="M83" s="213"/>
      <c r="N83" s="213"/>
      <c r="O83" s="213"/>
      <c r="P83" s="213"/>
      <c r="Q83" s="213"/>
      <c r="R83" s="213"/>
      <c r="S83" s="213"/>
      <c r="T83" s="212" t="str">
        <f aca="false">IF(S83="","",IFERROR(INDEX(tbl_RH[Nom complet],MATCH(S83,tbl_RH[ID RH],0)),""))</f>
        <v/>
      </c>
      <c r="U83" s="212" t="str">
        <f aca="false">IF(S83="","",IFERROR(INDEX(tbl_RH[Fonction],MATCH(S83,tbl_RH[ID RH],0)),""))</f>
        <v/>
      </c>
      <c r="V83" s="213"/>
      <c r="W83" s="213"/>
      <c r="X83" s="213"/>
      <c r="Y83" s="213"/>
      <c r="Z83" s="213"/>
      <c r="AA83" s="213"/>
      <c r="AB83" s="213"/>
      <c r="AC83" s="215" t="str">
        <f aca="false">IF(AB83="","",INDEX(PARAMETRES!$C$53:$C$64,MONTH(AB83))&amp;" "&amp;YEAR(AB83))</f>
        <v/>
      </c>
      <c r="AD83" s="216" t="str">
        <f aca="false">IF(OR(M83="",AA83=""),"",IF(AND(Z83&lt;&gt;"",Z83&lt;&gt;0),IFERROR(AA83/Z83,""),IF(AND(Y83&lt;&gt;"",Y83&lt;&gt;0),IFERROR(AA83/Y83,""),"")))</f>
        <v/>
      </c>
      <c r="AE83" s="215" t="str">
        <f aca="false">IF(AD83="","",IF(AND(Z83&lt;&gt;"",Z83&lt;&gt;0),AA83-Z83,IF(AND(Y83&lt;&gt;"",Y83&lt;&gt;0),AA83-Y83,"")))</f>
        <v/>
      </c>
      <c r="AF83" s="216" t="str">
        <f aca="false">IF(AD83="","",AD83-1)</f>
        <v/>
      </c>
      <c r="AG83" s="215" t="str">
        <f aca="false">IF(AD83="","",IF(AD83&gt;=1,"Excellent",IF(AD83&gt;=0.9,"Bon",IF(AD83&gt;=0.7,"Moyen",IF(AD83&gt;=0.5,"Faible","Critique")))))</f>
        <v/>
      </c>
      <c r="AH83" s="215" t="str">
        <f aca="false">IF(AD83="","",IF(AD83&gt;=1,"OK - Cible atteinte",IF(AD83&gt;=0.8,"Attention","Insuffisant")))</f>
        <v/>
      </c>
      <c r="AI83" s="213"/>
      <c r="AJ83" s="213"/>
      <c r="AK83" s="213"/>
      <c r="AL83" s="213"/>
      <c r="AM83" s="213"/>
      <c r="AN83" s="216" t="str">
        <f aca="false">IF(AI83="","",IF(AI83=0,"",IFERROR(AJ83/AI83,"")))</f>
        <v/>
      </c>
      <c r="AO83" s="213"/>
      <c r="AP83" s="212" t="str">
        <f aca="false">IF(AO83="","",IFERROR(INDEX(PARAMETRES!$D$536:$D$586,MATCH(AO83,PARAMETRES!$J$536:$J$586,0)),""))</f>
        <v/>
      </c>
      <c r="AQ83" s="212" t="str">
        <f aca="false">IF(AO83="","",IFERROR(INDEX(PARAMETRES!$F$536:$F$586,MATCH(AO83,PARAMETRES!$J$536:$J$586,0)),""))</f>
        <v/>
      </c>
      <c r="AR83" s="213"/>
      <c r="AS83" s="213"/>
      <c r="AT83" s="213"/>
      <c r="AU83" s="213"/>
      <c r="AV83" s="213"/>
      <c r="AW83" s="213"/>
      <c r="AX83" s="213"/>
      <c r="AY83" s="215" t="str">
        <f aca="false">IF(M83="","",IF(AND(AA83="",OR(Y83&lt;&gt;"",Z83&lt;&gt;"")),"Donnee manquante",IF(AD83&lt;0.8,"Cible non atteinte",IF(AD83&lt;1,"A surveiller","OK"))))</f>
        <v/>
      </c>
      <c r="AZ83" s="213"/>
    </row>
    <row r="84" customFormat="false" ht="15" hidden="false" customHeight="true" outlineLevel="0" collapsed="false">
      <c r="A84" s="212" t="str">
        <f aca="false">IF(M84="","","IND"&amp;TEXT(ROW()-54,"00000"))</f>
        <v/>
      </c>
      <c r="B84" s="213"/>
      <c r="C84" s="214" t="str">
        <f aca="false">IF(B84="","",IFERROR(INDEX(tbl_Projets[Titre complet du projet],MATCH(B84,tbl_Projets[ID Projet],0)),""))</f>
        <v/>
      </c>
      <c r="D84" s="212" t="str">
        <f aca="false">IF(B84="","",IFERROR(INDEX(tbl_Projets[Domaine d''intervention],MATCH(B84,tbl_Projets[ID Projet],0)),""))</f>
        <v/>
      </c>
      <c r="E84" s="212" t="str">
        <f aca="false">IF(B84="","",IFERROR(INDEX(tbl_Projets[Statut du projet],MATCH(B84,tbl_Projets[ID Projet],0)),""))</f>
        <v/>
      </c>
      <c r="F84" s="213"/>
      <c r="G84" s="214" t="str">
        <f aca="false">IF(F84="","",IFERROR(INDEX(tbl_Activites[Intitule de l''activite],MATCH(F84,tbl_Activites[ID Activite],0)),""))</f>
        <v/>
      </c>
      <c r="H84" s="212" t="str">
        <f aca="false">IF(F84="","",IFERROR(INDEX(tbl_Activites[Statut de l''activite],MATCH(F84,tbl_Activites[ID Activite],0)),""))</f>
        <v/>
      </c>
      <c r="I84" s="213"/>
      <c r="J84" s="214" t="str">
        <f aca="false">IF(B84="","",IFERROR(INDEX(tbl_Projets[Objectif general],MATCH(B84,tbl_Projets[ID Projet],0)),""))</f>
        <v/>
      </c>
      <c r="K84" s="213"/>
      <c r="L84" s="213"/>
      <c r="M84" s="213"/>
      <c r="N84" s="213"/>
      <c r="O84" s="213"/>
      <c r="P84" s="213"/>
      <c r="Q84" s="213"/>
      <c r="R84" s="213"/>
      <c r="S84" s="213"/>
      <c r="T84" s="212" t="str">
        <f aca="false">IF(S84="","",IFERROR(INDEX(tbl_RH[Nom complet],MATCH(S84,tbl_RH[ID RH],0)),""))</f>
        <v/>
      </c>
      <c r="U84" s="212" t="str">
        <f aca="false">IF(S84="","",IFERROR(INDEX(tbl_RH[Fonction],MATCH(S84,tbl_RH[ID RH],0)),""))</f>
        <v/>
      </c>
      <c r="V84" s="213"/>
      <c r="W84" s="213"/>
      <c r="X84" s="213"/>
      <c r="Y84" s="213"/>
      <c r="Z84" s="213"/>
      <c r="AA84" s="213"/>
      <c r="AB84" s="213"/>
      <c r="AC84" s="215" t="str">
        <f aca="false">IF(AB84="","",INDEX(PARAMETRES!$C$53:$C$64,MONTH(AB84))&amp;" "&amp;YEAR(AB84))</f>
        <v/>
      </c>
      <c r="AD84" s="216" t="str">
        <f aca="false">IF(OR(M84="",AA84=""),"",IF(AND(Z84&lt;&gt;"",Z84&lt;&gt;0),IFERROR(AA84/Z84,""),IF(AND(Y84&lt;&gt;"",Y84&lt;&gt;0),IFERROR(AA84/Y84,""),"")))</f>
        <v/>
      </c>
      <c r="AE84" s="215" t="str">
        <f aca="false">IF(AD84="","",IF(AND(Z84&lt;&gt;"",Z84&lt;&gt;0),AA84-Z84,IF(AND(Y84&lt;&gt;"",Y84&lt;&gt;0),AA84-Y84,"")))</f>
        <v/>
      </c>
      <c r="AF84" s="216" t="str">
        <f aca="false">IF(AD84="","",AD84-1)</f>
        <v/>
      </c>
      <c r="AG84" s="215" t="str">
        <f aca="false">IF(AD84="","",IF(AD84&gt;=1,"Excellent",IF(AD84&gt;=0.9,"Bon",IF(AD84&gt;=0.7,"Moyen",IF(AD84&gt;=0.5,"Faible","Critique")))))</f>
        <v/>
      </c>
      <c r="AH84" s="215" t="str">
        <f aca="false">IF(AD84="","",IF(AD84&gt;=1,"OK - Cible atteinte",IF(AD84&gt;=0.8,"Attention","Insuffisant")))</f>
        <v/>
      </c>
      <c r="AI84" s="213"/>
      <c r="AJ84" s="213"/>
      <c r="AK84" s="213"/>
      <c r="AL84" s="213"/>
      <c r="AM84" s="213"/>
      <c r="AN84" s="216" t="str">
        <f aca="false">IF(AI84="","",IF(AI84=0,"",IFERROR(AJ84/AI84,"")))</f>
        <v/>
      </c>
      <c r="AO84" s="213"/>
      <c r="AP84" s="212" t="str">
        <f aca="false">IF(AO84="","",IFERROR(INDEX(PARAMETRES!$D$536:$D$586,MATCH(AO84,PARAMETRES!$J$536:$J$586,0)),""))</f>
        <v/>
      </c>
      <c r="AQ84" s="212" t="str">
        <f aca="false">IF(AO84="","",IFERROR(INDEX(PARAMETRES!$F$536:$F$586,MATCH(AO84,PARAMETRES!$J$536:$J$586,0)),""))</f>
        <v/>
      </c>
      <c r="AR84" s="213"/>
      <c r="AS84" s="213"/>
      <c r="AT84" s="213"/>
      <c r="AU84" s="213"/>
      <c r="AV84" s="213"/>
      <c r="AW84" s="213"/>
      <c r="AX84" s="213"/>
      <c r="AY84" s="215" t="str">
        <f aca="false">IF(M84="","",IF(AND(AA84="",OR(Y84&lt;&gt;"",Z84&lt;&gt;"")),"Donnee manquante",IF(AD84&lt;0.8,"Cible non atteinte",IF(AD84&lt;1,"A surveiller","OK"))))</f>
        <v/>
      </c>
      <c r="AZ84" s="213"/>
    </row>
    <row r="85" customFormat="false" ht="15" hidden="false" customHeight="true" outlineLevel="0" collapsed="false">
      <c r="A85" s="212" t="str">
        <f aca="false">IF(M85="","","IND"&amp;TEXT(ROW()-54,"00000"))</f>
        <v/>
      </c>
      <c r="B85" s="213"/>
      <c r="C85" s="214" t="str">
        <f aca="false">IF(B85="","",IFERROR(INDEX(tbl_Projets[Titre complet du projet],MATCH(B85,tbl_Projets[ID Projet],0)),""))</f>
        <v/>
      </c>
      <c r="D85" s="212" t="str">
        <f aca="false">IF(B85="","",IFERROR(INDEX(tbl_Projets[Domaine d''intervention],MATCH(B85,tbl_Projets[ID Projet],0)),""))</f>
        <v/>
      </c>
      <c r="E85" s="212" t="str">
        <f aca="false">IF(B85="","",IFERROR(INDEX(tbl_Projets[Statut du projet],MATCH(B85,tbl_Projets[ID Projet],0)),""))</f>
        <v/>
      </c>
      <c r="F85" s="213"/>
      <c r="G85" s="214" t="str">
        <f aca="false">IF(F85="","",IFERROR(INDEX(tbl_Activites[Intitule de l''activite],MATCH(F85,tbl_Activites[ID Activite],0)),""))</f>
        <v/>
      </c>
      <c r="H85" s="212" t="str">
        <f aca="false">IF(F85="","",IFERROR(INDEX(tbl_Activites[Statut de l''activite],MATCH(F85,tbl_Activites[ID Activite],0)),""))</f>
        <v/>
      </c>
      <c r="I85" s="213"/>
      <c r="J85" s="214" t="str">
        <f aca="false">IF(B85="","",IFERROR(INDEX(tbl_Projets[Objectif general],MATCH(B85,tbl_Projets[ID Projet],0)),""))</f>
        <v/>
      </c>
      <c r="K85" s="213"/>
      <c r="L85" s="213"/>
      <c r="M85" s="213"/>
      <c r="N85" s="213"/>
      <c r="O85" s="213"/>
      <c r="P85" s="213"/>
      <c r="Q85" s="213"/>
      <c r="R85" s="213"/>
      <c r="S85" s="213"/>
      <c r="T85" s="212" t="str">
        <f aca="false">IF(S85="","",IFERROR(INDEX(tbl_RH[Nom complet],MATCH(S85,tbl_RH[ID RH],0)),""))</f>
        <v/>
      </c>
      <c r="U85" s="212" t="str">
        <f aca="false">IF(S85="","",IFERROR(INDEX(tbl_RH[Fonction],MATCH(S85,tbl_RH[ID RH],0)),""))</f>
        <v/>
      </c>
      <c r="V85" s="213"/>
      <c r="W85" s="213"/>
      <c r="X85" s="213"/>
      <c r="Y85" s="213"/>
      <c r="Z85" s="213"/>
      <c r="AA85" s="213"/>
      <c r="AB85" s="213"/>
      <c r="AC85" s="215" t="str">
        <f aca="false">IF(AB85="","",INDEX(PARAMETRES!$C$53:$C$64,MONTH(AB85))&amp;" "&amp;YEAR(AB85))</f>
        <v/>
      </c>
      <c r="AD85" s="216" t="str">
        <f aca="false">IF(OR(M85="",AA85=""),"",IF(AND(Z85&lt;&gt;"",Z85&lt;&gt;0),IFERROR(AA85/Z85,""),IF(AND(Y85&lt;&gt;"",Y85&lt;&gt;0),IFERROR(AA85/Y85,""),"")))</f>
        <v/>
      </c>
      <c r="AE85" s="215" t="str">
        <f aca="false">IF(AD85="","",IF(AND(Z85&lt;&gt;"",Z85&lt;&gt;0),AA85-Z85,IF(AND(Y85&lt;&gt;"",Y85&lt;&gt;0),AA85-Y85,"")))</f>
        <v/>
      </c>
      <c r="AF85" s="216" t="str">
        <f aca="false">IF(AD85="","",AD85-1)</f>
        <v/>
      </c>
      <c r="AG85" s="215" t="str">
        <f aca="false">IF(AD85="","",IF(AD85&gt;=1,"Excellent",IF(AD85&gt;=0.9,"Bon",IF(AD85&gt;=0.7,"Moyen",IF(AD85&gt;=0.5,"Faible","Critique")))))</f>
        <v/>
      </c>
      <c r="AH85" s="215" t="str">
        <f aca="false">IF(AD85="","",IF(AD85&gt;=1,"OK - Cible atteinte",IF(AD85&gt;=0.8,"Attention","Insuffisant")))</f>
        <v/>
      </c>
      <c r="AI85" s="213"/>
      <c r="AJ85" s="213"/>
      <c r="AK85" s="213"/>
      <c r="AL85" s="213"/>
      <c r="AM85" s="213"/>
      <c r="AN85" s="216" t="str">
        <f aca="false">IF(AI85="","",IF(AI85=0,"",IFERROR(AJ85/AI85,"")))</f>
        <v/>
      </c>
      <c r="AO85" s="213"/>
      <c r="AP85" s="212" t="str">
        <f aca="false">IF(AO85="","",IFERROR(INDEX(PARAMETRES!$D$536:$D$586,MATCH(AO85,PARAMETRES!$J$536:$J$586,0)),""))</f>
        <v/>
      </c>
      <c r="AQ85" s="212" t="str">
        <f aca="false">IF(AO85="","",IFERROR(INDEX(PARAMETRES!$F$536:$F$586,MATCH(AO85,PARAMETRES!$J$536:$J$586,0)),""))</f>
        <v/>
      </c>
      <c r="AR85" s="213"/>
      <c r="AS85" s="213"/>
      <c r="AT85" s="213"/>
      <c r="AU85" s="213"/>
      <c r="AV85" s="213"/>
      <c r="AW85" s="213"/>
      <c r="AX85" s="213"/>
      <c r="AY85" s="215" t="str">
        <f aca="false">IF(M85="","",IF(AND(AA85="",OR(Y85&lt;&gt;"",Z85&lt;&gt;"")),"Donnee manquante",IF(AD85&lt;0.8,"Cible non atteinte",IF(AD85&lt;1,"A surveiller","OK"))))</f>
        <v/>
      </c>
      <c r="AZ85" s="213"/>
    </row>
    <row r="86" customFormat="false" ht="15" hidden="false" customHeight="true" outlineLevel="0" collapsed="false">
      <c r="A86" s="212" t="str">
        <f aca="false">IF(M86="","","IND"&amp;TEXT(ROW()-54,"00000"))</f>
        <v/>
      </c>
      <c r="B86" s="213"/>
      <c r="C86" s="214" t="str">
        <f aca="false">IF(B86="","",IFERROR(INDEX(tbl_Projets[Titre complet du projet],MATCH(B86,tbl_Projets[ID Projet],0)),""))</f>
        <v/>
      </c>
      <c r="D86" s="212" t="str">
        <f aca="false">IF(B86="","",IFERROR(INDEX(tbl_Projets[Domaine d''intervention],MATCH(B86,tbl_Projets[ID Projet],0)),""))</f>
        <v/>
      </c>
      <c r="E86" s="212" t="str">
        <f aca="false">IF(B86="","",IFERROR(INDEX(tbl_Projets[Statut du projet],MATCH(B86,tbl_Projets[ID Projet],0)),""))</f>
        <v/>
      </c>
      <c r="F86" s="213"/>
      <c r="G86" s="214" t="str">
        <f aca="false">IF(F86="","",IFERROR(INDEX(tbl_Activites[Intitule de l''activite],MATCH(F86,tbl_Activites[ID Activite],0)),""))</f>
        <v/>
      </c>
      <c r="H86" s="212" t="str">
        <f aca="false">IF(F86="","",IFERROR(INDEX(tbl_Activites[Statut de l''activite],MATCH(F86,tbl_Activites[ID Activite],0)),""))</f>
        <v/>
      </c>
      <c r="I86" s="213"/>
      <c r="J86" s="214" t="str">
        <f aca="false">IF(B86="","",IFERROR(INDEX(tbl_Projets[Objectif general],MATCH(B86,tbl_Projets[ID Projet],0)),""))</f>
        <v/>
      </c>
      <c r="K86" s="213"/>
      <c r="L86" s="213"/>
      <c r="M86" s="213"/>
      <c r="N86" s="213"/>
      <c r="O86" s="213"/>
      <c r="P86" s="213"/>
      <c r="Q86" s="213"/>
      <c r="R86" s="213"/>
      <c r="S86" s="213"/>
      <c r="T86" s="212" t="str">
        <f aca="false">IF(S86="","",IFERROR(INDEX(tbl_RH[Nom complet],MATCH(S86,tbl_RH[ID RH],0)),""))</f>
        <v/>
      </c>
      <c r="U86" s="212" t="str">
        <f aca="false">IF(S86="","",IFERROR(INDEX(tbl_RH[Fonction],MATCH(S86,tbl_RH[ID RH],0)),""))</f>
        <v/>
      </c>
      <c r="V86" s="213"/>
      <c r="W86" s="213"/>
      <c r="X86" s="213"/>
      <c r="Y86" s="213"/>
      <c r="Z86" s="213"/>
      <c r="AA86" s="213"/>
      <c r="AB86" s="213"/>
      <c r="AC86" s="215" t="str">
        <f aca="false">IF(AB86="","",INDEX(PARAMETRES!$C$53:$C$64,MONTH(AB86))&amp;" "&amp;YEAR(AB86))</f>
        <v/>
      </c>
      <c r="AD86" s="216" t="str">
        <f aca="false">IF(OR(M86="",AA86=""),"",IF(AND(Z86&lt;&gt;"",Z86&lt;&gt;0),IFERROR(AA86/Z86,""),IF(AND(Y86&lt;&gt;"",Y86&lt;&gt;0),IFERROR(AA86/Y86,""),"")))</f>
        <v/>
      </c>
      <c r="AE86" s="215" t="str">
        <f aca="false">IF(AD86="","",IF(AND(Z86&lt;&gt;"",Z86&lt;&gt;0),AA86-Z86,IF(AND(Y86&lt;&gt;"",Y86&lt;&gt;0),AA86-Y86,"")))</f>
        <v/>
      </c>
      <c r="AF86" s="216" t="str">
        <f aca="false">IF(AD86="","",AD86-1)</f>
        <v/>
      </c>
      <c r="AG86" s="215" t="str">
        <f aca="false">IF(AD86="","",IF(AD86&gt;=1,"Excellent",IF(AD86&gt;=0.9,"Bon",IF(AD86&gt;=0.7,"Moyen",IF(AD86&gt;=0.5,"Faible","Critique")))))</f>
        <v/>
      </c>
      <c r="AH86" s="215" t="str">
        <f aca="false">IF(AD86="","",IF(AD86&gt;=1,"OK - Cible atteinte",IF(AD86&gt;=0.8,"Attention","Insuffisant")))</f>
        <v/>
      </c>
      <c r="AI86" s="213"/>
      <c r="AJ86" s="213"/>
      <c r="AK86" s="213"/>
      <c r="AL86" s="213"/>
      <c r="AM86" s="213"/>
      <c r="AN86" s="216" t="str">
        <f aca="false">IF(AI86="","",IF(AI86=0,"",IFERROR(AJ86/AI86,"")))</f>
        <v/>
      </c>
      <c r="AO86" s="213"/>
      <c r="AP86" s="212" t="str">
        <f aca="false">IF(AO86="","",IFERROR(INDEX(PARAMETRES!$D$536:$D$586,MATCH(AO86,PARAMETRES!$J$536:$J$586,0)),""))</f>
        <v/>
      </c>
      <c r="AQ86" s="212" t="str">
        <f aca="false">IF(AO86="","",IFERROR(INDEX(PARAMETRES!$F$536:$F$586,MATCH(AO86,PARAMETRES!$J$536:$J$586,0)),""))</f>
        <v/>
      </c>
      <c r="AR86" s="213"/>
      <c r="AS86" s="213"/>
      <c r="AT86" s="213"/>
      <c r="AU86" s="213"/>
      <c r="AV86" s="213"/>
      <c r="AW86" s="213"/>
      <c r="AX86" s="213"/>
      <c r="AY86" s="215" t="str">
        <f aca="false">IF(M86="","",IF(AND(AA86="",OR(Y86&lt;&gt;"",Z86&lt;&gt;"")),"Donnee manquante",IF(AD86&lt;0.8,"Cible non atteinte",IF(AD86&lt;1,"A surveiller","OK"))))</f>
        <v/>
      </c>
      <c r="AZ86" s="213"/>
    </row>
    <row r="87" customFormat="false" ht="15" hidden="false" customHeight="true" outlineLevel="0" collapsed="false">
      <c r="A87" s="212" t="str">
        <f aca="false">IF(M87="","","IND"&amp;TEXT(ROW()-54,"00000"))</f>
        <v/>
      </c>
      <c r="B87" s="213"/>
      <c r="C87" s="214" t="str">
        <f aca="false">IF(B87="","",IFERROR(INDEX(tbl_Projets[Titre complet du projet],MATCH(B87,tbl_Projets[ID Projet],0)),""))</f>
        <v/>
      </c>
      <c r="D87" s="212" t="str">
        <f aca="false">IF(B87="","",IFERROR(INDEX(tbl_Projets[Domaine d''intervention],MATCH(B87,tbl_Projets[ID Projet],0)),""))</f>
        <v/>
      </c>
      <c r="E87" s="212" t="str">
        <f aca="false">IF(B87="","",IFERROR(INDEX(tbl_Projets[Statut du projet],MATCH(B87,tbl_Projets[ID Projet],0)),""))</f>
        <v/>
      </c>
      <c r="F87" s="213"/>
      <c r="G87" s="214" t="str">
        <f aca="false">IF(F87="","",IFERROR(INDEX(tbl_Activites[Intitule de l''activite],MATCH(F87,tbl_Activites[ID Activite],0)),""))</f>
        <v/>
      </c>
      <c r="H87" s="212" t="str">
        <f aca="false">IF(F87="","",IFERROR(INDEX(tbl_Activites[Statut de l''activite],MATCH(F87,tbl_Activites[ID Activite],0)),""))</f>
        <v/>
      </c>
      <c r="I87" s="213"/>
      <c r="J87" s="214" t="str">
        <f aca="false">IF(B87="","",IFERROR(INDEX(tbl_Projets[Objectif general],MATCH(B87,tbl_Projets[ID Projet],0)),""))</f>
        <v/>
      </c>
      <c r="K87" s="213"/>
      <c r="L87" s="213"/>
      <c r="M87" s="213"/>
      <c r="N87" s="213"/>
      <c r="O87" s="213"/>
      <c r="P87" s="213"/>
      <c r="Q87" s="213"/>
      <c r="R87" s="213"/>
      <c r="S87" s="213"/>
      <c r="T87" s="212" t="str">
        <f aca="false">IF(S87="","",IFERROR(INDEX(tbl_RH[Nom complet],MATCH(S87,tbl_RH[ID RH],0)),""))</f>
        <v/>
      </c>
      <c r="U87" s="212" t="str">
        <f aca="false">IF(S87="","",IFERROR(INDEX(tbl_RH[Fonction],MATCH(S87,tbl_RH[ID RH],0)),""))</f>
        <v/>
      </c>
      <c r="V87" s="213"/>
      <c r="W87" s="213"/>
      <c r="X87" s="213"/>
      <c r="Y87" s="213"/>
      <c r="Z87" s="213"/>
      <c r="AA87" s="213"/>
      <c r="AB87" s="213"/>
      <c r="AC87" s="215" t="str">
        <f aca="false">IF(AB87="","",INDEX(PARAMETRES!$C$53:$C$64,MONTH(AB87))&amp;" "&amp;YEAR(AB87))</f>
        <v/>
      </c>
      <c r="AD87" s="216" t="str">
        <f aca="false">IF(OR(M87="",AA87=""),"",IF(AND(Z87&lt;&gt;"",Z87&lt;&gt;0),IFERROR(AA87/Z87,""),IF(AND(Y87&lt;&gt;"",Y87&lt;&gt;0),IFERROR(AA87/Y87,""),"")))</f>
        <v/>
      </c>
      <c r="AE87" s="215" t="str">
        <f aca="false">IF(AD87="","",IF(AND(Z87&lt;&gt;"",Z87&lt;&gt;0),AA87-Z87,IF(AND(Y87&lt;&gt;"",Y87&lt;&gt;0),AA87-Y87,"")))</f>
        <v/>
      </c>
      <c r="AF87" s="216" t="str">
        <f aca="false">IF(AD87="","",AD87-1)</f>
        <v/>
      </c>
      <c r="AG87" s="215" t="str">
        <f aca="false">IF(AD87="","",IF(AD87&gt;=1,"Excellent",IF(AD87&gt;=0.9,"Bon",IF(AD87&gt;=0.7,"Moyen",IF(AD87&gt;=0.5,"Faible","Critique")))))</f>
        <v/>
      </c>
      <c r="AH87" s="215" t="str">
        <f aca="false">IF(AD87="","",IF(AD87&gt;=1,"OK - Cible atteinte",IF(AD87&gt;=0.8,"Attention","Insuffisant")))</f>
        <v/>
      </c>
      <c r="AI87" s="213"/>
      <c r="AJ87" s="213"/>
      <c r="AK87" s="213"/>
      <c r="AL87" s="213"/>
      <c r="AM87" s="213"/>
      <c r="AN87" s="216" t="str">
        <f aca="false">IF(AI87="","",IF(AI87=0,"",IFERROR(AJ87/AI87,"")))</f>
        <v/>
      </c>
      <c r="AO87" s="213"/>
      <c r="AP87" s="212" t="str">
        <f aca="false">IF(AO87="","",IFERROR(INDEX(PARAMETRES!$D$536:$D$586,MATCH(AO87,PARAMETRES!$J$536:$J$586,0)),""))</f>
        <v/>
      </c>
      <c r="AQ87" s="212" t="str">
        <f aca="false">IF(AO87="","",IFERROR(INDEX(PARAMETRES!$F$536:$F$586,MATCH(AO87,PARAMETRES!$J$536:$J$586,0)),""))</f>
        <v/>
      </c>
      <c r="AR87" s="213"/>
      <c r="AS87" s="213"/>
      <c r="AT87" s="213"/>
      <c r="AU87" s="213"/>
      <c r="AV87" s="213"/>
      <c r="AW87" s="213"/>
      <c r="AX87" s="213"/>
      <c r="AY87" s="215" t="str">
        <f aca="false">IF(M87="","",IF(AND(AA87="",OR(Y87&lt;&gt;"",Z87&lt;&gt;"")),"Donnee manquante",IF(AD87&lt;0.8,"Cible non atteinte",IF(AD87&lt;1,"A surveiller","OK"))))</f>
        <v/>
      </c>
      <c r="AZ87" s="213"/>
    </row>
    <row r="88" customFormat="false" ht="15" hidden="false" customHeight="true" outlineLevel="0" collapsed="false">
      <c r="A88" s="212" t="str">
        <f aca="false">IF(M88="","","IND"&amp;TEXT(ROW()-54,"00000"))</f>
        <v/>
      </c>
      <c r="B88" s="213"/>
      <c r="C88" s="214" t="str">
        <f aca="false">IF(B88="","",IFERROR(INDEX(tbl_Projets[Titre complet du projet],MATCH(B88,tbl_Projets[ID Projet],0)),""))</f>
        <v/>
      </c>
      <c r="D88" s="212" t="str">
        <f aca="false">IF(B88="","",IFERROR(INDEX(tbl_Projets[Domaine d''intervention],MATCH(B88,tbl_Projets[ID Projet],0)),""))</f>
        <v/>
      </c>
      <c r="E88" s="212" t="str">
        <f aca="false">IF(B88="","",IFERROR(INDEX(tbl_Projets[Statut du projet],MATCH(B88,tbl_Projets[ID Projet],0)),""))</f>
        <v/>
      </c>
      <c r="F88" s="213"/>
      <c r="G88" s="214" t="str">
        <f aca="false">IF(F88="","",IFERROR(INDEX(tbl_Activites[Intitule de l''activite],MATCH(F88,tbl_Activites[ID Activite],0)),""))</f>
        <v/>
      </c>
      <c r="H88" s="212" t="str">
        <f aca="false">IF(F88="","",IFERROR(INDEX(tbl_Activites[Statut de l''activite],MATCH(F88,tbl_Activites[ID Activite],0)),""))</f>
        <v/>
      </c>
      <c r="I88" s="213"/>
      <c r="J88" s="214" t="str">
        <f aca="false">IF(B88="","",IFERROR(INDEX(tbl_Projets[Objectif general],MATCH(B88,tbl_Projets[ID Projet],0)),""))</f>
        <v/>
      </c>
      <c r="K88" s="213"/>
      <c r="L88" s="213"/>
      <c r="M88" s="213"/>
      <c r="N88" s="213"/>
      <c r="O88" s="213"/>
      <c r="P88" s="213"/>
      <c r="Q88" s="213"/>
      <c r="R88" s="213"/>
      <c r="S88" s="213"/>
      <c r="T88" s="212" t="str">
        <f aca="false">IF(S88="","",IFERROR(INDEX(tbl_RH[Nom complet],MATCH(S88,tbl_RH[ID RH],0)),""))</f>
        <v/>
      </c>
      <c r="U88" s="212" t="str">
        <f aca="false">IF(S88="","",IFERROR(INDEX(tbl_RH[Fonction],MATCH(S88,tbl_RH[ID RH],0)),""))</f>
        <v/>
      </c>
      <c r="V88" s="213"/>
      <c r="W88" s="213"/>
      <c r="X88" s="213"/>
      <c r="Y88" s="213"/>
      <c r="Z88" s="213"/>
      <c r="AA88" s="213"/>
      <c r="AB88" s="213"/>
      <c r="AC88" s="215" t="str">
        <f aca="false">IF(AB88="","",INDEX(PARAMETRES!$C$53:$C$64,MONTH(AB88))&amp;" "&amp;YEAR(AB88))</f>
        <v/>
      </c>
      <c r="AD88" s="216" t="str">
        <f aca="false">IF(OR(M88="",AA88=""),"",IF(AND(Z88&lt;&gt;"",Z88&lt;&gt;0),IFERROR(AA88/Z88,""),IF(AND(Y88&lt;&gt;"",Y88&lt;&gt;0),IFERROR(AA88/Y88,""),"")))</f>
        <v/>
      </c>
      <c r="AE88" s="215" t="str">
        <f aca="false">IF(AD88="","",IF(AND(Z88&lt;&gt;"",Z88&lt;&gt;0),AA88-Z88,IF(AND(Y88&lt;&gt;"",Y88&lt;&gt;0),AA88-Y88,"")))</f>
        <v/>
      </c>
      <c r="AF88" s="216" t="str">
        <f aca="false">IF(AD88="","",AD88-1)</f>
        <v/>
      </c>
      <c r="AG88" s="215" t="str">
        <f aca="false">IF(AD88="","",IF(AD88&gt;=1,"Excellent",IF(AD88&gt;=0.9,"Bon",IF(AD88&gt;=0.7,"Moyen",IF(AD88&gt;=0.5,"Faible","Critique")))))</f>
        <v/>
      </c>
      <c r="AH88" s="215" t="str">
        <f aca="false">IF(AD88="","",IF(AD88&gt;=1,"OK - Cible atteinte",IF(AD88&gt;=0.8,"Attention","Insuffisant")))</f>
        <v/>
      </c>
      <c r="AI88" s="213"/>
      <c r="AJ88" s="213"/>
      <c r="AK88" s="213"/>
      <c r="AL88" s="213"/>
      <c r="AM88" s="213"/>
      <c r="AN88" s="216" t="str">
        <f aca="false">IF(AI88="","",IF(AI88=0,"",IFERROR(AJ88/AI88,"")))</f>
        <v/>
      </c>
      <c r="AO88" s="213"/>
      <c r="AP88" s="212" t="str">
        <f aca="false">IF(AO88="","",IFERROR(INDEX(PARAMETRES!$D$536:$D$586,MATCH(AO88,PARAMETRES!$J$536:$J$586,0)),""))</f>
        <v/>
      </c>
      <c r="AQ88" s="212" t="str">
        <f aca="false">IF(AO88="","",IFERROR(INDEX(PARAMETRES!$F$536:$F$586,MATCH(AO88,PARAMETRES!$J$536:$J$586,0)),""))</f>
        <v/>
      </c>
      <c r="AR88" s="213"/>
      <c r="AS88" s="213"/>
      <c r="AT88" s="213"/>
      <c r="AU88" s="213"/>
      <c r="AV88" s="213"/>
      <c r="AW88" s="213"/>
      <c r="AX88" s="213"/>
      <c r="AY88" s="215" t="str">
        <f aca="false">IF(M88="","",IF(AND(AA88="",OR(Y88&lt;&gt;"",Z88&lt;&gt;"")),"Donnee manquante",IF(AD88&lt;0.8,"Cible non atteinte",IF(AD88&lt;1,"A surveiller","OK"))))</f>
        <v/>
      </c>
      <c r="AZ88" s="213"/>
    </row>
    <row r="89" customFormat="false" ht="15" hidden="false" customHeight="true" outlineLevel="0" collapsed="false">
      <c r="A89" s="212" t="str">
        <f aca="false">IF(M89="","","IND"&amp;TEXT(ROW()-54,"00000"))</f>
        <v/>
      </c>
      <c r="B89" s="213"/>
      <c r="C89" s="214" t="str">
        <f aca="false">IF(B89="","",IFERROR(INDEX(tbl_Projets[Titre complet du projet],MATCH(B89,tbl_Projets[ID Projet],0)),""))</f>
        <v/>
      </c>
      <c r="D89" s="212" t="str">
        <f aca="false">IF(B89="","",IFERROR(INDEX(tbl_Projets[Domaine d''intervention],MATCH(B89,tbl_Projets[ID Projet],0)),""))</f>
        <v/>
      </c>
      <c r="E89" s="212" t="str">
        <f aca="false">IF(B89="","",IFERROR(INDEX(tbl_Projets[Statut du projet],MATCH(B89,tbl_Projets[ID Projet],0)),""))</f>
        <v/>
      </c>
      <c r="F89" s="213"/>
      <c r="G89" s="214" t="str">
        <f aca="false">IF(F89="","",IFERROR(INDEX(tbl_Activites[Intitule de l''activite],MATCH(F89,tbl_Activites[ID Activite],0)),""))</f>
        <v/>
      </c>
      <c r="H89" s="212" t="str">
        <f aca="false">IF(F89="","",IFERROR(INDEX(tbl_Activites[Statut de l''activite],MATCH(F89,tbl_Activites[ID Activite],0)),""))</f>
        <v/>
      </c>
      <c r="I89" s="213"/>
      <c r="J89" s="214" t="str">
        <f aca="false">IF(B89="","",IFERROR(INDEX(tbl_Projets[Objectif general],MATCH(B89,tbl_Projets[ID Projet],0)),""))</f>
        <v/>
      </c>
      <c r="K89" s="213"/>
      <c r="L89" s="213"/>
      <c r="M89" s="213"/>
      <c r="N89" s="213"/>
      <c r="O89" s="213"/>
      <c r="P89" s="213"/>
      <c r="Q89" s="213"/>
      <c r="R89" s="213"/>
      <c r="S89" s="213"/>
      <c r="T89" s="212" t="str">
        <f aca="false">IF(S89="","",IFERROR(INDEX(tbl_RH[Nom complet],MATCH(S89,tbl_RH[ID RH],0)),""))</f>
        <v/>
      </c>
      <c r="U89" s="212" t="str">
        <f aca="false">IF(S89="","",IFERROR(INDEX(tbl_RH[Fonction],MATCH(S89,tbl_RH[ID RH],0)),""))</f>
        <v/>
      </c>
      <c r="V89" s="213"/>
      <c r="W89" s="213"/>
      <c r="X89" s="213"/>
      <c r="Y89" s="213"/>
      <c r="Z89" s="213"/>
      <c r="AA89" s="213"/>
      <c r="AB89" s="213"/>
      <c r="AC89" s="215" t="str">
        <f aca="false">IF(AB89="","",INDEX(PARAMETRES!$C$53:$C$64,MONTH(AB89))&amp;" "&amp;YEAR(AB89))</f>
        <v/>
      </c>
      <c r="AD89" s="216" t="str">
        <f aca="false">IF(OR(M89="",AA89=""),"",IF(AND(Z89&lt;&gt;"",Z89&lt;&gt;0),IFERROR(AA89/Z89,""),IF(AND(Y89&lt;&gt;"",Y89&lt;&gt;0),IFERROR(AA89/Y89,""),"")))</f>
        <v/>
      </c>
      <c r="AE89" s="215" t="str">
        <f aca="false">IF(AD89="","",IF(AND(Z89&lt;&gt;"",Z89&lt;&gt;0),AA89-Z89,IF(AND(Y89&lt;&gt;"",Y89&lt;&gt;0),AA89-Y89,"")))</f>
        <v/>
      </c>
      <c r="AF89" s="216" t="str">
        <f aca="false">IF(AD89="","",AD89-1)</f>
        <v/>
      </c>
      <c r="AG89" s="215" t="str">
        <f aca="false">IF(AD89="","",IF(AD89&gt;=1,"Excellent",IF(AD89&gt;=0.9,"Bon",IF(AD89&gt;=0.7,"Moyen",IF(AD89&gt;=0.5,"Faible","Critique")))))</f>
        <v/>
      </c>
      <c r="AH89" s="215" t="str">
        <f aca="false">IF(AD89="","",IF(AD89&gt;=1,"OK - Cible atteinte",IF(AD89&gt;=0.8,"Attention","Insuffisant")))</f>
        <v/>
      </c>
      <c r="AI89" s="213"/>
      <c r="AJ89" s="213"/>
      <c r="AK89" s="213"/>
      <c r="AL89" s="213"/>
      <c r="AM89" s="213"/>
      <c r="AN89" s="216" t="str">
        <f aca="false">IF(AI89="","",IF(AI89=0,"",IFERROR(AJ89/AI89,"")))</f>
        <v/>
      </c>
      <c r="AO89" s="213"/>
      <c r="AP89" s="212" t="str">
        <f aca="false">IF(AO89="","",IFERROR(INDEX(PARAMETRES!$D$536:$D$586,MATCH(AO89,PARAMETRES!$J$536:$J$586,0)),""))</f>
        <v/>
      </c>
      <c r="AQ89" s="212" t="str">
        <f aca="false">IF(AO89="","",IFERROR(INDEX(PARAMETRES!$F$536:$F$586,MATCH(AO89,PARAMETRES!$J$536:$J$586,0)),""))</f>
        <v/>
      </c>
      <c r="AR89" s="213"/>
      <c r="AS89" s="213"/>
      <c r="AT89" s="213"/>
      <c r="AU89" s="213"/>
      <c r="AV89" s="213"/>
      <c r="AW89" s="213"/>
      <c r="AX89" s="213"/>
      <c r="AY89" s="215" t="str">
        <f aca="false">IF(M89="","",IF(AND(AA89="",OR(Y89&lt;&gt;"",Z89&lt;&gt;"")),"Donnee manquante",IF(AD89&lt;0.8,"Cible non atteinte",IF(AD89&lt;1,"A surveiller","OK"))))</f>
        <v/>
      </c>
      <c r="AZ89" s="213"/>
    </row>
    <row r="90" customFormat="false" ht="15" hidden="false" customHeight="true" outlineLevel="0" collapsed="false">
      <c r="A90" s="212" t="str">
        <f aca="false">IF(M90="","","IND"&amp;TEXT(ROW()-54,"00000"))</f>
        <v/>
      </c>
      <c r="B90" s="213"/>
      <c r="C90" s="214" t="str">
        <f aca="false">IF(B90="","",IFERROR(INDEX(tbl_Projets[Titre complet du projet],MATCH(B90,tbl_Projets[ID Projet],0)),""))</f>
        <v/>
      </c>
      <c r="D90" s="212" t="str">
        <f aca="false">IF(B90="","",IFERROR(INDEX(tbl_Projets[Domaine d''intervention],MATCH(B90,tbl_Projets[ID Projet],0)),""))</f>
        <v/>
      </c>
      <c r="E90" s="212" t="str">
        <f aca="false">IF(B90="","",IFERROR(INDEX(tbl_Projets[Statut du projet],MATCH(B90,tbl_Projets[ID Projet],0)),""))</f>
        <v/>
      </c>
      <c r="F90" s="213"/>
      <c r="G90" s="214" t="str">
        <f aca="false">IF(F90="","",IFERROR(INDEX(tbl_Activites[Intitule de l''activite],MATCH(F90,tbl_Activites[ID Activite],0)),""))</f>
        <v/>
      </c>
      <c r="H90" s="212" t="str">
        <f aca="false">IF(F90="","",IFERROR(INDEX(tbl_Activites[Statut de l''activite],MATCH(F90,tbl_Activites[ID Activite],0)),""))</f>
        <v/>
      </c>
      <c r="I90" s="213"/>
      <c r="J90" s="214" t="str">
        <f aca="false">IF(B90="","",IFERROR(INDEX(tbl_Projets[Objectif general],MATCH(B90,tbl_Projets[ID Projet],0)),""))</f>
        <v/>
      </c>
      <c r="K90" s="213"/>
      <c r="L90" s="213"/>
      <c r="M90" s="213"/>
      <c r="N90" s="213"/>
      <c r="O90" s="213"/>
      <c r="P90" s="213"/>
      <c r="Q90" s="213"/>
      <c r="R90" s="213"/>
      <c r="S90" s="213"/>
      <c r="T90" s="212" t="str">
        <f aca="false">IF(S90="","",IFERROR(INDEX(tbl_RH[Nom complet],MATCH(S90,tbl_RH[ID RH],0)),""))</f>
        <v/>
      </c>
      <c r="U90" s="212" t="str">
        <f aca="false">IF(S90="","",IFERROR(INDEX(tbl_RH[Fonction],MATCH(S90,tbl_RH[ID RH],0)),""))</f>
        <v/>
      </c>
      <c r="V90" s="213"/>
      <c r="W90" s="213"/>
      <c r="X90" s="213"/>
      <c r="Y90" s="213"/>
      <c r="Z90" s="213"/>
      <c r="AA90" s="213"/>
      <c r="AB90" s="213"/>
      <c r="AC90" s="215" t="str">
        <f aca="false">IF(AB90="","",INDEX(PARAMETRES!$C$53:$C$64,MONTH(AB90))&amp;" "&amp;YEAR(AB90))</f>
        <v/>
      </c>
      <c r="AD90" s="216" t="str">
        <f aca="false">IF(OR(M90="",AA90=""),"",IF(AND(Z90&lt;&gt;"",Z90&lt;&gt;0),IFERROR(AA90/Z90,""),IF(AND(Y90&lt;&gt;"",Y90&lt;&gt;0),IFERROR(AA90/Y90,""),"")))</f>
        <v/>
      </c>
      <c r="AE90" s="215" t="str">
        <f aca="false">IF(AD90="","",IF(AND(Z90&lt;&gt;"",Z90&lt;&gt;0),AA90-Z90,IF(AND(Y90&lt;&gt;"",Y90&lt;&gt;0),AA90-Y90,"")))</f>
        <v/>
      </c>
      <c r="AF90" s="216" t="str">
        <f aca="false">IF(AD90="","",AD90-1)</f>
        <v/>
      </c>
      <c r="AG90" s="215" t="str">
        <f aca="false">IF(AD90="","",IF(AD90&gt;=1,"Excellent",IF(AD90&gt;=0.9,"Bon",IF(AD90&gt;=0.7,"Moyen",IF(AD90&gt;=0.5,"Faible","Critique")))))</f>
        <v/>
      </c>
      <c r="AH90" s="215" t="str">
        <f aca="false">IF(AD90="","",IF(AD90&gt;=1,"OK - Cible atteinte",IF(AD90&gt;=0.8,"Attention","Insuffisant")))</f>
        <v/>
      </c>
      <c r="AI90" s="213"/>
      <c r="AJ90" s="213"/>
      <c r="AK90" s="213"/>
      <c r="AL90" s="213"/>
      <c r="AM90" s="213"/>
      <c r="AN90" s="216" t="str">
        <f aca="false">IF(AI90="","",IF(AI90=0,"",IFERROR(AJ90/AI90,"")))</f>
        <v/>
      </c>
      <c r="AO90" s="213"/>
      <c r="AP90" s="212" t="str">
        <f aca="false">IF(AO90="","",IFERROR(INDEX(PARAMETRES!$D$536:$D$586,MATCH(AO90,PARAMETRES!$J$536:$J$586,0)),""))</f>
        <v/>
      </c>
      <c r="AQ90" s="212" t="str">
        <f aca="false">IF(AO90="","",IFERROR(INDEX(PARAMETRES!$F$536:$F$586,MATCH(AO90,PARAMETRES!$J$536:$J$586,0)),""))</f>
        <v/>
      </c>
      <c r="AR90" s="213"/>
      <c r="AS90" s="213"/>
      <c r="AT90" s="213"/>
      <c r="AU90" s="213"/>
      <c r="AV90" s="213"/>
      <c r="AW90" s="213"/>
      <c r="AX90" s="213"/>
      <c r="AY90" s="215" t="str">
        <f aca="false">IF(M90="","",IF(AND(AA90="",OR(Y90&lt;&gt;"",Z90&lt;&gt;"")),"Donnee manquante",IF(AD90&lt;0.8,"Cible non atteinte",IF(AD90&lt;1,"A surveiller","OK"))))</f>
        <v/>
      </c>
      <c r="AZ90" s="213"/>
    </row>
    <row r="91" customFormat="false" ht="15" hidden="false" customHeight="true" outlineLevel="0" collapsed="false">
      <c r="A91" s="212" t="str">
        <f aca="false">IF(M91="","","IND"&amp;TEXT(ROW()-54,"00000"))</f>
        <v/>
      </c>
      <c r="B91" s="213"/>
      <c r="C91" s="214" t="str">
        <f aca="false">IF(B91="","",IFERROR(INDEX(tbl_Projets[Titre complet du projet],MATCH(B91,tbl_Projets[ID Projet],0)),""))</f>
        <v/>
      </c>
      <c r="D91" s="212" t="str">
        <f aca="false">IF(B91="","",IFERROR(INDEX(tbl_Projets[Domaine d''intervention],MATCH(B91,tbl_Projets[ID Projet],0)),""))</f>
        <v/>
      </c>
      <c r="E91" s="212" t="str">
        <f aca="false">IF(B91="","",IFERROR(INDEX(tbl_Projets[Statut du projet],MATCH(B91,tbl_Projets[ID Projet],0)),""))</f>
        <v/>
      </c>
      <c r="F91" s="213"/>
      <c r="G91" s="214" t="str">
        <f aca="false">IF(F91="","",IFERROR(INDEX(tbl_Activites[Intitule de l''activite],MATCH(F91,tbl_Activites[ID Activite],0)),""))</f>
        <v/>
      </c>
      <c r="H91" s="212" t="str">
        <f aca="false">IF(F91="","",IFERROR(INDEX(tbl_Activites[Statut de l''activite],MATCH(F91,tbl_Activites[ID Activite],0)),""))</f>
        <v/>
      </c>
      <c r="I91" s="213"/>
      <c r="J91" s="214" t="str">
        <f aca="false">IF(B91="","",IFERROR(INDEX(tbl_Projets[Objectif general],MATCH(B91,tbl_Projets[ID Projet],0)),""))</f>
        <v/>
      </c>
      <c r="K91" s="213"/>
      <c r="L91" s="213"/>
      <c r="M91" s="213"/>
      <c r="N91" s="213"/>
      <c r="O91" s="213"/>
      <c r="P91" s="213"/>
      <c r="Q91" s="213"/>
      <c r="R91" s="213"/>
      <c r="S91" s="213"/>
      <c r="T91" s="212" t="str">
        <f aca="false">IF(S91="","",IFERROR(INDEX(tbl_RH[Nom complet],MATCH(S91,tbl_RH[ID RH],0)),""))</f>
        <v/>
      </c>
      <c r="U91" s="212" t="str">
        <f aca="false">IF(S91="","",IFERROR(INDEX(tbl_RH[Fonction],MATCH(S91,tbl_RH[ID RH],0)),""))</f>
        <v/>
      </c>
      <c r="V91" s="213"/>
      <c r="W91" s="213"/>
      <c r="X91" s="213"/>
      <c r="Y91" s="213"/>
      <c r="Z91" s="213"/>
      <c r="AA91" s="213"/>
      <c r="AB91" s="213"/>
      <c r="AC91" s="215" t="str">
        <f aca="false">IF(AB91="","",INDEX(PARAMETRES!$C$53:$C$64,MONTH(AB91))&amp;" "&amp;YEAR(AB91))</f>
        <v/>
      </c>
      <c r="AD91" s="216" t="str">
        <f aca="false">IF(OR(M91="",AA91=""),"",IF(AND(Z91&lt;&gt;"",Z91&lt;&gt;0),IFERROR(AA91/Z91,""),IF(AND(Y91&lt;&gt;"",Y91&lt;&gt;0),IFERROR(AA91/Y91,""),"")))</f>
        <v/>
      </c>
      <c r="AE91" s="215" t="str">
        <f aca="false">IF(AD91="","",IF(AND(Z91&lt;&gt;"",Z91&lt;&gt;0),AA91-Z91,IF(AND(Y91&lt;&gt;"",Y91&lt;&gt;0),AA91-Y91,"")))</f>
        <v/>
      </c>
      <c r="AF91" s="216" t="str">
        <f aca="false">IF(AD91="","",AD91-1)</f>
        <v/>
      </c>
      <c r="AG91" s="215" t="str">
        <f aca="false">IF(AD91="","",IF(AD91&gt;=1,"Excellent",IF(AD91&gt;=0.9,"Bon",IF(AD91&gt;=0.7,"Moyen",IF(AD91&gt;=0.5,"Faible","Critique")))))</f>
        <v/>
      </c>
      <c r="AH91" s="215" t="str">
        <f aca="false">IF(AD91="","",IF(AD91&gt;=1,"OK - Cible atteinte",IF(AD91&gt;=0.8,"Attention","Insuffisant")))</f>
        <v/>
      </c>
      <c r="AI91" s="213"/>
      <c r="AJ91" s="213"/>
      <c r="AK91" s="213"/>
      <c r="AL91" s="213"/>
      <c r="AM91" s="213"/>
      <c r="AN91" s="216" t="str">
        <f aca="false">IF(AI91="","",IF(AI91=0,"",IFERROR(AJ91/AI91,"")))</f>
        <v/>
      </c>
      <c r="AO91" s="213"/>
      <c r="AP91" s="212" t="str">
        <f aca="false">IF(AO91="","",IFERROR(INDEX(PARAMETRES!$D$536:$D$586,MATCH(AO91,PARAMETRES!$J$536:$J$586,0)),""))</f>
        <v/>
      </c>
      <c r="AQ91" s="212" t="str">
        <f aca="false">IF(AO91="","",IFERROR(INDEX(PARAMETRES!$F$536:$F$586,MATCH(AO91,PARAMETRES!$J$536:$J$586,0)),""))</f>
        <v/>
      </c>
      <c r="AR91" s="213"/>
      <c r="AS91" s="213"/>
      <c r="AT91" s="213"/>
      <c r="AU91" s="213"/>
      <c r="AV91" s="213"/>
      <c r="AW91" s="213"/>
      <c r="AX91" s="213"/>
      <c r="AY91" s="215" t="str">
        <f aca="false">IF(M91="","",IF(AND(AA91="",OR(Y91&lt;&gt;"",Z91&lt;&gt;"")),"Donnee manquante",IF(AD91&lt;0.8,"Cible non atteinte",IF(AD91&lt;1,"A surveiller","OK"))))</f>
        <v/>
      </c>
      <c r="AZ91" s="213"/>
    </row>
    <row r="92" customFormat="false" ht="15" hidden="false" customHeight="true" outlineLevel="0" collapsed="false">
      <c r="A92" s="212" t="str">
        <f aca="false">IF(M92="","","IND"&amp;TEXT(ROW()-54,"00000"))</f>
        <v/>
      </c>
      <c r="B92" s="213"/>
      <c r="C92" s="214" t="str">
        <f aca="false">IF(B92="","",IFERROR(INDEX(tbl_Projets[Titre complet du projet],MATCH(B92,tbl_Projets[ID Projet],0)),""))</f>
        <v/>
      </c>
      <c r="D92" s="212" t="str">
        <f aca="false">IF(B92="","",IFERROR(INDEX(tbl_Projets[Domaine d''intervention],MATCH(B92,tbl_Projets[ID Projet],0)),""))</f>
        <v/>
      </c>
      <c r="E92" s="212" t="str">
        <f aca="false">IF(B92="","",IFERROR(INDEX(tbl_Projets[Statut du projet],MATCH(B92,tbl_Projets[ID Projet],0)),""))</f>
        <v/>
      </c>
      <c r="F92" s="213"/>
      <c r="G92" s="214" t="str">
        <f aca="false">IF(F92="","",IFERROR(INDEX(tbl_Activites[Intitule de l''activite],MATCH(F92,tbl_Activites[ID Activite],0)),""))</f>
        <v/>
      </c>
      <c r="H92" s="212" t="str">
        <f aca="false">IF(F92="","",IFERROR(INDEX(tbl_Activites[Statut de l''activite],MATCH(F92,tbl_Activites[ID Activite],0)),""))</f>
        <v/>
      </c>
      <c r="I92" s="213"/>
      <c r="J92" s="214" t="str">
        <f aca="false">IF(B92="","",IFERROR(INDEX(tbl_Projets[Objectif general],MATCH(B92,tbl_Projets[ID Projet],0)),""))</f>
        <v/>
      </c>
      <c r="K92" s="213"/>
      <c r="L92" s="213"/>
      <c r="M92" s="213"/>
      <c r="N92" s="213"/>
      <c r="O92" s="213"/>
      <c r="P92" s="213"/>
      <c r="Q92" s="213"/>
      <c r="R92" s="213"/>
      <c r="S92" s="213"/>
      <c r="T92" s="212" t="str">
        <f aca="false">IF(S92="","",IFERROR(INDEX(tbl_RH[Nom complet],MATCH(S92,tbl_RH[ID RH],0)),""))</f>
        <v/>
      </c>
      <c r="U92" s="212" t="str">
        <f aca="false">IF(S92="","",IFERROR(INDEX(tbl_RH[Fonction],MATCH(S92,tbl_RH[ID RH],0)),""))</f>
        <v/>
      </c>
      <c r="V92" s="213"/>
      <c r="W92" s="213"/>
      <c r="X92" s="213"/>
      <c r="Y92" s="213"/>
      <c r="Z92" s="213"/>
      <c r="AA92" s="213"/>
      <c r="AB92" s="213"/>
      <c r="AC92" s="215" t="str">
        <f aca="false">IF(AB92="","",INDEX(PARAMETRES!$C$53:$C$64,MONTH(AB92))&amp;" "&amp;YEAR(AB92))</f>
        <v/>
      </c>
      <c r="AD92" s="216" t="str">
        <f aca="false">IF(OR(M92="",AA92=""),"",IF(AND(Z92&lt;&gt;"",Z92&lt;&gt;0),IFERROR(AA92/Z92,""),IF(AND(Y92&lt;&gt;"",Y92&lt;&gt;0),IFERROR(AA92/Y92,""),"")))</f>
        <v/>
      </c>
      <c r="AE92" s="215" t="str">
        <f aca="false">IF(AD92="","",IF(AND(Z92&lt;&gt;"",Z92&lt;&gt;0),AA92-Z92,IF(AND(Y92&lt;&gt;"",Y92&lt;&gt;0),AA92-Y92,"")))</f>
        <v/>
      </c>
      <c r="AF92" s="216" t="str">
        <f aca="false">IF(AD92="","",AD92-1)</f>
        <v/>
      </c>
      <c r="AG92" s="215" t="str">
        <f aca="false">IF(AD92="","",IF(AD92&gt;=1,"Excellent",IF(AD92&gt;=0.9,"Bon",IF(AD92&gt;=0.7,"Moyen",IF(AD92&gt;=0.5,"Faible","Critique")))))</f>
        <v/>
      </c>
      <c r="AH92" s="215" t="str">
        <f aca="false">IF(AD92="","",IF(AD92&gt;=1,"OK - Cible atteinte",IF(AD92&gt;=0.8,"Attention","Insuffisant")))</f>
        <v/>
      </c>
      <c r="AI92" s="213"/>
      <c r="AJ92" s="213"/>
      <c r="AK92" s="213"/>
      <c r="AL92" s="213"/>
      <c r="AM92" s="213"/>
      <c r="AN92" s="216" t="str">
        <f aca="false">IF(AI92="","",IF(AI92=0,"",IFERROR(AJ92/AI92,"")))</f>
        <v/>
      </c>
      <c r="AO92" s="213"/>
      <c r="AP92" s="212" t="str">
        <f aca="false">IF(AO92="","",IFERROR(INDEX(PARAMETRES!$D$536:$D$586,MATCH(AO92,PARAMETRES!$J$536:$J$586,0)),""))</f>
        <v/>
      </c>
      <c r="AQ92" s="212" t="str">
        <f aca="false">IF(AO92="","",IFERROR(INDEX(PARAMETRES!$F$536:$F$586,MATCH(AO92,PARAMETRES!$J$536:$J$586,0)),""))</f>
        <v/>
      </c>
      <c r="AR92" s="213"/>
      <c r="AS92" s="213"/>
      <c r="AT92" s="213"/>
      <c r="AU92" s="213"/>
      <c r="AV92" s="213"/>
      <c r="AW92" s="213"/>
      <c r="AX92" s="213"/>
      <c r="AY92" s="215" t="str">
        <f aca="false">IF(M92="","",IF(AND(AA92="",OR(Y92&lt;&gt;"",Z92&lt;&gt;"")),"Donnee manquante",IF(AD92&lt;0.8,"Cible non atteinte",IF(AD92&lt;1,"A surveiller","OK"))))</f>
        <v/>
      </c>
      <c r="AZ92" s="213"/>
    </row>
    <row r="93" customFormat="false" ht="15" hidden="false" customHeight="true" outlineLevel="0" collapsed="false">
      <c r="A93" s="212" t="str">
        <f aca="false">IF(M93="","","IND"&amp;TEXT(ROW()-54,"00000"))</f>
        <v/>
      </c>
      <c r="B93" s="213"/>
      <c r="C93" s="214" t="str">
        <f aca="false">IF(B93="","",IFERROR(INDEX(tbl_Projets[Titre complet du projet],MATCH(B93,tbl_Projets[ID Projet],0)),""))</f>
        <v/>
      </c>
      <c r="D93" s="212" t="str">
        <f aca="false">IF(B93="","",IFERROR(INDEX(tbl_Projets[Domaine d''intervention],MATCH(B93,tbl_Projets[ID Projet],0)),""))</f>
        <v/>
      </c>
      <c r="E93" s="212" t="str">
        <f aca="false">IF(B93="","",IFERROR(INDEX(tbl_Projets[Statut du projet],MATCH(B93,tbl_Projets[ID Projet],0)),""))</f>
        <v/>
      </c>
      <c r="F93" s="213"/>
      <c r="G93" s="214" t="str">
        <f aca="false">IF(F93="","",IFERROR(INDEX(tbl_Activites[Intitule de l''activite],MATCH(F93,tbl_Activites[ID Activite],0)),""))</f>
        <v/>
      </c>
      <c r="H93" s="212" t="str">
        <f aca="false">IF(F93="","",IFERROR(INDEX(tbl_Activites[Statut de l''activite],MATCH(F93,tbl_Activites[ID Activite],0)),""))</f>
        <v/>
      </c>
      <c r="I93" s="213"/>
      <c r="J93" s="214" t="str">
        <f aca="false">IF(B93="","",IFERROR(INDEX(tbl_Projets[Objectif general],MATCH(B93,tbl_Projets[ID Projet],0)),""))</f>
        <v/>
      </c>
      <c r="K93" s="213"/>
      <c r="L93" s="213"/>
      <c r="M93" s="213"/>
      <c r="N93" s="213"/>
      <c r="O93" s="213"/>
      <c r="P93" s="213"/>
      <c r="Q93" s="213"/>
      <c r="R93" s="213"/>
      <c r="S93" s="213"/>
      <c r="T93" s="212" t="str">
        <f aca="false">IF(S93="","",IFERROR(INDEX(tbl_RH[Nom complet],MATCH(S93,tbl_RH[ID RH],0)),""))</f>
        <v/>
      </c>
      <c r="U93" s="212" t="str">
        <f aca="false">IF(S93="","",IFERROR(INDEX(tbl_RH[Fonction],MATCH(S93,tbl_RH[ID RH],0)),""))</f>
        <v/>
      </c>
      <c r="V93" s="213"/>
      <c r="W93" s="213"/>
      <c r="X93" s="213"/>
      <c r="Y93" s="213"/>
      <c r="Z93" s="213"/>
      <c r="AA93" s="213"/>
      <c r="AB93" s="213"/>
      <c r="AC93" s="215" t="str">
        <f aca="false">IF(AB93="","",INDEX(PARAMETRES!$C$53:$C$64,MONTH(AB93))&amp;" "&amp;YEAR(AB93))</f>
        <v/>
      </c>
      <c r="AD93" s="216" t="str">
        <f aca="false">IF(OR(M93="",AA93=""),"",IF(AND(Z93&lt;&gt;"",Z93&lt;&gt;0),IFERROR(AA93/Z93,""),IF(AND(Y93&lt;&gt;"",Y93&lt;&gt;0),IFERROR(AA93/Y93,""),"")))</f>
        <v/>
      </c>
      <c r="AE93" s="215" t="str">
        <f aca="false">IF(AD93="","",IF(AND(Z93&lt;&gt;"",Z93&lt;&gt;0),AA93-Z93,IF(AND(Y93&lt;&gt;"",Y93&lt;&gt;0),AA93-Y93,"")))</f>
        <v/>
      </c>
      <c r="AF93" s="216" t="str">
        <f aca="false">IF(AD93="","",AD93-1)</f>
        <v/>
      </c>
      <c r="AG93" s="215" t="str">
        <f aca="false">IF(AD93="","",IF(AD93&gt;=1,"Excellent",IF(AD93&gt;=0.9,"Bon",IF(AD93&gt;=0.7,"Moyen",IF(AD93&gt;=0.5,"Faible","Critique")))))</f>
        <v/>
      </c>
      <c r="AH93" s="215" t="str">
        <f aca="false">IF(AD93="","",IF(AD93&gt;=1,"OK - Cible atteinte",IF(AD93&gt;=0.8,"Attention","Insuffisant")))</f>
        <v/>
      </c>
      <c r="AI93" s="213"/>
      <c r="AJ93" s="213"/>
      <c r="AK93" s="213"/>
      <c r="AL93" s="213"/>
      <c r="AM93" s="213"/>
      <c r="AN93" s="216" t="str">
        <f aca="false">IF(AI93="","",IF(AI93=0,"",IFERROR(AJ93/AI93,"")))</f>
        <v/>
      </c>
      <c r="AO93" s="213"/>
      <c r="AP93" s="212" t="str">
        <f aca="false">IF(AO93="","",IFERROR(INDEX(PARAMETRES!$D$536:$D$586,MATCH(AO93,PARAMETRES!$J$536:$J$586,0)),""))</f>
        <v/>
      </c>
      <c r="AQ93" s="212" t="str">
        <f aca="false">IF(AO93="","",IFERROR(INDEX(PARAMETRES!$F$536:$F$586,MATCH(AO93,PARAMETRES!$J$536:$J$586,0)),""))</f>
        <v/>
      </c>
      <c r="AR93" s="213"/>
      <c r="AS93" s="213"/>
      <c r="AT93" s="213"/>
      <c r="AU93" s="213"/>
      <c r="AV93" s="213"/>
      <c r="AW93" s="213"/>
      <c r="AX93" s="213"/>
      <c r="AY93" s="215" t="str">
        <f aca="false">IF(M93="","",IF(AND(AA93="",OR(Y93&lt;&gt;"",Z93&lt;&gt;"")),"Donnee manquante",IF(AD93&lt;0.8,"Cible non atteinte",IF(AD93&lt;1,"A surveiller","OK"))))</f>
        <v/>
      </c>
      <c r="AZ93" s="213"/>
    </row>
    <row r="94" customFormat="false" ht="15" hidden="false" customHeight="true" outlineLevel="0" collapsed="false">
      <c r="A94" s="212" t="str">
        <f aca="false">IF(M94="","","IND"&amp;TEXT(ROW()-54,"00000"))</f>
        <v/>
      </c>
      <c r="B94" s="213"/>
      <c r="C94" s="214" t="str">
        <f aca="false">IF(B94="","",IFERROR(INDEX(tbl_Projets[Titre complet du projet],MATCH(B94,tbl_Projets[ID Projet],0)),""))</f>
        <v/>
      </c>
      <c r="D94" s="212" t="str">
        <f aca="false">IF(B94="","",IFERROR(INDEX(tbl_Projets[Domaine d''intervention],MATCH(B94,tbl_Projets[ID Projet],0)),""))</f>
        <v/>
      </c>
      <c r="E94" s="212" t="str">
        <f aca="false">IF(B94="","",IFERROR(INDEX(tbl_Projets[Statut du projet],MATCH(B94,tbl_Projets[ID Projet],0)),""))</f>
        <v/>
      </c>
      <c r="F94" s="213"/>
      <c r="G94" s="214" t="str">
        <f aca="false">IF(F94="","",IFERROR(INDEX(tbl_Activites[Intitule de l''activite],MATCH(F94,tbl_Activites[ID Activite],0)),""))</f>
        <v/>
      </c>
      <c r="H94" s="212" t="str">
        <f aca="false">IF(F94="","",IFERROR(INDEX(tbl_Activites[Statut de l''activite],MATCH(F94,tbl_Activites[ID Activite],0)),""))</f>
        <v/>
      </c>
      <c r="I94" s="213"/>
      <c r="J94" s="214" t="str">
        <f aca="false">IF(B94="","",IFERROR(INDEX(tbl_Projets[Objectif general],MATCH(B94,tbl_Projets[ID Projet],0)),""))</f>
        <v/>
      </c>
      <c r="K94" s="213"/>
      <c r="L94" s="213"/>
      <c r="M94" s="213"/>
      <c r="N94" s="213"/>
      <c r="O94" s="213"/>
      <c r="P94" s="213"/>
      <c r="Q94" s="213"/>
      <c r="R94" s="213"/>
      <c r="S94" s="213"/>
      <c r="T94" s="212" t="str">
        <f aca="false">IF(S94="","",IFERROR(INDEX(tbl_RH[Nom complet],MATCH(S94,tbl_RH[ID RH],0)),""))</f>
        <v/>
      </c>
      <c r="U94" s="212" t="str">
        <f aca="false">IF(S94="","",IFERROR(INDEX(tbl_RH[Fonction],MATCH(S94,tbl_RH[ID RH],0)),""))</f>
        <v/>
      </c>
      <c r="V94" s="213"/>
      <c r="W94" s="213"/>
      <c r="X94" s="213"/>
      <c r="Y94" s="213"/>
      <c r="Z94" s="213"/>
      <c r="AA94" s="213"/>
      <c r="AB94" s="213"/>
      <c r="AC94" s="215" t="str">
        <f aca="false">IF(AB94="","",INDEX(PARAMETRES!$C$53:$C$64,MONTH(AB94))&amp;" "&amp;YEAR(AB94))</f>
        <v/>
      </c>
      <c r="AD94" s="216" t="str">
        <f aca="false">IF(OR(M94="",AA94=""),"",IF(AND(Z94&lt;&gt;"",Z94&lt;&gt;0),IFERROR(AA94/Z94,""),IF(AND(Y94&lt;&gt;"",Y94&lt;&gt;0),IFERROR(AA94/Y94,""),"")))</f>
        <v/>
      </c>
      <c r="AE94" s="215" t="str">
        <f aca="false">IF(AD94="","",IF(AND(Z94&lt;&gt;"",Z94&lt;&gt;0),AA94-Z94,IF(AND(Y94&lt;&gt;"",Y94&lt;&gt;0),AA94-Y94,"")))</f>
        <v/>
      </c>
      <c r="AF94" s="216" t="str">
        <f aca="false">IF(AD94="","",AD94-1)</f>
        <v/>
      </c>
      <c r="AG94" s="215" t="str">
        <f aca="false">IF(AD94="","",IF(AD94&gt;=1,"Excellent",IF(AD94&gt;=0.9,"Bon",IF(AD94&gt;=0.7,"Moyen",IF(AD94&gt;=0.5,"Faible","Critique")))))</f>
        <v/>
      </c>
      <c r="AH94" s="215" t="str">
        <f aca="false">IF(AD94="","",IF(AD94&gt;=1,"OK - Cible atteinte",IF(AD94&gt;=0.8,"Attention","Insuffisant")))</f>
        <v/>
      </c>
      <c r="AI94" s="213"/>
      <c r="AJ94" s="213"/>
      <c r="AK94" s="213"/>
      <c r="AL94" s="213"/>
      <c r="AM94" s="213"/>
      <c r="AN94" s="216" t="str">
        <f aca="false">IF(AI94="","",IF(AI94=0,"",IFERROR(AJ94/AI94,"")))</f>
        <v/>
      </c>
      <c r="AO94" s="213"/>
      <c r="AP94" s="212" t="str">
        <f aca="false">IF(AO94="","",IFERROR(INDEX(PARAMETRES!$D$536:$D$586,MATCH(AO94,PARAMETRES!$J$536:$J$586,0)),""))</f>
        <v/>
      </c>
      <c r="AQ94" s="212" t="str">
        <f aca="false">IF(AO94="","",IFERROR(INDEX(PARAMETRES!$F$536:$F$586,MATCH(AO94,PARAMETRES!$J$536:$J$586,0)),""))</f>
        <v/>
      </c>
      <c r="AR94" s="213"/>
      <c r="AS94" s="213"/>
      <c r="AT94" s="213"/>
      <c r="AU94" s="213"/>
      <c r="AV94" s="213"/>
      <c r="AW94" s="213"/>
      <c r="AX94" s="213"/>
      <c r="AY94" s="215" t="str">
        <f aca="false">IF(M94="","",IF(AND(AA94="",OR(Y94&lt;&gt;"",Z94&lt;&gt;"")),"Donnee manquante",IF(AD94&lt;0.8,"Cible non atteinte",IF(AD94&lt;1,"A surveiller","OK"))))</f>
        <v/>
      </c>
      <c r="AZ94" s="213"/>
    </row>
    <row r="95" customFormat="false" ht="15" hidden="false" customHeight="true" outlineLevel="0" collapsed="false">
      <c r="A95" s="212" t="str">
        <f aca="false">IF(M95="","","IND"&amp;TEXT(ROW()-54,"00000"))</f>
        <v/>
      </c>
      <c r="B95" s="213"/>
      <c r="C95" s="214" t="str">
        <f aca="false">IF(B95="","",IFERROR(INDEX(tbl_Projets[Titre complet du projet],MATCH(B95,tbl_Projets[ID Projet],0)),""))</f>
        <v/>
      </c>
      <c r="D95" s="212" t="str">
        <f aca="false">IF(B95="","",IFERROR(INDEX(tbl_Projets[Domaine d''intervention],MATCH(B95,tbl_Projets[ID Projet],0)),""))</f>
        <v/>
      </c>
      <c r="E95" s="212" t="str">
        <f aca="false">IF(B95="","",IFERROR(INDEX(tbl_Projets[Statut du projet],MATCH(B95,tbl_Projets[ID Projet],0)),""))</f>
        <v/>
      </c>
      <c r="F95" s="213"/>
      <c r="G95" s="214" t="str">
        <f aca="false">IF(F95="","",IFERROR(INDEX(tbl_Activites[Intitule de l''activite],MATCH(F95,tbl_Activites[ID Activite],0)),""))</f>
        <v/>
      </c>
      <c r="H95" s="212" t="str">
        <f aca="false">IF(F95="","",IFERROR(INDEX(tbl_Activites[Statut de l''activite],MATCH(F95,tbl_Activites[ID Activite],0)),""))</f>
        <v/>
      </c>
      <c r="I95" s="213"/>
      <c r="J95" s="214" t="str">
        <f aca="false">IF(B95="","",IFERROR(INDEX(tbl_Projets[Objectif general],MATCH(B95,tbl_Projets[ID Projet],0)),""))</f>
        <v/>
      </c>
      <c r="K95" s="213"/>
      <c r="L95" s="213"/>
      <c r="M95" s="213"/>
      <c r="N95" s="213"/>
      <c r="O95" s="213"/>
      <c r="P95" s="213"/>
      <c r="Q95" s="213"/>
      <c r="R95" s="213"/>
      <c r="S95" s="213"/>
      <c r="T95" s="212" t="str">
        <f aca="false">IF(S95="","",IFERROR(INDEX(tbl_RH[Nom complet],MATCH(S95,tbl_RH[ID RH],0)),""))</f>
        <v/>
      </c>
      <c r="U95" s="212" t="str">
        <f aca="false">IF(S95="","",IFERROR(INDEX(tbl_RH[Fonction],MATCH(S95,tbl_RH[ID RH],0)),""))</f>
        <v/>
      </c>
      <c r="V95" s="213"/>
      <c r="W95" s="213"/>
      <c r="X95" s="213"/>
      <c r="Y95" s="213"/>
      <c r="Z95" s="213"/>
      <c r="AA95" s="213"/>
      <c r="AB95" s="213"/>
      <c r="AC95" s="215" t="str">
        <f aca="false">IF(AB95="","",INDEX(PARAMETRES!$C$53:$C$64,MONTH(AB95))&amp;" "&amp;YEAR(AB95))</f>
        <v/>
      </c>
      <c r="AD95" s="216" t="str">
        <f aca="false">IF(OR(M95="",AA95=""),"",IF(AND(Z95&lt;&gt;"",Z95&lt;&gt;0),IFERROR(AA95/Z95,""),IF(AND(Y95&lt;&gt;"",Y95&lt;&gt;0),IFERROR(AA95/Y95,""),"")))</f>
        <v/>
      </c>
      <c r="AE95" s="215" t="str">
        <f aca="false">IF(AD95="","",IF(AND(Z95&lt;&gt;"",Z95&lt;&gt;0),AA95-Z95,IF(AND(Y95&lt;&gt;"",Y95&lt;&gt;0),AA95-Y95,"")))</f>
        <v/>
      </c>
      <c r="AF95" s="216" t="str">
        <f aca="false">IF(AD95="","",AD95-1)</f>
        <v/>
      </c>
      <c r="AG95" s="215" t="str">
        <f aca="false">IF(AD95="","",IF(AD95&gt;=1,"Excellent",IF(AD95&gt;=0.9,"Bon",IF(AD95&gt;=0.7,"Moyen",IF(AD95&gt;=0.5,"Faible","Critique")))))</f>
        <v/>
      </c>
      <c r="AH95" s="215" t="str">
        <f aca="false">IF(AD95="","",IF(AD95&gt;=1,"OK - Cible atteinte",IF(AD95&gt;=0.8,"Attention","Insuffisant")))</f>
        <v/>
      </c>
      <c r="AI95" s="213"/>
      <c r="AJ95" s="213"/>
      <c r="AK95" s="213"/>
      <c r="AL95" s="213"/>
      <c r="AM95" s="213"/>
      <c r="AN95" s="216" t="str">
        <f aca="false">IF(AI95="","",IF(AI95=0,"",IFERROR(AJ95/AI95,"")))</f>
        <v/>
      </c>
      <c r="AO95" s="213"/>
      <c r="AP95" s="212" t="str">
        <f aca="false">IF(AO95="","",IFERROR(INDEX(PARAMETRES!$D$536:$D$586,MATCH(AO95,PARAMETRES!$J$536:$J$586,0)),""))</f>
        <v/>
      </c>
      <c r="AQ95" s="212" t="str">
        <f aca="false">IF(AO95="","",IFERROR(INDEX(PARAMETRES!$F$536:$F$586,MATCH(AO95,PARAMETRES!$J$536:$J$586,0)),""))</f>
        <v/>
      </c>
      <c r="AR95" s="213"/>
      <c r="AS95" s="213"/>
      <c r="AT95" s="213"/>
      <c r="AU95" s="213"/>
      <c r="AV95" s="213"/>
      <c r="AW95" s="213"/>
      <c r="AX95" s="213"/>
      <c r="AY95" s="215" t="str">
        <f aca="false">IF(M95="","",IF(AND(AA95="",OR(Y95&lt;&gt;"",Z95&lt;&gt;"")),"Donnee manquante",IF(AD95&lt;0.8,"Cible non atteinte",IF(AD95&lt;1,"A surveiller","OK"))))</f>
        <v/>
      </c>
      <c r="AZ95" s="213"/>
    </row>
    <row r="96" customFormat="false" ht="15" hidden="false" customHeight="true" outlineLevel="0" collapsed="false">
      <c r="A96" s="212" t="str">
        <f aca="false">IF(M96="","","IND"&amp;TEXT(ROW()-54,"00000"))</f>
        <v/>
      </c>
      <c r="B96" s="213"/>
      <c r="C96" s="214" t="str">
        <f aca="false">IF(B96="","",IFERROR(INDEX(tbl_Projets[Titre complet du projet],MATCH(B96,tbl_Projets[ID Projet],0)),""))</f>
        <v/>
      </c>
      <c r="D96" s="212" t="str">
        <f aca="false">IF(B96="","",IFERROR(INDEX(tbl_Projets[Domaine d''intervention],MATCH(B96,tbl_Projets[ID Projet],0)),""))</f>
        <v/>
      </c>
      <c r="E96" s="212" t="str">
        <f aca="false">IF(B96="","",IFERROR(INDEX(tbl_Projets[Statut du projet],MATCH(B96,tbl_Projets[ID Projet],0)),""))</f>
        <v/>
      </c>
      <c r="F96" s="213"/>
      <c r="G96" s="214" t="str">
        <f aca="false">IF(F96="","",IFERROR(INDEX(tbl_Activites[Intitule de l''activite],MATCH(F96,tbl_Activites[ID Activite],0)),""))</f>
        <v/>
      </c>
      <c r="H96" s="212" t="str">
        <f aca="false">IF(F96="","",IFERROR(INDEX(tbl_Activites[Statut de l''activite],MATCH(F96,tbl_Activites[ID Activite],0)),""))</f>
        <v/>
      </c>
      <c r="I96" s="213"/>
      <c r="J96" s="214" t="str">
        <f aca="false">IF(B96="","",IFERROR(INDEX(tbl_Projets[Objectif general],MATCH(B96,tbl_Projets[ID Projet],0)),""))</f>
        <v/>
      </c>
      <c r="K96" s="213"/>
      <c r="L96" s="213"/>
      <c r="M96" s="213"/>
      <c r="N96" s="213"/>
      <c r="O96" s="213"/>
      <c r="P96" s="213"/>
      <c r="Q96" s="213"/>
      <c r="R96" s="213"/>
      <c r="S96" s="213"/>
      <c r="T96" s="212" t="str">
        <f aca="false">IF(S96="","",IFERROR(INDEX(tbl_RH[Nom complet],MATCH(S96,tbl_RH[ID RH],0)),""))</f>
        <v/>
      </c>
      <c r="U96" s="212" t="str">
        <f aca="false">IF(S96="","",IFERROR(INDEX(tbl_RH[Fonction],MATCH(S96,tbl_RH[ID RH],0)),""))</f>
        <v/>
      </c>
      <c r="V96" s="213"/>
      <c r="W96" s="213"/>
      <c r="X96" s="213"/>
      <c r="Y96" s="213"/>
      <c r="Z96" s="213"/>
      <c r="AA96" s="213"/>
      <c r="AB96" s="213"/>
      <c r="AC96" s="215" t="str">
        <f aca="false">IF(AB96="","",INDEX(PARAMETRES!$C$53:$C$64,MONTH(AB96))&amp;" "&amp;YEAR(AB96))</f>
        <v/>
      </c>
      <c r="AD96" s="216" t="str">
        <f aca="false">IF(OR(M96="",AA96=""),"",IF(AND(Z96&lt;&gt;"",Z96&lt;&gt;0),IFERROR(AA96/Z96,""),IF(AND(Y96&lt;&gt;"",Y96&lt;&gt;0),IFERROR(AA96/Y96,""),"")))</f>
        <v/>
      </c>
      <c r="AE96" s="215" t="str">
        <f aca="false">IF(AD96="","",IF(AND(Z96&lt;&gt;"",Z96&lt;&gt;0),AA96-Z96,IF(AND(Y96&lt;&gt;"",Y96&lt;&gt;0),AA96-Y96,"")))</f>
        <v/>
      </c>
      <c r="AF96" s="216" t="str">
        <f aca="false">IF(AD96="","",AD96-1)</f>
        <v/>
      </c>
      <c r="AG96" s="215" t="str">
        <f aca="false">IF(AD96="","",IF(AD96&gt;=1,"Excellent",IF(AD96&gt;=0.9,"Bon",IF(AD96&gt;=0.7,"Moyen",IF(AD96&gt;=0.5,"Faible","Critique")))))</f>
        <v/>
      </c>
      <c r="AH96" s="215" t="str">
        <f aca="false">IF(AD96="","",IF(AD96&gt;=1,"OK - Cible atteinte",IF(AD96&gt;=0.8,"Attention","Insuffisant")))</f>
        <v/>
      </c>
      <c r="AI96" s="213"/>
      <c r="AJ96" s="213"/>
      <c r="AK96" s="213"/>
      <c r="AL96" s="213"/>
      <c r="AM96" s="213"/>
      <c r="AN96" s="216" t="str">
        <f aca="false">IF(AI96="","",IF(AI96=0,"",IFERROR(AJ96/AI96,"")))</f>
        <v/>
      </c>
      <c r="AO96" s="213"/>
      <c r="AP96" s="212" t="str">
        <f aca="false">IF(AO96="","",IFERROR(INDEX(PARAMETRES!$D$536:$D$586,MATCH(AO96,PARAMETRES!$J$536:$J$586,0)),""))</f>
        <v/>
      </c>
      <c r="AQ96" s="212" t="str">
        <f aca="false">IF(AO96="","",IFERROR(INDEX(PARAMETRES!$F$536:$F$586,MATCH(AO96,PARAMETRES!$J$536:$J$586,0)),""))</f>
        <v/>
      </c>
      <c r="AR96" s="213"/>
      <c r="AS96" s="213"/>
      <c r="AT96" s="213"/>
      <c r="AU96" s="213"/>
      <c r="AV96" s="213"/>
      <c r="AW96" s="213"/>
      <c r="AX96" s="213"/>
      <c r="AY96" s="215" t="str">
        <f aca="false">IF(M96="","",IF(AND(AA96="",OR(Y96&lt;&gt;"",Z96&lt;&gt;"")),"Donnee manquante",IF(AD96&lt;0.8,"Cible non atteinte",IF(AD96&lt;1,"A surveiller","OK"))))</f>
        <v/>
      </c>
      <c r="AZ96" s="213"/>
    </row>
    <row r="97" customFormat="false" ht="15" hidden="false" customHeight="true" outlineLevel="0" collapsed="false">
      <c r="A97" s="212" t="str">
        <f aca="false">IF(M97="","","IND"&amp;TEXT(ROW()-54,"00000"))</f>
        <v/>
      </c>
      <c r="B97" s="213"/>
      <c r="C97" s="214" t="str">
        <f aca="false">IF(B97="","",IFERROR(INDEX(tbl_Projets[Titre complet du projet],MATCH(B97,tbl_Projets[ID Projet],0)),""))</f>
        <v/>
      </c>
      <c r="D97" s="212" t="str">
        <f aca="false">IF(B97="","",IFERROR(INDEX(tbl_Projets[Domaine d''intervention],MATCH(B97,tbl_Projets[ID Projet],0)),""))</f>
        <v/>
      </c>
      <c r="E97" s="212" t="str">
        <f aca="false">IF(B97="","",IFERROR(INDEX(tbl_Projets[Statut du projet],MATCH(B97,tbl_Projets[ID Projet],0)),""))</f>
        <v/>
      </c>
      <c r="F97" s="213"/>
      <c r="G97" s="214" t="str">
        <f aca="false">IF(F97="","",IFERROR(INDEX(tbl_Activites[Intitule de l''activite],MATCH(F97,tbl_Activites[ID Activite],0)),""))</f>
        <v/>
      </c>
      <c r="H97" s="212" t="str">
        <f aca="false">IF(F97="","",IFERROR(INDEX(tbl_Activites[Statut de l''activite],MATCH(F97,tbl_Activites[ID Activite],0)),""))</f>
        <v/>
      </c>
      <c r="I97" s="213"/>
      <c r="J97" s="214" t="str">
        <f aca="false">IF(B97="","",IFERROR(INDEX(tbl_Projets[Objectif general],MATCH(B97,tbl_Projets[ID Projet],0)),""))</f>
        <v/>
      </c>
      <c r="K97" s="213"/>
      <c r="L97" s="213"/>
      <c r="M97" s="213"/>
      <c r="N97" s="213"/>
      <c r="O97" s="213"/>
      <c r="P97" s="213"/>
      <c r="Q97" s="213"/>
      <c r="R97" s="213"/>
      <c r="S97" s="213"/>
      <c r="T97" s="212" t="str">
        <f aca="false">IF(S97="","",IFERROR(INDEX(tbl_RH[Nom complet],MATCH(S97,tbl_RH[ID RH],0)),""))</f>
        <v/>
      </c>
      <c r="U97" s="212" t="str">
        <f aca="false">IF(S97="","",IFERROR(INDEX(tbl_RH[Fonction],MATCH(S97,tbl_RH[ID RH],0)),""))</f>
        <v/>
      </c>
      <c r="V97" s="213"/>
      <c r="W97" s="213"/>
      <c r="X97" s="213"/>
      <c r="Y97" s="213"/>
      <c r="Z97" s="213"/>
      <c r="AA97" s="213"/>
      <c r="AB97" s="213"/>
      <c r="AC97" s="215" t="str">
        <f aca="false">IF(AB97="","",INDEX(PARAMETRES!$C$53:$C$64,MONTH(AB97))&amp;" "&amp;YEAR(AB97))</f>
        <v/>
      </c>
      <c r="AD97" s="216" t="str">
        <f aca="false">IF(OR(M97="",AA97=""),"",IF(AND(Z97&lt;&gt;"",Z97&lt;&gt;0),IFERROR(AA97/Z97,""),IF(AND(Y97&lt;&gt;"",Y97&lt;&gt;0),IFERROR(AA97/Y97,""),"")))</f>
        <v/>
      </c>
      <c r="AE97" s="215" t="str">
        <f aca="false">IF(AD97="","",IF(AND(Z97&lt;&gt;"",Z97&lt;&gt;0),AA97-Z97,IF(AND(Y97&lt;&gt;"",Y97&lt;&gt;0),AA97-Y97,"")))</f>
        <v/>
      </c>
      <c r="AF97" s="216" t="str">
        <f aca="false">IF(AD97="","",AD97-1)</f>
        <v/>
      </c>
      <c r="AG97" s="215" t="str">
        <f aca="false">IF(AD97="","",IF(AD97&gt;=1,"Excellent",IF(AD97&gt;=0.9,"Bon",IF(AD97&gt;=0.7,"Moyen",IF(AD97&gt;=0.5,"Faible","Critique")))))</f>
        <v/>
      </c>
      <c r="AH97" s="215" t="str">
        <f aca="false">IF(AD97="","",IF(AD97&gt;=1,"OK - Cible atteinte",IF(AD97&gt;=0.8,"Attention","Insuffisant")))</f>
        <v/>
      </c>
      <c r="AI97" s="213"/>
      <c r="AJ97" s="213"/>
      <c r="AK97" s="213"/>
      <c r="AL97" s="213"/>
      <c r="AM97" s="213"/>
      <c r="AN97" s="216" t="str">
        <f aca="false">IF(AI97="","",IF(AI97=0,"",IFERROR(AJ97/AI97,"")))</f>
        <v/>
      </c>
      <c r="AO97" s="213"/>
      <c r="AP97" s="212" t="str">
        <f aca="false">IF(AO97="","",IFERROR(INDEX(PARAMETRES!$D$536:$D$586,MATCH(AO97,PARAMETRES!$J$536:$J$586,0)),""))</f>
        <v/>
      </c>
      <c r="AQ97" s="212" t="str">
        <f aca="false">IF(AO97="","",IFERROR(INDEX(PARAMETRES!$F$536:$F$586,MATCH(AO97,PARAMETRES!$J$536:$J$586,0)),""))</f>
        <v/>
      </c>
      <c r="AR97" s="213"/>
      <c r="AS97" s="213"/>
      <c r="AT97" s="213"/>
      <c r="AU97" s="213"/>
      <c r="AV97" s="213"/>
      <c r="AW97" s="213"/>
      <c r="AX97" s="213"/>
      <c r="AY97" s="215" t="str">
        <f aca="false">IF(M97="","",IF(AND(AA97="",OR(Y97&lt;&gt;"",Z97&lt;&gt;"")),"Donnee manquante",IF(AD97&lt;0.8,"Cible non atteinte",IF(AD97&lt;1,"A surveiller","OK"))))</f>
        <v/>
      </c>
      <c r="AZ97" s="213"/>
    </row>
    <row r="98" customFormat="false" ht="15" hidden="false" customHeight="true" outlineLevel="0" collapsed="false">
      <c r="A98" s="212" t="str">
        <f aca="false">IF(M98="","","IND"&amp;TEXT(ROW()-54,"00000"))</f>
        <v/>
      </c>
      <c r="B98" s="213"/>
      <c r="C98" s="214" t="str">
        <f aca="false">IF(B98="","",IFERROR(INDEX(tbl_Projets[Titre complet du projet],MATCH(B98,tbl_Projets[ID Projet],0)),""))</f>
        <v/>
      </c>
      <c r="D98" s="212" t="str">
        <f aca="false">IF(B98="","",IFERROR(INDEX(tbl_Projets[Domaine d''intervention],MATCH(B98,tbl_Projets[ID Projet],0)),""))</f>
        <v/>
      </c>
      <c r="E98" s="212" t="str">
        <f aca="false">IF(B98="","",IFERROR(INDEX(tbl_Projets[Statut du projet],MATCH(B98,tbl_Projets[ID Projet],0)),""))</f>
        <v/>
      </c>
      <c r="F98" s="213"/>
      <c r="G98" s="214" t="str">
        <f aca="false">IF(F98="","",IFERROR(INDEX(tbl_Activites[Intitule de l''activite],MATCH(F98,tbl_Activites[ID Activite],0)),""))</f>
        <v/>
      </c>
      <c r="H98" s="212" t="str">
        <f aca="false">IF(F98="","",IFERROR(INDEX(tbl_Activites[Statut de l''activite],MATCH(F98,tbl_Activites[ID Activite],0)),""))</f>
        <v/>
      </c>
      <c r="I98" s="213"/>
      <c r="J98" s="214" t="str">
        <f aca="false">IF(B98="","",IFERROR(INDEX(tbl_Projets[Objectif general],MATCH(B98,tbl_Projets[ID Projet],0)),""))</f>
        <v/>
      </c>
      <c r="K98" s="213"/>
      <c r="L98" s="213"/>
      <c r="M98" s="213"/>
      <c r="N98" s="213"/>
      <c r="O98" s="213"/>
      <c r="P98" s="213"/>
      <c r="Q98" s="213"/>
      <c r="R98" s="213"/>
      <c r="S98" s="213"/>
      <c r="T98" s="212" t="str">
        <f aca="false">IF(S98="","",IFERROR(INDEX(tbl_RH[Nom complet],MATCH(S98,tbl_RH[ID RH],0)),""))</f>
        <v/>
      </c>
      <c r="U98" s="212" t="str">
        <f aca="false">IF(S98="","",IFERROR(INDEX(tbl_RH[Fonction],MATCH(S98,tbl_RH[ID RH],0)),""))</f>
        <v/>
      </c>
      <c r="V98" s="213"/>
      <c r="W98" s="213"/>
      <c r="X98" s="213"/>
      <c r="Y98" s="213"/>
      <c r="Z98" s="213"/>
      <c r="AA98" s="213"/>
      <c r="AB98" s="213"/>
      <c r="AC98" s="215" t="str">
        <f aca="false">IF(AB98="","",INDEX(PARAMETRES!$C$53:$C$64,MONTH(AB98))&amp;" "&amp;YEAR(AB98))</f>
        <v/>
      </c>
      <c r="AD98" s="216" t="str">
        <f aca="false">IF(OR(M98="",AA98=""),"",IF(AND(Z98&lt;&gt;"",Z98&lt;&gt;0),IFERROR(AA98/Z98,""),IF(AND(Y98&lt;&gt;"",Y98&lt;&gt;0),IFERROR(AA98/Y98,""),"")))</f>
        <v/>
      </c>
      <c r="AE98" s="215" t="str">
        <f aca="false">IF(AD98="","",IF(AND(Z98&lt;&gt;"",Z98&lt;&gt;0),AA98-Z98,IF(AND(Y98&lt;&gt;"",Y98&lt;&gt;0),AA98-Y98,"")))</f>
        <v/>
      </c>
      <c r="AF98" s="216" t="str">
        <f aca="false">IF(AD98="","",AD98-1)</f>
        <v/>
      </c>
      <c r="AG98" s="215" t="str">
        <f aca="false">IF(AD98="","",IF(AD98&gt;=1,"Excellent",IF(AD98&gt;=0.9,"Bon",IF(AD98&gt;=0.7,"Moyen",IF(AD98&gt;=0.5,"Faible","Critique")))))</f>
        <v/>
      </c>
      <c r="AH98" s="215" t="str">
        <f aca="false">IF(AD98="","",IF(AD98&gt;=1,"OK - Cible atteinte",IF(AD98&gt;=0.8,"Attention","Insuffisant")))</f>
        <v/>
      </c>
      <c r="AI98" s="213"/>
      <c r="AJ98" s="213"/>
      <c r="AK98" s="213"/>
      <c r="AL98" s="213"/>
      <c r="AM98" s="213"/>
      <c r="AN98" s="216" t="str">
        <f aca="false">IF(AI98="","",IF(AI98=0,"",IFERROR(AJ98/AI98,"")))</f>
        <v/>
      </c>
      <c r="AO98" s="213"/>
      <c r="AP98" s="212" t="str">
        <f aca="false">IF(AO98="","",IFERROR(INDEX(PARAMETRES!$D$536:$D$586,MATCH(AO98,PARAMETRES!$J$536:$J$586,0)),""))</f>
        <v/>
      </c>
      <c r="AQ98" s="212" t="str">
        <f aca="false">IF(AO98="","",IFERROR(INDEX(PARAMETRES!$F$536:$F$586,MATCH(AO98,PARAMETRES!$J$536:$J$586,0)),""))</f>
        <v/>
      </c>
      <c r="AR98" s="213"/>
      <c r="AS98" s="213"/>
      <c r="AT98" s="213"/>
      <c r="AU98" s="213"/>
      <c r="AV98" s="213"/>
      <c r="AW98" s="213"/>
      <c r="AX98" s="213"/>
      <c r="AY98" s="215" t="str">
        <f aca="false">IF(M98="","",IF(AND(AA98="",OR(Y98&lt;&gt;"",Z98&lt;&gt;"")),"Donnee manquante",IF(AD98&lt;0.8,"Cible non atteinte",IF(AD98&lt;1,"A surveiller","OK"))))</f>
        <v/>
      </c>
      <c r="AZ98" s="213"/>
    </row>
    <row r="99" customFormat="false" ht="15" hidden="false" customHeight="true" outlineLevel="0" collapsed="false">
      <c r="A99" s="212" t="str">
        <f aca="false">IF(M99="","","IND"&amp;TEXT(ROW()-54,"00000"))</f>
        <v/>
      </c>
      <c r="B99" s="213"/>
      <c r="C99" s="214" t="str">
        <f aca="false">IF(B99="","",IFERROR(INDEX(tbl_Projets[Titre complet du projet],MATCH(B99,tbl_Projets[ID Projet],0)),""))</f>
        <v/>
      </c>
      <c r="D99" s="212" t="str">
        <f aca="false">IF(B99="","",IFERROR(INDEX(tbl_Projets[Domaine d''intervention],MATCH(B99,tbl_Projets[ID Projet],0)),""))</f>
        <v/>
      </c>
      <c r="E99" s="212" t="str">
        <f aca="false">IF(B99="","",IFERROR(INDEX(tbl_Projets[Statut du projet],MATCH(B99,tbl_Projets[ID Projet],0)),""))</f>
        <v/>
      </c>
      <c r="F99" s="213"/>
      <c r="G99" s="214" t="str">
        <f aca="false">IF(F99="","",IFERROR(INDEX(tbl_Activites[Intitule de l''activite],MATCH(F99,tbl_Activites[ID Activite],0)),""))</f>
        <v/>
      </c>
      <c r="H99" s="212" t="str">
        <f aca="false">IF(F99="","",IFERROR(INDEX(tbl_Activites[Statut de l''activite],MATCH(F99,tbl_Activites[ID Activite],0)),""))</f>
        <v/>
      </c>
      <c r="I99" s="213"/>
      <c r="J99" s="214" t="str">
        <f aca="false">IF(B99="","",IFERROR(INDEX(tbl_Projets[Objectif general],MATCH(B99,tbl_Projets[ID Projet],0)),""))</f>
        <v/>
      </c>
      <c r="K99" s="213"/>
      <c r="L99" s="213"/>
      <c r="M99" s="213"/>
      <c r="N99" s="213"/>
      <c r="O99" s="213"/>
      <c r="P99" s="213"/>
      <c r="Q99" s="213"/>
      <c r="R99" s="213"/>
      <c r="S99" s="213"/>
      <c r="T99" s="212" t="str">
        <f aca="false">IF(S99="","",IFERROR(INDEX(tbl_RH[Nom complet],MATCH(S99,tbl_RH[ID RH],0)),""))</f>
        <v/>
      </c>
      <c r="U99" s="212" t="str">
        <f aca="false">IF(S99="","",IFERROR(INDEX(tbl_RH[Fonction],MATCH(S99,tbl_RH[ID RH],0)),""))</f>
        <v/>
      </c>
      <c r="V99" s="213"/>
      <c r="W99" s="213"/>
      <c r="X99" s="213"/>
      <c r="Y99" s="213"/>
      <c r="Z99" s="213"/>
      <c r="AA99" s="213"/>
      <c r="AB99" s="213"/>
      <c r="AC99" s="215" t="str">
        <f aca="false">IF(AB99="","",INDEX(PARAMETRES!$C$53:$C$64,MONTH(AB99))&amp;" "&amp;YEAR(AB99))</f>
        <v/>
      </c>
      <c r="AD99" s="216" t="str">
        <f aca="false">IF(OR(M99="",AA99=""),"",IF(AND(Z99&lt;&gt;"",Z99&lt;&gt;0),IFERROR(AA99/Z99,""),IF(AND(Y99&lt;&gt;"",Y99&lt;&gt;0),IFERROR(AA99/Y99,""),"")))</f>
        <v/>
      </c>
      <c r="AE99" s="215" t="str">
        <f aca="false">IF(AD99="","",IF(AND(Z99&lt;&gt;"",Z99&lt;&gt;0),AA99-Z99,IF(AND(Y99&lt;&gt;"",Y99&lt;&gt;0),AA99-Y99,"")))</f>
        <v/>
      </c>
      <c r="AF99" s="216" t="str">
        <f aca="false">IF(AD99="","",AD99-1)</f>
        <v/>
      </c>
      <c r="AG99" s="215" t="str">
        <f aca="false">IF(AD99="","",IF(AD99&gt;=1,"Excellent",IF(AD99&gt;=0.9,"Bon",IF(AD99&gt;=0.7,"Moyen",IF(AD99&gt;=0.5,"Faible","Critique")))))</f>
        <v/>
      </c>
      <c r="AH99" s="215" t="str">
        <f aca="false">IF(AD99="","",IF(AD99&gt;=1,"OK - Cible atteinte",IF(AD99&gt;=0.8,"Attention","Insuffisant")))</f>
        <v/>
      </c>
      <c r="AI99" s="213"/>
      <c r="AJ99" s="213"/>
      <c r="AK99" s="213"/>
      <c r="AL99" s="213"/>
      <c r="AM99" s="213"/>
      <c r="AN99" s="216" t="str">
        <f aca="false">IF(AI99="","",IF(AI99=0,"",IFERROR(AJ99/AI99,"")))</f>
        <v/>
      </c>
      <c r="AO99" s="213"/>
      <c r="AP99" s="212" t="str">
        <f aca="false">IF(AO99="","",IFERROR(INDEX(PARAMETRES!$D$536:$D$586,MATCH(AO99,PARAMETRES!$J$536:$J$586,0)),""))</f>
        <v/>
      </c>
      <c r="AQ99" s="212" t="str">
        <f aca="false">IF(AO99="","",IFERROR(INDEX(PARAMETRES!$F$536:$F$586,MATCH(AO99,PARAMETRES!$J$536:$J$586,0)),""))</f>
        <v/>
      </c>
      <c r="AR99" s="213"/>
      <c r="AS99" s="213"/>
      <c r="AT99" s="213"/>
      <c r="AU99" s="213"/>
      <c r="AV99" s="213"/>
      <c r="AW99" s="213"/>
      <c r="AX99" s="213"/>
      <c r="AY99" s="215" t="str">
        <f aca="false">IF(M99="","",IF(AND(AA99="",OR(Y99&lt;&gt;"",Z99&lt;&gt;"")),"Donnee manquante",IF(AD99&lt;0.8,"Cible non atteinte",IF(AD99&lt;1,"A surveiller","OK"))))</f>
        <v/>
      </c>
      <c r="AZ99" s="213"/>
    </row>
    <row r="100" customFormat="false" ht="15" hidden="false" customHeight="true" outlineLevel="0" collapsed="false">
      <c r="A100" s="212" t="str">
        <f aca="false">IF(M100="","","IND"&amp;TEXT(ROW()-54,"00000"))</f>
        <v/>
      </c>
      <c r="B100" s="213"/>
      <c r="C100" s="214" t="str">
        <f aca="false">IF(B100="","",IFERROR(INDEX(tbl_Projets[Titre complet du projet],MATCH(B100,tbl_Projets[ID Projet],0)),""))</f>
        <v/>
      </c>
      <c r="D100" s="212" t="str">
        <f aca="false">IF(B100="","",IFERROR(INDEX(tbl_Projets[Domaine d''intervention],MATCH(B100,tbl_Projets[ID Projet],0)),""))</f>
        <v/>
      </c>
      <c r="E100" s="212" t="str">
        <f aca="false">IF(B100="","",IFERROR(INDEX(tbl_Projets[Statut du projet],MATCH(B100,tbl_Projets[ID Projet],0)),""))</f>
        <v/>
      </c>
      <c r="F100" s="213"/>
      <c r="G100" s="214" t="str">
        <f aca="false">IF(F100="","",IFERROR(INDEX(tbl_Activites[Intitule de l''activite],MATCH(F100,tbl_Activites[ID Activite],0)),""))</f>
        <v/>
      </c>
      <c r="H100" s="212" t="str">
        <f aca="false">IF(F100="","",IFERROR(INDEX(tbl_Activites[Statut de l''activite],MATCH(F100,tbl_Activites[ID Activite],0)),""))</f>
        <v/>
      </c>
      <c r="I100" s="213"/>
      <c r="J100" s="214" t="str">
        <f aca="false">IF(B100="","",IFERROR(INDEX(tbl_Projets[Objectif general],MATCH(B100,tbl_Projets[ID Projet],0)),""))</f>
        <v/>
      </c>
      <c r="K100" s="213"/>
      <c r="L100" s="213"/>
      <c r="M100" s="213"/>
      <c r="N100" s="213"/>
      <c r="O100" s="213"/>
      <c r="P100" s="213"/>
      <c r="Q100" s="213"/>
      <c r="R100" s="213"/>
      <c r="S100" s="213"/>
      <c r="T100" s="212" t="str">
        <f aca="false">IF(S100="","",IFERROR(INDEX(tbl_RH[Nom complet],MATCH(S100,tbl_RH[ID RH],0)),""))</f>
        <v/>
      </c>
      <c r="U100" s="212" t="str">
        <f aca="false">IF(S100="","",IFERROR(INDEX(tbl_RH[Fonction],MATCH(S100,tbl_RH[ID RH],0)),""))</f>
        <v/>
      </c>
      <c r="V100" s="213"/>
      <c r="W100" s="213"/>
      <c r="X100" s="213"/>
      <c r="Y100" s="213"/>
      <c r="Z100" s="213"/>
      <c r="AA100" s="213"/>
      <c r="AB100" s="213"/>
      <c r="AC100" s="215" t="str">
        <f aca="false">IF(AB100="","",INDEX(PARAMETRES!$C$53:$C$64,MONTH(AB100))&amp;" "&amp;YEAR(AB100))</f>
        <v/>
      </c>
      <c r="AD100" s="216" t="str">
        <f aca="false">IF(OR(M100="",AA100=""),"",IF(AND(Z100&lt;&gt;"",Z100&lt;&gt;0),IFERROR(AA100/Z100,""),IF(AND(Y100&lt;&gt;"",Y100&lt;&gt;0),IFERROR(AA100/Y100,""),"")))</f>
        <v/>
      </c>
      <c r="AE100" s="215" t="str">
        <f aca="false">IF(AD100="","",IF(AND(Z100&lt;&gt;"",Z100&lt;&gt;0),AA100-Z100,IF(AND(Y100&lt;&gt;"",Y100&lt;&gt;0),AA100-Y100,"")))</f>
        <v/>
      </c>
      <c r="AF100" s="216" t="str">
        <f aca="false">IF(AD100="","",AD100-1)</f>
        <v/>
      </c>
      <c r="AG100" s="215" t="str">
        <f aca="false">IF(AD100="","",IF(AD100&gt;=1,"Excellent",IF(AD100&gt;=0.9,"Bon",IF(AD100&gt;=0.7,"Moyen",IF(AD100&gt;=0.5,"Faible","Critique")))))</f>
        <v/>
      </c>
      <c r="AH100" s="215" t="str">
        <f aca="false">IF(AD100="","",IF(AD100&gt;=1,"OK - Cible atteinte",IF(AD100&gt;=0.8,"Attention","Insuffisant")))</f>
        <v/>
      </c>
      <c r="AI100" s="213"/>
      <c r="AJ100" s="213"/>
      <c r="AK100" s="213"/>
      <c r="AL100" s="213"/>
      <c r="AM100" s="213"/>
      <c r="AN100" s="216" t="str">
        <f aca="false">IF(AI100="","",IF(AI100=0,"",IFERROR(AJ100/AI100,"")))</f>
        <v/>
      </c>
      <c r="AO100" s="213"/>
      <c r="AP100" s="212" t="str">
        <f aca="false">IF(AO100="","",IFERROR(INDEX(PARAMETRES!$D$536:$D$586,MATCH(AO100,PARAMETRES!$J$536:$J$586,0)),""))</f>
        <v/>
      </c>
      <c r="AQ100" s="212" t="str">
        <f aca="false">IF(AO100="","",IFERROR(INDEX(PARAMETRES!$F$536:$F$586,MATCH(AO100,PARAMETRES!$J$536:$J$586,0)),""))</f>
        <v/>
      </c>
      <c r="AR100" s="213"/>
      <c r="AS100" s="213"/>
      <c r="AT100" s="213"/>
      <c r="AU100" s="213"/>
      <c r="AV100" s="213"/>
      <c r="AW100" s="213"/>
      <c r="AX100" s="213"/>
      <c r="AY100" s="215" t="str">
        <f aca="false">IF(M100="","",IF(AND(AA100="",OR(Y100&lt;&gt;"",Z100&lt;&gt;"")),"Donnee manquante",IF(AD100&lt;0.8,"Cible non atteinte",IF(AD100&lt;1,"A surveiller","OK"))))</f>
        <v/>
      </c>
      <c r="AZ100" s="213"/>
    </row>
    <row r="101" customFormat="false" ht="15" hidden="false" customHeight="true" outlineLevel="0" collapsed="false">
      <c r="A101" s="212" t="str">
        <f aca="false">IF(M101="","","IND"&amp;TEXT(ROW()-54,"00000"))</f>
        <v/>
      </c>
      <c r="B101" s="213"/>
      <c r="C101" s="214" t="str">
        <f aca="false">IF(B101="","",IFERROR(INDEX(tbl_Projets[Titre complet du projet],MATCH(B101,tbl_Projets[ID Projet],0)),""))</f>
        <v/>
      </c>
      <c r="D101" s="212" t="str">
        <f aca="false">IF(B101="","",IFERROR(INDEX(tbl_Projets[Domaine d''intervention],MATCH(B101,tbl_Projets[ID Projet],0)),""))</f>
        <v/>
      </c>
      <c r="E101" s="212" t="str">
        <f aca="false">IF(B101="","",IFERROR(INDEX(tbl_Projets[Statut du projet],MATCH(B101,tbl_Projets[ID Projet],0)),""))</f>
        <v/>
      </c>
      <c r="F101" s="213"/>
      <c r="G101" s="214" t="str">
        <f aca="false">IF(F101="","",IFERROR(INDEX(tbl_Activites[Intitule de l''activite],MATCH(F101,tbl_Activites[ID Activite],0)),""))</f>
        <v/>
      </c>
      <c r="H101" s="212" t="str">
        <f aca="false">IF(F101="","",IFERROR(INDEX(tbl_Activites[Statut de l''activite],MATCH(F101,tbl_Activites[ID Activite],0)),""))</f>
        <v/>
      </c>
      <c r="I101" s="213"/>
      <c r="J101" s="214" t="str">
        <f aca="false">IF(B101="","",IFERROR(INDEX(tbl_Projets[Objectif general],MATCH(B101,tbl_Projets[ID Projet],0)),""))</f>
        <v/>
      </c>
      <c r="K101" s="213"/>
      <c r="L101" s="213"/>
      <c r="M101" s="213"/>
      <c r="N101" s="213"/>
      <c r="O101" s="213"/>
      <c r="P101" s="213"/>
      <c r="Q101" s="213"/>
      <c r="R101" s="213"/>
      <c r="S101" s="213"/>
      <c r="T101" s="212" t="str">
        <f aca="false">IF(S101="","",IFERROR(INDEX(tbl_RH[Nom complet],MATCH(S101,tbl_RH[ID RH],0)),""))</f>
        <v/>
      </c>
      <c r="U101" s="212" t="str">
        <f aca="false">IF(S101="","",IFERROR(INDEX(tbl_RH[Fonction],MATCH(S101,tbl_RH[ID RH],0)),""))</f>
        <v/>
      </c>
      <c r="V101" s="213"/>
      <c r="W101" s="213"/>
      <c r="X101" s="213"/>
      <c r="Y101" s="213"/>
      <c r="Z101" s="213"/>
      <c r="AA101" s="213"/>
      <c r="AB101" s="213"/>
      <c r="AC101" s="215" t="str">
        <f aca="false">IF(AB101="","",INDEX(PARAMETRES!$C$53:$C$64,MONTH(AB101))&amp;" "&amp;YEAR(AB101))</f>
        <v/>
      </c>
      <c r="AD101" s="216" t="str">
        <f aca="false">IF(OR(M101="",AA101=""),"",IF(AND(Z101&lt;&gt;"",Z101&lt;&gt;0),IFERROR(AA101/Z101,""),IF(AND(Y101&lt;&gt;"",Y101&lt;&gt;0),IFERROR(AA101/Y101,""),"")))</f>
        <v/>
      </c>
      <c r="AE101" s="215" t="str">
        <f aca="false">IF(AD101="","",IF(AND(Z101&lt;&gt;"",Z101&lt;&gt;0),AA101-Z101,IF(AND(Y101&lt;&gt;"",Y101&lt;&gt;0),AA101-Y101,"")))</f>
        <v/>
      </c>
      <c r="AF101" s="216" t="str">
        <f aca="false">IF(AD101="","",AD101-1)</f>
        <v/>
      </c>
      <c r="AG101" s="215" t="str">
        <f aca="false">IF(AD101="","",IF(AD101&gt;=1,"Excellent",IF(AD101&gt;=0.9,"Bon",IF(AD101&gt;=0.7,"Moyen",IF(AD101&gt;=0.5,"Faible","Critique")))))</f>
        <v/>
      </c>
      <c r="AH101" s="215" t="str">
        <f aca="false">IF(AD101="","",IF(AD101&gt;=1,"OK - Cible atteinte",IF(AD101&gt;=0.8,"Attention","Insuffisant")))</f>
        <v/>
      </c>
      <c r="AI101" s="213"/>
      <c r="AJ101" s="213"/>
      <c r="AK101" s="213"/>
      <c r="AL101" s="213"/>
      <c r="AM101" s="213"/>
      <c r="AN101" s="216" t="str">
        <f aca="false">IF(AI101="","",IF(AI101=0,"",IFERROR(AJ101/AI101,"")))</f>
        <v/>
      </c>
      <c r="AO101" s="213"/>
      <c r="AP101" s="212" t="str">
        <f aca="false">IF(AO101="","",IFERROR(INDEX(PARAMETRES!$D$536:$D$586,MATCH(AO101,PARAMETRES!$J$536:$J$586,0)),""))</f>
        <v/>
      </c>
      <c r="AQ101" s="212" t="str">
        <f aca="false">IF(AO101="","",IFERROR(INDEX(PARAMETRES!$F$536:$F$586,MATCH(AO101,PARAMETRES!$J$536:$J$586,0)),""))</f>
        <v/>
      </c>
      <c r="AR101" s="213"/>
      <c r="AS101" s="213"/>
      <c r="AT101" s="213"/>
      <c r="AU101" s="213"/>
      <c r="AV101" s="213"/>
      <c r="AW101" s="213"/>
      <c r="AX101" s="213"/>
      <c r="AY101" s="215" t="str">
        <f aca="false">IF(M101="","",IF(AND(AA101="",OR(Y101&lt;&gt;"",Z101&lt;&gt;"")),"Donnee manquante",IF(AD101&lt;0.8,"Cible non atteinte",IF(AD101&lt;1,"A surveiller","OK"))))</f>
        <v/>
      </c>
      <c r="AZ101" s="213"/>
    </row>
    <row r="102" customFormat="false" ht="15" hidden="false" customHeight="true" outlineLevel="0" collapsed="false">
      <c r="A102" s="212" t="str">
        <f aca="false">IF(M102="","","IND"&amp;TEXT(ROW()-54,"00000"))</f>
        <v/>
      </c>
      <c r="B102" s="213"/>
      <c r="C102" s="214" t="str">
        <f aca="false">IF(B102="","",IFERROR(INDEX(tbl_Projets[Titre complet du projet],MATCH(B102,tbl_Projets[ID Projet],0)),""))</f>
        <v/>
      </c>
      <c r="D102" s="212" t="str">
        <f aca="false">IF(B102="","",IFERROR(INDEX(tbl_Projets[Domaine d''intervention],MATCH(B102,tbl_Projets[ID Projet],0)),""))</f>
        <v/>
      </c>
      <c r="E102" s="212" t="str">
        <f aca="false">IF(B102="","",IFERROR(INDEX(tbl_Projets[Statut du projet],MATCH(B102,tbl_Projets[ID Projet],0)),""))</f>
        <v/>
      </c>
      <c r="F102" s="213"/>
      <c r="G102" s="214" t="str">
        <f aca="false">IF(F102="","",IFERROR(INDEX(tbl_Activites[Intitule de l''activite],MATCH(F102,tbl_Activites[ID Activite],0)),""))</f>
        <v/>
      </c>
      <c r="H102" s="212" t="str">
        <f aca="false">IF(F102="","",IFERROR(INDEX(tbl_Activites[Statut de l''activite],MATCH(F102,tbl_Activites[ID Activite],0)),""))</f>
        <v/>
      </c>
      <c r="I102" s="213"/>
      <c r="J102" s="214" t="str">
        <f aca="false">IF(B102="","",IFERROR(INDEX(tbl_Projets[Objectif general],MATCH(B102,tbl_Projets[ID Projet],0)),""))</f>
        <v/>
      </c>
      <c r="K102" s="213"/>
      <c r="L102" s="213"/>
      <c r="M102" s="213"/>
      <c r="N102" s="213"/>
      <c r="O102" s="213"/>
      <c r="P102" s="213"/>
      <c r="Q102" s="213"/>
      <c r="R102" s="213"/>
      <c r="S102" s="213"/>
      <c r="T102" s="212" t="str">
        <f aca="false">IF(S102="","",IFERROR(INDEX(tbl_RH[Nom complet],MATCH(S102,tbl_RH[ID RH],0)),""))</f>
        <v/>
      </c>
      <c r="U102" s="212" t="str">
        <f aca="false">IF(S102="","",IFERROR(INDEX(tbl_RH[Fonction],MATCH(S102,tbl_RH[ID RH],0)),""))</f>
        <v/>
      </c>
      <c r="V102" s="213"/>
      <c r="W102" s="213"/>
      <c r="X102" s="213"/>
      <c r="Y102" s="213"/>
      <c r="Z102" s="213"/>
      <c r="AA102" s="213"/>
      <c r="AB102" s="213"/>
      <c r="AC102" s="215" t="str">
        <f aca="false">IF(AB102="","",INDEX(PARAMETRES!$C$53:$C$64,MONTH(AB102))&amp;" "&amp;YEAR(AB102))</f>
        <v/>
      </c>
      <c r="AD102" s="216" t="str">
        <f aca="false">IF(OR(M102="",AA102=""),"",IF(AND(Z102&lt;&gt;"",Z102&lt;&gt;0),IFERROR(AA102/Z102,""),IF(AND(Y102&lt;&gt;"",Y102&lt;&gt;0),IFERROR(AA102/Y102,""),"")))</f>
        <v/>
      </c>
      <c r="AE102" s="215" t="str">
        <f aca="false">IF(AD102="","",IF(AND(Z102&lt;&gt;"",Z102&lt;&gt;0),AA102-Z102,IF(AND(Y102&lt;&gt;"",Y102&lt;&gt;0),AA102-Y102,"")))</f>
        <v/>
      </c>
      <c r="AF102" s="216" t="str">
        <f aca="false">IF(AD102="","",AD102-1)</f>
        <v/>
      </c>
      <c r="AG102" s="215" t="str">
        <f aca="false">IF(AD102="","",IF(AD102&gt;=1,"Excellent",IF(AD102&gt;=0.9,"Bon",IF(AD102&gt;=0.7,"Moyen",IF(AD102&gt;=0.5,"Faible","Critique")))))</f>
        <v/>
      </c>
      <c r="AH102" s="215" t="str">
        <f aca="false">IF(AD102="","",IF(AD102&gt;=1,"OK - Cible atteinte",IF(AD102&gt;=0.8,"Attention","Insuffisant")))</f>
        <v/>
      </c>
      <c r="AI102" s="213"/>
      <c r="AJ102" s="213"/>
      <c r="AK102" s="213"/>
      <c r="AL102" s="213"/>
      <c r="AM102" s="213"/>
      <c r="AN102" s="216" t="str">
        <f aca="false">IF(AI102="","",IF(AI102=0,"",IFERROR(AJ102/AI102,"")))</f>
        <v/>
      </c>
      <c r="AO102" s="213"/>
      <c r="AP102" s="212" t="str">
        <f aca="false">IF(AO102="","",IFERROR(INDEX(PARAMETRES!$D$536:$D$586,MATCH(AO102,PARAMETRES!$J$536:$J$586,0)),""))</f>
        <v/>
      </c>
      <c r="AQ102" s="212" t="str">
        <f aca="false">IF(AO102="","",IFERROR(INDEX(PARAMETRES!$F$536:$F$586,MATCH(AO102,PARAMETRES!$J$536:$J$586,0)),""))</f>
        <v/>
      </c>
      <c r="AR102" s="213"/>
      <c r="AS102" s="213"/>
      <c r="AT102" s="213"/>
      <c r="AU102" s="213"/>
      <c r="AV102" s="213"/>
      <c r="AW102" s="213"/>
      <c r="AX102" s="213"/>
      <c r="AY102" s="215" t="str">
        <f aca="false">IF(M102="","",IF(AND(AA102="",OR(Y102&lt;&gt;"",Z102&lt;&gt;"")),"Donnee manquante",IF(AD102&lt;0.8,"Cible non atteinte",IF(AD102&lt;1,"A surveiller","OK"))))</f>
        <v/>
      </c>
      <c r="AZ102" s="213"/>
    </row>
    <row r="103" customFormat="false" ht="15" hidden="false" customHeight="true" outlineLevel="0" collapsed="false">
      <c r="A103" s="212" t="str">
        <f aca="false">IF(M103="","","IND"&amp;TEXT(ROW()-54,"00000"))</f>
        <v/>
      </c>
      <c r="B103" s="213"/>
      <c r="C103" s="214" t="str">
        <f aca="false">IF(B103="","",IFERROR(INDEX(tbl_Projets[Titre complet du projet],MATCH(B103,tbl_Projets[ID Projet],0)),""))</f>
        <v/>
      </c>
      <c r="D103" s="212" t="str">
        <f aca="false">IF(B103="","",IFERROR(INDEX(tbl_Projets[Domaine d''intervention],MATCH(B103,tbl_Projets[ID Projet],0)),""))</f>
        <v/>
      </c>
      <c r="E103" s="212" t="str">
        <f aca="false">IF(B103="","",IFERROR(INDEX(tbl_Projets[Statut du projet],MATCH(B103,tbl_Projets[ID Projet],0)),""))</f>
        <v/>
      </c>
      <c r="F103" s="213"/>
      <c r="G103" s="214" t="str">
        <f aca="false">IF(F103="","",IFERROR(INDEX(tbl_Activites[Intitule de l''activite],MATCH(F103,tbl_Activites[ID Activite],0)),""))</f>
        <v/>
      </c>
      <c r="H103" s="212" t="str">
        <f aca="false">IF(F103="","",IFERROR(INDEX(tbl_Activites[Statut de l''activite],MATCH(F103,tbl_Activites[ID Activite],0)),""))</f>
        <v/>
      </c>
      <c r="I103" s="213"/>
      <c r="J103" s="214" t="str">
        <f aca="false">IF(B103="","",IFERROR(INDEX(tbl_Projets[Objectif general],MATCH(B103,tbl_Projets[ID Projet],0)),""))</f>
        <v/>
      </c>
      <c r="K103" s="213"/>
      <c r="L103" s="213"/>
      <c r="M103" s="213"/>
      <c r="N103" s="213"/>
      <c r="O103" s="213"/>
      <c r="P103" s="213"/>
      <c r="Q103" s="213"/>
      <c r="R103" s="213"/>
      <c r="S103" s="213"/>
      <c r="T103" s="212" t="str">
        <f aca="false">IF(S103="","",IFERROR(INDEX(tbl_RH[Nom complet],MATCH(S103,tbl_RH[ID RH],0)),""))</f>
        <v/>
      </c>
      <c r="U103" s="212" t="str">
        <f aca="false">IF(S103="","",IFERROR(INDEX(tbl_RH[Fonction],MATCH(S103,tbl_RH[ID RH],0)),""))</f>
        <v/>
      </c>
      <c r="V103" s="213"/>
      <c r="W103" s="213"/>
      <c r="X103" s="213"/>
      <c r="Y103" s="213"/>
      <c r="Z103" s="213"/>
      <c r="AA103" s="213"/>
      <c r="AB103" s="213"/>
      <c r="AC103" s="215" t="str">
        <f aca="false">IF(AB103="","",INDEX(PARAMETRES!$C$53:$C$64,MONTH(AB103))&amp;" "&amp;YEAR(AB103))</f>
        <v/>
      </c>
      <c r="AD103" s="216" t="str">
        <f aca="false">IF(OR(M103="",AA103=""),"",IF(AND(Z103&lt;&gt;"",Z103&lt;&gt;0),IFERROR(AA103/Z103,""),IF(AND(Y103&lt;&gt;"",Y103&lt;&gt;0),IFERROR(AA103/Y103,""),"")))</f>
        <v/>
      </c>
      <c r="AE103" s="215" t="str">
        <f aca="false">IF(AD103="","",IF(AND(Z103&lt;&gt;"",Z103&lt;&gt;0),AA103-Z103,IF(AND(Y103&lt;&gt;"",Y103&lt;&gt;0),AA103-Y103,"")))</f>
        <v/>
      </c>
      <c r="AF103" s="216" t="str">
        <f aca="false">IF(AD103="","",AD103-1)</f>
        <v/>
      </c>
      <c r="AG103" s="215" t="str">
        <f aca="false">IF(AD103="","",IF(AD103&gt;=1,"Excellent",IF(AD103&gt;=0.9,"Bon",IF(AD103&gt;=0.7,"Moyen",IF(AD103&gt;=0.5,"Faible","Critique")))))</f>
        <v/>
      </c>
      <c r="AH103" s="215" t="str">
        <f aca="false">IF(AD103="","",IF(AD103&gt;=1,"OK - Cible atteinte",IF(AD103&gt;=0.8,"Attention","Insuffisant")))</f>
        <v/>
      </c>
      <c r="AI103" s="213"/>
      <c r="AJ103" s="213"/>
      <c r="AK103" s="213"/>
      <c r="AL103" s="213"/>
      <c r="AM103" s="213"/>
      <c r="AN103" s="216" t="str">
        <f aca="false">IF(AI103="","",IF(AI103=0,"",IFERROR(AJ103/AI103,"")))</f>
        <v/>
      </c>
      <c r="AO103" s="213"/>
      <c r="AP103" s="212" t="str">
        <f aca="false">IF(AO103="","",IFERROR(INDEX(PARAMETRES!$D$536:$D$586,MATCH(AO103,PARAMETRES!$J$536:$J$586,0)),""))</f>
        <v/>
      </c>
      <c r="AQ103" s="212" t="str">
        <f aca="false">IF(AO103="","",IFERROR(INDEX(PARAMETRES!$F$536:$F$586,MATCH(AO103,PARAMETRES!$J$536:$J$586,0)),""))</f>
        <v/>
      </c>
      <c r="AR103" s="213"/>
      <c r="AS103" s="213"/>
      <c r="AT103" s="213"/>
      <c r="AU103" s="213"/>
      <c r="AV103" s="213"/>
      <c r="AW103" s="213"/>
      <c r="AX103" s="213"/>
      <c r="AY103" s="215" t="str">
        <f aca="false">IF(M103="","",IF(AND(AA103="",OR(Y103&lt;&gt;"",Z103&lt;&gt;"")),"Donnee manquante",IF(AD103&lt;0.8,"Cible non atteinte",IF(AD103&lt;1,"A surveiller","OK"))))</f>
        <v/>
      </c>
      <c r="AZ103" s="213"/>
    </row>
    <row r="104" customFormat="false" ht="15" hidden="false" customHeight="true" outlineLevel="0" collapsed="false">
      <c r="A104" s="212" t="str">
        <f aca="false">IF(M104="","","IND"&amp;TEXT(ROW()-54,"00000"))</f>
        <v/>
      </c>
      <c r="B104" s="213"/>
      <c r="C104" s="214" t="str">
        <f aca="false">IF(B104="","",IFERROR(INDEX(tbl_Projets[Titre complet du projet],MATCH(B104,tbl_Projets[ID Projet],0)),""))</f>
        <v/>
      </c>
      <c r="D104" s="212" t="str">
        <f aca="false">IF(B104="","",IFERROR(INDEX(tbl_Projets[Domaine d''intervention],MATCH(B104,tbl_Projets[ID Projet],0)),""))</f>
        <v/>
      </c>
      <c r="E104" s="212" t="str">
        <f aca="false">IF(B104="","",IFERROR(INDEX(tbl_Projets[Statut du projet],MATCH(B104,tbl_Projets[ID Projet],0)),""))</f>
        <v/>
      </c>
      <c r="F104" s="213"/>
      <c r="G104" s="214" t="str">
        <f aca="false">IF(F104="","",IFERROR(INDEX(tbl_Activites[Intitule de l''activite],MATCH(F104,tbl_Activites[ID Activite],0)),""))</f>
        <v/>
      </c>
      <c r="H104" s="212" t="str">
        <f aca="false">IF(F104="","",IFERROR(INDEX(tbl_Activites[Statut de l''activite],MATCH(F104,tbl_Activites[ID Activite],0)),""))</f>
        <v/>
      </c>
      <c r="I104" s="213"/>
      <c r="J104" s="214" t="str">
        <f aca="false">IF(B104="","",IFERROR(INDEX(tbl_Projets[Objectif general],MATCH(B104,tbl_Projets[ID Projet],0)),""))</f>
        <v/>
      </c>
      <c r="K104" s="213"/>
      <c r="L104" s="213"/>
      <c r="M104" s="213"/>
      <c r="N104" s="213"/>
      <c r="O104" s="213"/>
      <c r="P104" s="213"/>
      <c r="Q104" s="213"/>
      <c r="R104" s="213"/>
      <c r="S104" s="213"/>
      <c r="T104" s="212" t="str">
        <f aca="false">IF(S104="","",IFERROR(INDEX(tbl_RH[Nom complet],MATCH(S104,tbl_RH[ID RH],0)),""))</f>
        <v/>
      </c>
      <c r="U104" s="212" t="str">
        <f aca="false">IF(S104="","",IFERROR(INDEX(tbl_RH[Fonction],MATCH(S104,tbl_RH[ID RH],0)),""))</f>
        <v/>
      </c>
      <c r="V104" s="213"/>
      <c r="W104" s="213"/>
      <c r="X104" s="213"/>
      <c r="Y104" s="213"/>
      <c r="Z104" s="213"/>
      <c r="AA104" s="213"/>
      <c r="AB104" s="213"/>
      <c r="AC104" s="215" t="str">
        <f aca="false">IF(AB104="","",INDEX(PARAMETRES!$C$53:$C$64,MONTH(AB104))&amp;" "&amp;YEAR(AB104))</f>
        <v/>
      </c>
      <c r="AD104" s="216" t="str">
        <f aca="false">IF(OR(M104="",AA104=""),"",IF(AND(Z104&lt;&gt;"",Z104&lt;&gt;0),IFERROR(AA104/Z104,""),IF(AND(Y104&lt;&gt;"",Y104&lt;&gt;0),IFERROR(AA104/Y104,""),"")))</f>
        <v/>
      </c>
      <c r="AE104" s="215" t="str">
        <f aca="false">IF(AD104="","",IF(AND(Z104&lt;&gt;"",Z104&lt;&gt;0),AA104-Z104,IF(AND(Y104&lt;&gt;"",Y104&lt;&gt;0),AA104-Y104,"")))</f>
        <v/>
      </c>
      <c r="AF104" s="216" t="str">
        <f aca="false">IF(AD104="","",AD104-1)</f>
        <v/>
      </c>
      <c r="AG104" s="215" t="str">
        <f aca="false">IF(AD104="","",IF(AD104&gt;=1,"Excellent",IF(AD104&gt;=0.9,"Bon",IF(AD104&gt;=0.7,"Moyen",IF(AD104&gt;=0.5,"Faible","Critique")))))</f>
        <v/>
      </c>
      <c r="AH104" s="215" t="str">
        <f aca="false">IF(AD104="","",IF(AD104&gt;=1,"OK - Cible atteinte",IF(AD104&gt;=0.8,"Attention","Insuffisant")))</f>
        <v/>
      </c>
      <c r="AI104" s="213"/>
      <c r="AJ104" s="213"/>
      <c r="AK104" s="213"/>
      <c r="AL104" s="213"/>
      <c r="AM104" s="213"/>
      <c r="AN104" s="216" t="str">
        <f aca="false">IF(AI104="","",IF(AI104=0,"",IFERROR(AJ104/AI104,"")))</f>
        <v/>
      </c>
      <c r="AO104" s="213"/>
      <c r="AP104" s="212" t="str">
        <f aca="false">IF(AO104="","",IFERROR(INDEX(PARAMETRES!$D$536:$D$586,MATCH(AO104,PARAMETRES!$J$536:$J$586,0)),""))</f>
        <v/>
      </c>
      <c r="AQ104" s="212" t="str">
        <f aca="false">IF(AO104="","",IFERROR(INDEX(PARAMETRES!$F$536:$F$586,MATCH(AO104,PARAMETRES!$J$536:$J$586,0)),""))</f>
        <v/>
      </c>
      <c r="AR104" s="213"/>
      <c r="AS104" s="213"/>
      <c r="AT104" s="213"/>
      <c r="AU104" s="213"/>
      <c r="AV104" s="213"/>
      <c r="AW104" s="213"/>
      <c r="AX104" s="213"/>
      <c r="AY104" s="215" t="str">
        <f aca="false">IF(M104="","",IF(AND(AA104="",OR(Y104&lt;&gt;"",Z104&lt;&gt;"")),"Donnee manquante",IF(AD104&lt;0.8,"Cible non atteinte",IF(AD104&lt;1,"A surveiller","OK"))))</f>
        <v/>
      </c>
      <c r="AZ104" s="213"/>
    </row>
    <row r="107" customFormat="false" ht="19.5" hidden="false" customHeight="true" outlineLevel="0" collapsed="false">
      <c r="A107" s="207" t="s">
        <v>2385</v>
      </c>
      <c r="B107" s="207"/>
      <c r="C107" s="207"/>
      <c r="D107" s="207"/>
      <c r="E107" s="207"/>
      <c r="F107" s="207"/>
      <c r="G107" s="207"/>
      <c r="H107" s="207"/>
      <c r="I107" s="207"/>
      <c r="J107" s="207"/>
      <c r="K107" s="207"/>
      <c r="L107" s="207"/>
      <c r="M107" s="207"/>
      <c r="N107" s="207"/>
      <c r="O107" s="207"/>
      <c r="P107" s="207"/>
      <c r="Q107" s="207"/>
      <c r="R107" s="207"/>
      <c r="S107" s="207"/>
      <c r="T107" s="207"/>
      <c r="U107" s="207"/>
    </row>
    <row r="108" customFormat="false" ht="30" hidden="false" customHeight="true" outlineLevel="0" collapsed="false">
      <c r="A108" s="59" t="s">
        <v>1357</v>
      </c>
      <c r="B108" s="59" t="s">
        <v>1570</v>
      </c>
      <c r="C108" s="59" t="s">
        <v>1508</v>
      </c>
      <c r="D108" s="59" t="s">
        <v>2386</v>
      </c>
      <c r="E108" s="59" t="s">
        <v>1673</v>
      </c>
      <c r="F108" s="59" t="s">
        <v>2387</v>
      </c>
      <c r="G108" s="59" t="s">
        <v>2388</v>
      </c>
      <c r="H108" s="59" t="s">
        <v>2389</v>
      </c>
      <c r="I108" s="59" t="s">
        <v>1582</v>
      </c>
      <c r="J108" s="59" t="s">
        <v>1634</v>
      </c>
      <c r="K108" s="59" t="s">
        <v>54</v>
      </c>
      <c r="L108" s="59" t="s">
        <v>1741</v>
      </c>
    </row>
    <row r="109" customFormat="false" ht="15" hidden="false" customHeight="true" outlineLevel="0" collapsed="false">
      <c r="A109" s="213"/>
      <c r="B109" s="213"/>
      <c r="C109" s="214" t="str">
        <f aca="false">IF(B109="","",IFERROR(INDEX(tbl_Projets[Titre complet du projet],MATCH(B109,tbl_Projets[ID Projet],0)),""))</f>
        <v/>
      </c>
      <c r="D109" s="213"/>
      <c r="E109" s="213"/>
      <c r="F109" s="213"/>
      <c r="G109" s="213"/>
      <c r="H109" s="213"/>
      <c r="I109" s="212" t="str">
        <f aca="false">IF(H109="","",IFERROR(INDEX(tbl_RH[Nom complet],MATCH(H109,tbl_RH[ID RH],0)),""))</f>
        <v/>
      </c>
      <c r="J109" s="213"/>
      <c r="K109" s="213"/>
      <c r="L109" s="213"/>
    </row>
    <row r="110" customFormat="false" ht="15" hidden="false" customHeight="true" outlineLevel="0" collapsed="false">
      <c r="A110" s="213"/>
      <c r="B110" s="213"/>
      <c r="C110" s="214" t="str">
        <f aca="false">IF(B110="","",IFERROR(INDEX(tbl_Projets[Titre complet du projet],MATCH(B110,tbl_Projets[ID Projet],0)),""))</f>
        <v/>
      </c>
      <c r="D110" s="213"/>
      <c r="E110" s="213"/>
      <c r="F110" s="213"/>
      <c r="G110" s="213"/>
      <c r="H110" s="213"/>
      <c r="I110" s="212" t="str">
        <f aca="false">IF(H110="","",IFERROR(INDEX(tbl_RH[Nom complet],MATCH(H110,tbl_RH[ID RH],0)),""))</f>
        <v/>
      </c>
      <c r="J110" s="213"/>
      <c r="K110" s="213"/>
      <c r="L110" s="213"/>
    </row>
    <row r="111" customFormat="false" ht="15" hidden="false" customHeight="true" outlineLevel="0" collapsed="false">
      <c r="A111" s="213"/>
      <c r="B111" s="213"/>
      <c r="C111" s="214" t="str">
        <f aca="false">IF(B111="","",IFERROR(INDEX(tbl_Projets[Titre complet du projet],MATCH(B111,tbl_Projets[ID Projet],0)),""))</f>
        <v/>
      </c>
      <c r="D111" s="213"/>
      <c r="E111" s="213"/>
      <c r="F111" s="213"/>
      <c r="G111" s="213"/>
      <c r="H111" s="213"/>
      <c r="I111" s="212" t="str">
        <f aca="false">IF(H111="","",IFERROR(INDEX(tbl_RH[Nom complet],MATCH(H111,tbl_RH[ID RH],0)),""))</f>
        <v/>
      </c>
      <c r="J111" s="213"/>
      <c r="K111" s="213"/>
      <c r="L111" s="213"/>
    </row>
    <row r="112" customFormat="false" ht="15" hidden="false" customHeight="true" outlineLevel="0" collapsed="false">
      <c r="A112" s="213"/>
      <c r="B112" s="213"/>
      <c r="C112" s="214" t="str">
        <f aca="false">IF(B112="","",IFERROR(INDEX(tbl_Projets[Titre complet du projet],MATCH(B112,tbl_Projets[ID Projet],0)),""))</f>
        <v/>
      </c>
      <c r="D112" s="213"/>
      <c r="E112" s="213"/>
      <c r="F112" s="213"/>
      <c r="G112" s="213"/>
      <c r="H112" s="213"/>
      <c r="I112" s="212" t="str">
        <f aca="false">IF(H112="","",IFERROR(INDEX(tbl_RH[Nom complet],MATCH(H112,tbl_RH[ID RH],0)),""))</f>
        <v/>
      </c>
      <c r="J112" s="213"/>
      <c r="K112" s="213"/>
      <c r="L112" s="213"/>
    </row>
    <row r="113" customFormat="false" ht="15" hidden="false" customHeight="true" outlineLevel="0" collapsed="false">
      <c r="A113" s="213"/>
      <c r="B113" s="213"/>
      <c r="C113" s="214" t="str">
        <f aca="false">IF(B113="","",IFERROR(INDEX(tbl_Projets[Titre complet du projet],MATCH(B113,tbl_Projets[ID Projet],0)),""))</f>
        <v/>
      </c>
      <c r="D113" s="213"/>
      <c r="E113" s="213"/>
      <c r="F113" s="213"/>
      <c r="G113" s="213"/>
      <c r="H113" s="213"/>
      <c r="I113" s="212" t="str">
        <f aca="false">IF(H113="","",IFERROR(INDEX(tbl_RH[Nom complet],MATCH(H113,tbl_RH[ID RH],0)),""))</f>
        <v/>
      </c>
      <c r="J113" s="213"/>
      <c r="K113" s="213"/>
      <c r="L113" s="213"/>
    </row>
    <row r="114" customFormat="false" ht="15" hidden="false" customHeight="true" outlineLevel="0" collapsed="false">
      <c r="A114" s="213"/>
      <c r="B114" s="213"/>
      <c r="C114" s="214" t="str">
        <f aca="false">IF(B114="","",IFERROR(INDEX(tbl_Projets[Titre complet du projet],MATCH(B114,tbl_Projets[ID Projet],0)),""))</f>
        <v/>
      </c>
      <c r="D114" s="213"/>
      <c r="E114" s="213"/>
      <c r="F114" s="213"/>
      <c r="G114" s="213"/>
      <c r="H114" s="213"/>
      <c r="I114" s="212" t="str">
        <f aca="false">IF(H114="","",IFERROR(INDEX(tbl_RH[Nom complet],MATCH(H114,tbl_RH[ID RH],0)),""))</f>
        <v/>
      </c>
      <c r="J114" s="213"/>
      <c r="K114" s="213"/>
      <c r="L114" s="213"/>
    </row>
    <row r="115" customFormat="false" ht="15" hidden="false" customHeight="true" outlineLevel="0" collapsed="false">
      <c r="A115" s="213"/>
      <c r="B115" s="213"/>
      <c r="C115" s="214" t="str">
        <f aca="false">IF(B115="","",IFERROR(INDEX(tbl_Projets[Titre complet du projet],MATCH(B115,tbl_Projets[ID Projet],0)),""))</f>
        <v/>
      </c>
      <c r="D115" s="213"/>
      <c r="E115" s="213"/>
      <c r="F115" s="213"/>
      <c r="G115" s="213"/>
      <c r="H115" s="213"/>
      <c r="I115" s="212" t="str">
        <f aca="false">IF(H115="","",IFERROR(INDEX(tbl_RH[Nom complet],MATCH(H115,tbl_RH[ID RH],0)),""))</f>
        <v/>
      </c>
      <c r="J115" s="213"/>
      <c r="K115" s="213"/>
      <c r="L115" s="213"/>
    </row>
    <row r="116" customFormat="false" ht="15" hidden="false" customHeight="true" outlineLevel="0" collapsed="false">
      <c r="A116" s="213"/>
      <c r="B116" s="213"/>
      <c r="C116" s="214" t="str">
        <f aca="false">IF(B116="","",IFERROR(INDEX(tbl_Projets[Titre complet du projet],MATCH(B116,tbl_Projets[ID Projet],0)),""))</f>
        <v/>
      </c>
      <c r="D116" s="213"/>
      <c r="E116" s="213"/>
      <c r="F116" s="213"/>
      <c r="G116" s="213"/>
      <c r="H116" s="213"/>
      <c r="I116" s="212" t="str">
        <f aca="false">IF(H116="","",IFERROR(INDEX(tbl_RH[Nom complet],MATCH(H116,tbl_RH[ID RH],0)),""))</f>
        <v/>
      </c>
      <c r="J116" s="213"/>
      <c r="K116" s="213"/>
      <c r="L116" s="213"/>
    </row>
    <row r="117" customFormat="false" ht="15" hidden="false" customHeight="true" outlineLevel="0" collapsed="false">
      <c r="A117" s="213"/>
      <c r="B117" s="213"/>
      <c r="C117" s="214" t="str">
        <f aca="false">IF(B117="","",IFERROR(INDEX(tbl_Projets[Titre complet du projet],MATCH(B117,tbl_Projets[ID Projet],0)),""))</f>
        <v/>
      </c>
      <c r="D117" s="213"/>
      <c r="E117" s="213"/>
      <c r="F117" s="213"/>
      <c r="G117" s="213"/>
      <c r="H117" s="213"/>
      <c r="I117" s="212" t="str">
        <f aca="false">IF(H117="","",IFERROR(INDEX(tbl_RH[Nom complet],MATCH(H117,tbl_RH[ID RH],0)),""))</f>
        <v/>
      </c>
      <c r="J117" s="213"/>
      <c r="K117" s="213"/>
      <c r="L117" s="213"/>
    </row>
    <row r="118" customFormat="false" ht="15" hidden="false" customHeight="true" outlineLevel="0" collapsed="false">
      <c r="A118" s="213"/>
      <c r="B118" s="213"/>
      <c r="C118" s="214" t="str">
        <f aca="false">IF(B118="","",IFERROR(INDEX(tbl_Projets[Titre complet du projet],MATCH(B118,tbl_Projets[ID Projet],0)),""))</f>
        <v/>
      </c>
      <c r="D118" s="213"/>
      <c r="E118" s="213"/>
      <c r="F118" s="213"/>
      <c r="G118" s="213"/>
      <c r="H118" s="213"/>
      <c r="I118" s="212" t="str">
        <f aca="false">IF(H118="","",IFERROR(INDEX(tbl_RH[Nom complet],MATCH(H118,tbl_RH[ID RH],0)),""))</f>
        <v/>
      </c>
      <c r="J118" s="213"/>
      <c r="K118" s="213"/>
      <c r="L118" s="213"/>
    </row>
    <row r="119" customFormat="false" ht="15" hidden="false" customHeight="true" outlineLevel="0" collapsed="false">
      <c r="A119" s="213"/>
      <c r="B119" s="213"/>
      <c r="C119" s="214" t="str">
        <f aca="false">IF(B119="","",IFERROR(INDEX(tbl_Projets[Titre complet du projet],MATCH(B119,tbl_Projets[ID Projet],0)),""))</f>
        <v/>
      </c>
      <c r="D119" s="213"/>
      <c r="E119" s="213"/>
      <c r="F119" s="213"/>
      <c r="G119" s="213"/>
      <c r="H119" s="213"/>
      <c r="I119" s="212" t="str">
        <f aca="false">IF(H119="","",IFERROR(INDEX(tbl_RH[Nom complet],MATCH(H119,tbl_RH[ID RH],0)),""))</f>
        <v/>
      </c>
      <c r="J119" s="213"/>
      <c r="K119" s="213"/>
      <c r="L119" s="213"/>
    </row>
    <row r="120" customFormat="false" ht="15" hidden="false" customHeight="true" outlineLevel="0" collapsed="false">
      <c r="A120" s="213"/>
      <c r="B120" s="213"/>
      <c r="C120" s="214" t="str">
        <f aca="false">IF(B120="","",IFERROR(INDEX(tbl_Projets[Titre complet du projet],MATCH(B120,tbl_Projets[ID Projet],0)),""))</f>
        <v/>
      </c>
      <c r="D120" s="213"/>
      <c r="E120" s="213"/>
      <c r="F120" s="213"/>
      <c r="G120" s="213"/>
      <c r="H120" s="213"/>
      <c r="I120" s="212" t="str">
        <f aca="false">IF(H120="","",IFERROR(INDEX(tbl_RH[Nom complet],MATCH(H120,tbl_RH[ID RH],0)),""))</f>
        <v/>
      </c>
      <c r="J120" s="213"/>
      <c r="K120" s="213"/>
      <c r="L120" s="213"/>
    </row>
    <row r="121" customFormat="false" ht="15" hidden="false" customHeight="true" outlineLevel="0" collapsed="false">
      <c r="A121" s="213"/>
      <c r="B121" s="213"/>
      <c r="C121" s="214" t="str">
        <f aca="false">IF(B121="","",IFERROR(INDEX(tbl_Projets[Titre complet du projet],MATCH(B121,tbl_Projets[ID Projet],0)),""))</f>
        <v/>
      </c>
      <c r="D121" s="213"/>
      <c r="E121" s="213"/>
      <c r="F121" s="213"/>
      <c r="G121" s="213"/>
      <c r="H121" s="213"/>
      <c r="I121" s="212" t="str">
        <f aca="false">IF(H121="","",IFERROR(INDEX(tbl_RH[Nom complet],MATCH(H121,tbl_RH[ID RH],0)),""))</f>
        <v/>
      </c>
      <c r="J121" s="213"/>
      <c r="K121" s="213"/>
      <c r="L121" s="213"/>
    </row>
    <row r="122" customFormat="false" ht="15" hidden="false" customHeight="true" outlineLevel="0" collapsed="false">
      <c r="A122" s="213"/>
      <c r="B122" s="213"/>
      <c r="C122" s="214" t="str">
        <f aca="false">IF(B122="","",IFERROR(INDEX(tbl_Projets[Titre complet du projet],MATCH(B122,tbl_Projets[ID Projet],0)),""))</f>
        <v/>
      </c>
      <c r="D122" s="213"/>
      <c r="E122" s="213"/>
      <c r="F122" s="213"/>
      <c r="G122" s="213"/>
      <c r="H122" s="213"/>
      <c r="I122" s="212" t="str">
        <f aca="false">IF(H122="","",IFERROR(INDEX(tbl_RH[Nom complet],MATCH(H122,tbl_RH[ID RH],0)),""))</f>
        <v/>
      </c>
      <c r="J122" s="213"/>
      <c r="K122" s="213"/>
      <c r="L122" s="213"/>
    </row>
    <row r="123" customFormat="false" ht="15" hidden="false" customHeight="true" outlineLevel="0" collapsed="false">
      <c r="A123" s="213"/>
      <c r="B123" s="213"/>
      <c r="C123" s="214" t="str">
        <f aca="false">IF(B123="","",IFERROR(INDEX(tbl_Projets[Titre complet du projet],MATCH(B123,tbl_Projets[ID Projet],0)),""))</f>
        <v/>
      </c>
      <c r="D123" s="213"/>
      <c r="E123" s="213"/>
      <c r="F123" s="213"/>
      <c r="G123" s="213"/>
      <c r="H123" s="213"/>
      <c r="I123" s="212" t="str">
        <f aca="false">IF(H123="","",IFERROR(INDEX(tbl_RH[Nom complet],MATCH(H123,tbl_RH[ID RH],0)),""))</f>
        <v/>
      </c>
      <c r="J123" s="213"/>
      <c r="K123" s="213"/>
      <c r="L123" s="213"/>
    </row>
    <row r="124" customFormat="false" ht="15" hidden="false" customHeight="true" outlineLevel="0" collapsed="false">
      <c r="A124" s="213"/>
      <c r="B124" s="213"/>
      <c r="C124" s="214" t="str">
        <f aca="false">IF(B124="","",IFERROR(INDEX(tbl_Projets[Titre complet du projet],MATCH(B124,tbl_Projets[ID Projet],0)),""))</f>
        <v/>
      </c>
      <c r="D124" s="213"/>
      <c r="E124" s="213"/>
      <c r="F124" s="213"/>
      <c r="G124" s="213"/>
      <c r="H124" s="213"/>
      <c r="I124" s="212" t="str">
        <f aca="false">IF(H124="","",IFERROR(INDEX(tbl_RH[Nom complet],MATCH(H124,tbl_RH[ID RH],0)),""))</f>
        <v/>
      </c>
      <c r="J124" s="213"/>
      <c r="K124" s="213"/>
      <c r="L124" s="213"/>
    </row>
    <row r="125" customFormat="false" ht="15" hidden="false" customHeight="true" outlineLevel="0" collapsed="false">
      <c r="A125" s="213"/>
      <c r="B125" s="213"/>
      <c r="C125" s="214" t="str">
        <f aca="false">IF(B125="","",IFERROR(INDEX(tbl_Projets[Titre complet du projet],MATCH(B125,tbl_Projets[ID Projet],0)),""))</f>
        <v/>
      </c>
      <c r="D125" s="213"/>
      <c r="E125" s="213"/>
      <c r="F125" s="213"/>
      <c r="G125" s="213"/>
      <c r="H125" s="213"/>
      <c r="I125" s="212" t="str">
        <f aca="false">IF(H125="","",IFERROR(INDEX(tbl_RH[Nom complet],MATCH(H125,tbl_RH[ID RH],0)),""))</f>
        <v/>
      </c>
      <c r="J125" s="213"/>
      <c r="K125" s="213"/>
      <c r="L125" s="213"/>
    </row>
    <row r="126" customFormat="false" ht="15" hidden="false" customHeight="true" outlineLevel="0" collapsed="false">
      <c r="A126" s="213"/>
      <c r="B126" s="213"/>
      <c r="C126" s="214" t="str">
        <f aca="false">IF(B126="","",IFERROR(INDEX(tbl_Projets[Titre complet du projet],MATCH(B126,tbl_Projets[ID Projet],0)),""))</f>
        <v/>
      </c>
      <c r="D126" s="213"/>
      <c r="E126" s="213"/>
      <c r="F126" s="213"/>
      <c r="G126" s="213"/>
      <c r="H126" s="213"/>
      <c r="I126" s="212" t="str">
        <f aca="false">IF(H126="","",IFERROR(INDEX(tbl_RH[Nom complet],MATCH(H126,tbl_RH[ID RH],0)),""))</f>
        <v/>
      </c>
      <c r="J126" s="213"/>
      <c r="K126" s="213"/>
      <c r="L126" s="213"/>
    </row>
    <row r="127" customFormat="false" ht="15" hidden="false" customHeight="true" outlineLevel="0" collapsed="false">
      <c r="A127" s="213"/>
      <c r="B127" s="213"/>
      <c r="C127" s="214" t="str">
        <f aca="false">IF(B127="","",IFERROR(INDEX(tbl_Projets[Titre complet du projet],MATCH(B127,tbl_Projets[ID Projet],0)),""))</f>
        <v/>
      </c>
      <c r="D127" s="213"/>
      <c r="E127" s="213"/>
      <c r="F127" s="213"/>
      <c r="G127" s="213"/>
      <c r="H127" s="213"/>
      <c r="I127" s="212" t="str">
        <f aca="false">IF(H127="","",IFERROR(INDEX(tbl_RH[Nom complet],MATCH(H127,tbl_RH[ID RH],0)),""))</f>
        <v/>
      </c>
      <c r="J127" s="213"/>
      <c r="K127" s="213"/>
      <c r="L127" s="213"/>
    </row>
    <row r="128" customFormat="false" ht="15" hidden="false" customHeight="true" outlineLevel="0" collapsed="false">
      <c r="A128" s="213"/>
      <c r="B128" s="213"/>
      <c r="C128" s="214" t="str">
        <f aca="false">IF(B128="","",IFERROR(INDEX(tbl_Projets[Titre complet du projet],MATCH(B128,tbl_Projets[ID Projet],0)),""))</f>
        <v/>
      </c>
      <c r="D128" s="213"/>
      <c r="E128" s="213"/>
      <c r="F128" s="213"/>
      <c r="G128" s="213"/>
      <c r="H128" s="213"/>
      <c r="I128" s="212" t="str">
        <f aca="false">IF(H128="","",IFERROR(INDEX(tbl_RH[Nom complet],MATCH(H128,tbl_RH[ID RH],0)),""))</f>
        <v/>
      </c>
      <c r="J128" s="213"/>
      <c r="K128" s="213"/>
      <c r="L128" s="213"/>
    </row>
    <row r="131" customFormat="false" ht="19.5" hidden="false" customHeight="true" outlineLevel="0" collapsed="false">
      <c r="A131" s="207" t="s">
        <v>2390</v>
      </c>
      <c r="B131" s="207"/>
      <c r="C131" s="207"/>
      <c r="D131" s="207"/>
      <c r="E131" s="207"/>
      <c r="F131" s="207"/>
      <c r="G131" s="207"/>
      <c r="H131" s="207"/>
      <c r="I131" s="207"/>
      <c r="J131" s="207"/>
      <c r="K131" s="207"/>
      <c r="L131" s="207"/>
      <c r="M131" s="207"/>
      <c r="N131" s="207"/>
      <c r="O131" s="207"/>
      <c r="P131" s="207"/>
      <c r="Q131" s="207"/>
      <c r="R131" s="207"/>
      <c r="S131" s="207"/>
      <c r="T131" s="207"/>
      <c r="U131" s="207"/>
    </row>
    <row r="132" customFormat="false" ht="30" hidden="false" customHeight="true" outlineLevel="0" collapsed="false">
      <c r="A132" s="59" t="s">
        <v>1357</v>
      </c>
      <c r="B132" s="59" t="s">
        <v>1570</v>
      </c>
      <c r="C132" s="59" t="s">
        <v>1508</v>
      </c>
      <c r="D132" s="59" t="s">
        <v>2391</v>
      </c>
      <c r="E132" s="59" t="s">
        <v>2392</v>
      </c>
      <c r="F132" s="59" t="s">
        <v>2393</v>
      </c>
      <c r="G132" s="59" t="s">
        <v>2394</v>
      </c>
      <c r="H132" s="59" t="s">
        <v>2395</v>
      </c>
      <c r="I132" s="59" t="s">
        <v>2396</v>
      </c>
    </row>
    <row r="133" customFormat="false" ht="15" hidden="false" customHeight="true" outlineLevel="0" collapsed="false">
      <c r="A133" s="213"/>
      <c r="B133" s="213"/>
      <c r="C133" s="214" t="str">
        <f aca="false">IF(B133="","",IFERROR(INDEX(tbl_Projets[Titre complet du projet],MATCH(B133,tbl_Projets[ID Projet],0)),""))</f>
        <v/>
      </c>
      <c r="D133" s="213"/>
      <c r="E133" s="213"/>
      <c r="F133" s="213"/>
      <c r="G133" s="213"/>
      <c r="H133" s="213"/>
      <c r="I133" s="213"/>
    </row>
    <row r="134" customFormat="false" ht="15" hidden="false" customHeight="true" outlineLevel="0" collapsed="false">
      <c r="A134" s="213"/>
      <c r="B134" s="213"/>
      <c r="C134" s="214" t="str">
        <f aca="false">IF(B134="","",IFERROR(INDEX(tbl_Projets[Titre complet du projet],MATCH(B134,tbl_Projets[ID Projet],0)),""))</f>
        <v/>
      </c>
      <c r="D134" s="213"/>
      <c r="E134" s="213"/>
      <c r="F134" s="213"/>
      <c r="G134" s="213"/>
      <c r="H134" s="213"/>
      <c r="I134" s="213"/>
    </row>
    <row r="135" customFormat="false" ht="15" hidden="false" customHeight="true" outlineLevel="0" collapsed="false">
      <c r="A135" s="213"/>
      <c r="B135" s="213"/>
      <c r="C135" s="214" t="str">
        <f aca="false">IF(B135="","",IFERROR(INDEX(tbl_Projets[Titre complet du projet],MATCH(B135,tbl_Projets[ID Projet],0)),""))</f>
        <v/>
      </c>
      <c r="D135" s="213"/>
      <c r="E135" s="213"/>
      <c r="F135" s="213"/>
      <c r="G135" s="213"/>
      <c r="H135" s="213"/>
      <c r="I135" s="213"/>
    </row>
    <row r="136" customFormat="false" ht="15" hidden="false" customHeight="true" outlineLevel="0" collapsed="false">
      <c r="A136" s="213"/>
      <c r="B136" s="213"/>
      <c r="C136" s="214" t="str">
        <f aca="false">IF(B136="","",IFERROR(INDEX(tbl_Projets[Titre complet du projet],MATCH(B136,tbl_Projets[ID Projet],0)),""))</f>
        <v/>
      </c>
      <c r="D136" s="213"/>
      <c r="E136" s="213"/>
      <c r="F136" s="213"/>
      <c r="G136" s="213"/>
      <c r="H136" s="213"/>
      <c r="I136" s="213"/>
    </row>
    <row r="137" customFormat="false" ht="15" hidden="false" customHeight="true" outlineLevel="0" collapsed="false">
      <c r="A137" s="213"/>
      <c r="B137" s="213"/>
      <c r="C137" s="214" t="str">
        <f aca="false">IF(B137="","",IFERROR(INDEX(tbl_Projets[Titre complet du projet],MATCH(B137,tbl_Projets[ID Projet],0)),""))</f>
        <v/>
      </c>
      <c r="D137" s="213"/>
      <c r="E137" s="213"/>
      <c r="F137" s="213"/>
      <c r="G137" s="213"/>
      <c r="H137" s="213"/>
      <c r="I137" s="213"/>
    </row>
    <row r="138" customFormat="false" ht="15" hidden="false" customHeight="true" outlineLevel="0" collapsed="false">
      <c r="A138" s="213"/>
      <c r="B138" s="213"/>
      <c r="C138" s="214" t="str">
        <f aca="false">IF(B138="","",IFERROR(INDEX(tbl_Projets[Titre complet du projet],MATCH(B138,tbl_Projets[ID Projet],0)),""))</f>
        <v/>
      </c>
      <c r="D138" s="213"/>
      <c r="E138" s="213"/>
      <c r="F138" s="213"/>
      <c r="G138" s="213"/>
      <c r="H138" s="213"/>
      <c r="I138" s="213"/>
    </row>
    <row r="139" customFormat="false" ht="15" hidden="false" customHeight="true" outlineLevel="0" collapsed="false">
      <c r="A139" s="213"/>
      <c r="B139" s="213"/>
      <c r="C139" s="214" t="str">
        <f aca="false">IF(B139="","",IFERROR(INDEX(tbl_Projets[Titre complet du projet],MATCH(B139,tbl_Projets[ID Projet],0)),""))</f>
        <v/>
      </c>
      <c r="D139" s="213"/>
      <c r="E139" s="213"/>
      <c r="F139" s="213"/>
      <c r="G139" s="213"/>
      <c r="H139" s="213"/>
      <c r="I139" s="213"/>
    </row>
    <row r="140" customFormat="false" ht="15" hidden="false" customHeight="true" outlineLevel="0" collapsed="false">
      <c r="A140" s="213"/>
      <c r="B140" s="213"/>
      <c r="C140" s="214" t="str">
        <f aca="false">IF(B140="","",IFERROR(INDEX(tbl_Projets[Titre complet du projet],MATCH(B140,tbl_Projets[ID Projet],0)),""))</f>
        <v/>
      </c>
      <c r="D140" s="213"/>
      <c r="E140" s="213"/>
      <c r="F140" s="213"/>
      <c r="G140" s="213"/>
      <c r="H140" s="213"/>
      <c r="I140" s="213"/>
    </row>
    <row r="141" customFormat="false" ht="15" hidden="false" customHeight="true" outlineLevel="0" collapsed="false">
      <c r="A141" s="213"/>
      <c r="B141" s="213"/>
      <c r="C141" s="214" t="str">
        <f aca="false">IF(B141="","",IFERROR(INDEX(tbl_Projets[Titre complet du projet],MATCH(B141,tbl_Projets[ID Projet],0)),""))</f>
        <v/>
      </c>
      <c r="D141" s="213"/>
      <c r="E141" s="213"/>
      <c r="F141" s="213"/>
      <c r="G141" s="213"/>
      <c r="H141" s="213"/>
      <c r="I141" s="213"/>
    </row>
    <row r="142" customFormat="false" ht="15" hidden="false" customHeight="true" outlineLevel="0" collapsed="false">
      <c r="A142" s="213"/>
      <c r="B142" s="213"/>
      <c r="C142" s="214" t="str">
        <f aca="false">IF(B142="","",IFERROR(INDEX(tbl_Projets[Titre complet du projet],MATCH(B142,tbl_Projets[ID Projet],0)),""))</f>
        <v/>
      </c>
      <c r="D142" s="213"/>
      <c r="E142" s="213"/>
      <c r="F142" s="213"/>
      <c r="G142" s="213"/>
      <c r="H142" s="213"/>
      <c r="I142" s="213"/>
    </row>
    <row r="143" customFormat="false" ht="15" hidden="false" customHeight="true" outlineLevel="0" collapsed="false">
      <c r="A143" s="213"/>
      <c r="B143" s="213"/>
      <c r="C143" s="214" t="str">
        <f aca="false">IF(B143="","",IFERROR(INDEX(tbl_Projets[Titre complet du projet],MATCH(B143,tbl_Projets[ID Projet],0)),""))</f>
        <v/>
      </c>
      <c r="D143" s="213"/>
      <c r="E143" s="213"/>
      <c r="F143" s="213"/>
      <c r="G143" s="213"/>
      <c r="H143" s="213"/>
      <c r="I143" s="213"/>
    </row>
    <row r="144" customFormat="false" ht="15" hidden="false" customHeight="true" outlineLevel="0" collapsed="false">
      <c r="A144" s="213"/>
      <c r="B144" s="213"/>
      <c r="C144" s="214" t="str">
        <f aca="false">IF(B144="","",IFERROR(INDEX(tbl_Projets[Titre complet du projet],MATCH(B144,tbl_Projets[ID Projet],0)),""))</f>
        <v/>
      </c>
      <c r="D144" s="213"/>
      <c r="E144" s="213"/>
      <c r="F144" s="213"/>
      <c r="G144" s="213"/>
      <c r="H144" s="213"/>
      <c r="I144" s="213"/>
    </row>
    <row r="145" customFormat="false" ht="15" hidden="false" customHeight="true" outlineLevel="0" collapsed="false">
      <c r="A145" s="213"/>
      <c r="B145" s="213"/>
      <c r="C145" s="214" t="str">
        <f aca="false">IF(B145="","",IFERROR(INDEX(tbl_Projets[Titre complet du projet],MATCH(B145,tbl_Projets[ID Projet],0)),""))</f>
        <v/>
      </c>
      <c r="D145" s="213"/>
      <c r="E145" s="213"/>
      <c r="F145" s="213"/>
      <c r="G145" s="213"/>
      <c r="H145" s="213"/>
      <c r="I145" s="213"/>
    </row>
    <row r="146" customFormat="false" ht="15" hidden="false" customHeight="true" outlineLevel="0" collapsed="false">
      <c r="A146" s="213"/>
      <c r="B146" s="213"/>
      <c r="C146" s="214" t="str">
        <f aca="false">IF(B146="","",IFERROR(INDEX(tbl_Projets[Titre complet du projet],MATCH(B146,tbl_Projets[ID Projet],0)),""))</f>
        <v/>
      </c>
      <c r="D146" s="213"/>
      <c r="E146" s="213"/>
      <c r="F146" s="213"/>
      <c r="G146" s="213"/>
      <c r="H146" s="213"/>
      <c r="I146" s="213"/>
    </row>
    <row r="147" customFormat="false" ht="15" hidden="false" customHeight="true" outlineLevel="0" collapsed="false">
      <c r="A147" s="213"/>
      <c r="B147" s="213"/>
      <c r="C147" s="214" t="str">
        <f aca="false">IF(B147="","",IFERROR(INDEX(tbl_Projets[Titre complet du projet],MATCH(B147,tbl_Projets[ID Projet],0)),""))</f>
        <v/>
      </c>
      <c r="D147" s="213"/>
      <c r="E147" s="213"/>
      <c r="F147" s="213"/>
      <c r="G147" s="213"/>
      <c r="H147" s="213"/>
      <c r="I147" s="213"/>
    </row>
    <row r="148" customFormat="false" ht="15" hidden="false" customHeight="true" outlineLevel="0" collapsed="false">
      <c r="A148" s="213"/>
      <c r="B148" s="213"/>
      <c r="C148" s="214" t="str">
        <f aca="false">IF(B148="","",IFERROR(INDEX(tbl_Projets[Titre complet du projet],MATCH(B148,tbl_Projets[ID Projet],0)),""))</f>
        <v/>
      </c>
      <c r="D148" s="213"/>
      <c r="E148" s="213"/>
      <c r="F148" s="213"/>
      <c r="G148" s="213"/>
      <c r="H148" s="213"/>
      <c r="I148" s="213"/>
    </row>
    <row r="149" customFormat="false" ht="15" hidden="false" customHeight="true" outlineLevel="0" collapsed="false">
      <c r="A149" s="213"/>
      <c r="B149" s="213"/>
      <c r="C149" s="214" t="str">
        <f aca="false">IF(B149="","",IFERROR(INDEX(tbl_Projets[Titre complet du projet],MATCH(B149,tbl_Projets[ID Projet],0)),""))</f>
        <v/>
      </c>
      <c r="D149" s="213"/>
      <c r="E149" s="213"/>
      <c r="F149" s="213"/>
      <c r="G149" s="213"/>
      <c r="H149" s="213"/>
      <c r="I149" s="213"/>
    </row>
    <row r="150" customFormat="false" ht="15" hidden="false" customHeight="true" outlineLevel="0" collapsed="false">
      <c r="A150" s="213"/>
      <c r="B150" s="213"/>
      <c r="C150" s="214" t="str">
        <f aca="false">IF(B150="","",IFERROR(INDEX(tbl_Projets[Titre complet du projet],MATCH(B150,tbl_Projets[ID Projet],0)),""))</f>
        <v/>
      </c>
      <c r="D150" s="213"/>
      <c r="E150" s="213"/>
      <c r="F150" s="213"/>
      <c r="G150" s="213"/>
      <c r="H150" s="213"/>
      <c r="I150" s="213"/>
    </row>
    <row r="151" customFormat="false" ht="15" hidden="false" customHeight="true" outlineLevel="0" collapsed="false">
      <c r="A151" s="213"/>
      <c r="B151" s="213"/>
      <c r="C151" s="214" t="str">
        <f aca="false">IF(B151="","",IFERROR(INDEX(tbl_Projets[Titre complet du projet],MATCH(B151,tbl_Projets[ID Projet],0)),""))</f>
        <v/>
      </c>
      <c r="D151" s="213"/>
      <c r="E151" s="213"/>
      <c r="F151" s="213"/>
      <c r="G151" s="213"/>
      <c r="H151" s="213"/>
      <c r="I151" s="213"/>
    </row>
    <row r="152" customFormat="false" ht="15" hidden="false" customHeight="true" outlineLevel="0" collapsed="false">
      <c r="A152" s="213"/>
      <c r="B152" s="213"/>
      <c r="C152" s="214" t="str">
        <f aca="false">IF(B152="","",IFERROR(INDEX(tbl_Projets[Titre complet du projet],MATCH(B152,tbl_Projets[ID Projet],0)),""))</f>
        <v/>
      </c>
      <c r="D152" s="213"/>
      <c r="E152" s="213"/>
      <c r="F152" s="213"/>
      <c r="G152" s="213"/>
      <c r="H152" s="213"/>
      <c r="I152" s="213"/>
    </row>
    <row r="155" customFormat="false" ht="19.5" hidden="false" customHeight="true" outlineLevel="0" collapsed="false">
      <c r="A155" s="207" t="s">
        <v>2397</v>
      </c>
      <c r="B155" s="207"/>
      <c r="C155" s="207"/>
      <c r="D155" s="207"/>
      <c r="E155" s="207"/>
      <c r="F155" s="207"/>
      <c r="G155" s="207"/>
      <c r="H155" s="207"/>
      <c r="I155" s="207"/>
      <c r="J155" s="207"/>
      <c r="K155" s="207"/>
      <c r="L155" s="207"/>
      <c r="M155" s="207"/>
      <c r="N155" s="207"/>
      <c r="O155" s="207"/>
      <c r="P155" s="207"/>
      <c r="Q155" s="207"/>
      <c r="R155" s="207"/>
      <c r="S155" s="207"/>
      <c r="T155" s="207"/>
      <c r="U155" s="207"/>
    </row>
    <row r="156" customFormat="false" ht="30" hidden="false" customHeight="true" outlineLevel="0" collapsed="false">
      <c r="A156" s="59" t="s">
        <v>2398</v>
      </c>
      <c r="B156" s="59" t="s">
        <v>1357</v>
      </c>
      <c r="C156" s="59" t="s">
        <v>1754</v>
      </c>
      <c r="D156" s="59" t="s">
        <v>1570</v>
      </c>
      <c r="E156" s="59" t="s">
        <v>1508</v>
      </c>
      <c r="F156" s="59" t="s">
        <v>2399</v>
      </c>
      <c r="G156" s="59" t="s">
        <v>2400</v>
      </c>
      <c r="H156" s="59" t="s">
        <v>2401</v>
      </c>
      <c r="I156" s="59" t="s">
        <v>1757</v>
      </c>
    </row>
    <row r="157" customFormat="false" ht="15" hidden="false" customHeight="true" outlineLevel="0" collapsed="false">
      <c r="A157" s="213"/>
      <c r="B157" s="213"/>
      <c r="C157" s="213"/>
      <c r="D157" s="213"/>
      <c r="E157" s="214" t="str">
        <f aca="false">IF(D157="","",IFERROR(INDEX(tbl_Projets[Titre complet du projet],MATCH(D157,tbl_Projets[ID Projet],0)),""))</f>
        <v/>
      </c>
      <c r="F157" s="213"/>
      <c r="G157" s="213"/>
      <c r="H157" s="213"/>
      <c r="I157" s="213"/>
    </row>
    <row r="158" customFormat="false" ht="15" hidden="false" customHeight="true" outlineLevel="0" collapsed="false">
      <c r="A158" s="213"/>
      <c r="B158" s="213"/>
      <c r="C158" s="213"/>
      <c r="D158" s="213"/>
      <c r="E158" s="214" t="str">
        <f aca="false">IF(D158="","",IFERROR(INDEX(tbl_Projets[Titre complet du projet],MATCH(D158,tbl_Projets[ID Projet],0)),""))</f>
        <v/>
      </c>
      <c r="F158" s="213"/>
      <c r="G158" s="213"/>
      <c r="H158" s="213"/>
      <c r="I158" s="213"/>
    </row>
    <row r="159" customFormat="false" ht="15" hidden="false" customHeight="true" outlineLevel="0" collapsed="false">
      <c r="A159" s="213"/>
      <c r="B159" s="213"/>
      <c r="C159" s="213"/>
      <c r="D159" s="213"/>
      <c r="E159" s="214" t="str">
        <f aca="false">IF(D159="","",IFERROR(INDEX(tbl_Projets[Titre complet du projet],MATCH(D159,tbl_Projets[ID Projet],0)),""))</f>
        <v/>
      </c>
      <c r="F159" s="213"/>
      <c r="G159" s="213"/>
      <c r="H159" s="213"/>
      <c r="I159" s="213"/>
    </row>
    <row r="160" customFormat="false" ht="15" hidden="false" customHeight="true" outlineLevel="0" collapsed="false">
      <c r="A160" s="213"/>
      <c r="B160" s="213"/>
      <c r="C160" s="213"/>
      <c r="D160" s="213"/>
      <c r="E160" s="214" t="str">
        <f aca="false">IF(D160="","",IFERROR(INDEX(tbl_Projets[Titre complet du projet],MATCH(D160,tbl_Projets[ID Projet],0)),""))</f>
        <v/>
      </c>
      <c r="F160" s="213"/>
      <c r="G160" s="213"/>
      <c r="H160" s="213"/>
      <c r="I160" s="213"/>
    </row>
    <row r="161" customFormat="false" ht="15" hidden="false" customHeight="true" outlineLevel="0" collapsed="false">
      <c r="A161" s="213"/>
      <c r="B161" s="213"/>
      <c r="C161" s="213"/>
      <c r="D161" s="213"/>
      <c r="E161" s="214" t="str">
        <f aca="false">IF(D161="","",IFERROR(INDEX(tbl_Projets[Titre complet du projet],MATCH(D161,tbl_Projets[ID Projet],0)),""))</f>
        <v/>
      </c>
      <c r="F161" s="213"/>
      <c r="G161" s="213"/>
      <c r="H161" s="213"/>
      <c r="I161" s="213"/>
    </row>
    <row r="162" customFormat="false" ht="15" hidden="false" customHeight="true" outlineLevel="0" collapsed="false">
      <c r="A162" s="213"/>
      <c r="B162" s="213"/>
      <c r="C162" s="213"/>
      <c r="D162" s="213"/>
      <c r="E162" s="214" t="str">
        <f aca="false">IF(D162="","",IFERROR(INDEX(tbl_Projets[Titre complet du projet],MATCH(D162,tbl_Projets[ID Projet],0)),""))</f>
        <v/>
      </c>
      <c r="F162" s="213"/>
      <c r="G162" s="213"/>
      <c r="H162" s="213"/>
      <c r="I162" s="213"/>
    </row>
    <row r="163" customFormat="false" ht="15" hidden="false" customHeight="true" outlineLevel="0" collapsed="false">
      <c r="A163" s="213"/>
      <c r="B163" s="213"/>
      <c r="C163" s="213"/>
      <c r="D163" s="213"/>
      <c r="E163" s="214" t="str">
        <f aca="false">IF(D163="","",IFERROR(INDEX(tbl_Projets[Titre complet du projet],MATCH(D163,tbl_Projets[ID Projet],0)),""))</f>
        <v/>
      </c>
      <c r="F163" s="213"/>
      <c r="G163" s="213"/>
      <c r="H163" s="213"/>
      <c r="I163" s="213"/>
    </row>
    <row r="164" customFormat="false" ht="15" hidden="false" customHeight="true" outlineLevel="0" collapsed="false">
      <c r="A164" s="213"/>
      <c r="B164" s="213"/>
      <c r="C164" s="213"/>
      <c r="D164" s="213"/>
      <c r="E164" s="214" t="str">
        <f aca="false">IF(D164="","",IFERROR(INDEX(tbl_Projets[Titre complet du projet],MATCH(D164,tbl_Projets[ID Projet],0)),""))</f>
        <v/>
      </c>
      <c r="F164" s="213"/>
      <c r="G164" s="213"/>
      <c r="H164" s="213"/>
      <c r="I164" s="213"/>
    </row>
    <row r="165" customFormat="false" ht="15" hidden="false" customHeight="true" outlineLevel="0" collapsed="false">
      <c r="A165" s="213"/>
      <c r="B165" s="213"/>
      <c r="C165" s="213"/>
      <c r="D165" s="213"/>
      <c r="E165" s="214" t="str">
        <f aca="false">IF(D165="","",IFERROR(INDEX(tbl_Projets[Titre complet du projet],MATCH(D165,tbl_Projets[ID Projet],0)),""))</f>
        <v/>
      </c>
      <c r="F165" s="213"/>
      <c r="G165" s="213"/>
      <c r="H165" s="213"/>
      <c r="I165" s="213"/>
    </row>
    <row r="166" customFormat="false" ht="15" hidden="false" customHeight="true" outlineLevel="0" collapsed="false">
      <c r="A166" s="213"/>
      <c r="B166" s="213"/>
      <c r="C166" s="213"/>
      <c r="D166" s="213"/>
      <c r="E166" s="214" t="str">
        <f aca="false">IF(D166="","",IFERROR(INDEX(tbl_Projets[Titre complet du projet],MATCH(D166,tbl_Projets[ID Projet],0)),""))</f>
        <v/>
      </c>
      <c r="F166" s="213"/>
      <c r="G166" s="213"/>
      <c r="H166" s="213"/>
      <c r="I166" s="213"/>
    </row>
    <row r="167" customFormat="false" ht="15" hidden="false" customHeight="true" outlineLevel="0" collapsed="false">
      <c r="A167" s="213"/>
      <c r="B167" s="213"/>
      <c r="C167" s="213"/>
      <c r="D167" s="213"/>
      <c r="E167" s="214" t="str">
        <f aca="false">IF(D167="","",IFERROR(INDEX(tbl_Projets[Titre complet du projet],MATCH(D167,tbl_Projets[ID Projet],0)),""))</f>
        <v/>
      </c>
      <c r="F167" s="213"/>
      <c r="G167" s="213"/>
      <c r="H167" s="213"/>
      <c r="I167" s="213"/>
    </row>
    <row r="168" customFormat="false" ht="15" hidden="false" customHeight="true" outlineLevel="0" collapsed="false">
      <c r="A168" s="213"/>
      <c r="B168" s="213"/>
      <c r="C168" s="213"/>
      <c r="D168" s="213"/>
      <c r="E168" s="214" t="str">
        <f aca="false">IF(D168="","",IFERROR(INDEX(tbl_Projets[Titre complet du projet],MATCH(D168,tbl_Projets[ID Projet],0)),""))</f>
        <v/>
      </c>
      <c r="F168" s="213"/>
      <c r="G168" s="213"/>
      <c r="H168" s="213"/>
      <c r="I168" s="213"/>
    </row>
    <row r="169" customFormat="false" ht="15" hidden="false" customHeight="true" outlineLevel="0" collapsed="false">
      <c r="A169" s="213"/>
      <c r="B169" s="213"/>
      <c r="C169" s="213"/>
      <c r="D169" s="213"/>
      <c r="E169" s="214" t="str">
        <f aca="false">IF(D169="","",IFERROR(INDEX(tbl_Projets[Titre complet du projet],MATCH(D169,tbl_Projets[ID Projet],0)),""))</f>
        <v/>
      </c>
      <c r="F169" s="213"/>
      <c r="G169" s="213"/>
      <c r="H169" s="213"/>
      <c r="I169" s="213"/>
    </row>
    <row r="170" customFormat="false" ht="15" hidden="false" customHeight="true" outlineLevel="0" collapsed="false">
      <c r="A170" s="213"/>
      <c r="B170" s="213"/>
      <c r="C170" s="213"/>
      <c r="D170" s="213"/>
      <c r="E170" s="214" t="str">
        <f aca="false">IF(D170="","",IFERROR(INDEX(tbl_Projets[Titre complet du projet],MATCH(D170,tbl_Projets[ID Projet],0)),""))</f>
        <v/>
      </c>
      <c r="F170" s="213"/>
      <c r="G170" s="213"/>
      <c r="H170" s="213"/>
      <c r="I170" s="213"/>
    </row>
    <row r="171" customFormat="false" ht="15" hidden="false" customHeight="true" outlineLevel="0" collapsed="false">
      <c r="A171" s="213"/>
      <c r="B171" s="213"/>
      <c r="C171" s="213"/>
      <c r="D171" s="213"/>
      <c r="E171" s="214" t="str">
        <f aca="false">IF(D171="","",IFERROR(INDEX(tbl_Projets[Titre complet du projet],MATCH(D171,tbl_Projets[ID Projet],0)),""))</f>
        <v/>
      </c>
      <c r="F171" s="213"/>
      <c r="G171" s="213"/>
      <c r="H171" s="213"/>
      <c r="I171" s="213"/>
    </row>
  </sheetData>
  <mergeCells count="9">
    <mergeCell ref="A1:P1"/>
    <mergeCell ref="A2:U2"/>
    <mergeCell ref="A4:U4"/>
    <mergeCell ref="A6:U6"/>
    <mergeCell ref="A10:U10"/>
    <mergeCell ref="A53:U53"/>
    <mergeCell ref="A107:U107"/>
    <mergeCell ref="A131:U131"/>
    <mergeCell ref="A155:U155"/>
  </mergeCells>
  <conditionalFormatting sqref="E12:E51">
    <cfRule type="cellIs" priority="2" operator="lessThan" aboveAverage="0" equalAverage="0" bottom="0" percent="0" rank="0" text="" dxfId="20">
      <formula>0.8</formula>
    </cfRule>
    <cfRule type="cellIs" priority="3" operator="between" aboveAverage="0" equalAverage="0" bottom="0" percent="0" rank="0" text="" dxfId="21">
      <formula>0.8</formula>
      <formula>0.99</formula>
    </cfRule>
    <cfRule type="cellIs" priority="4" operator="greaterThanOrEqual" aboveAverage="0" equalAverage="0" bottom="0" percent="0" rank="0" text="" dxfId="22">
      <formula>1</formula>
    </cfRule>
  </conditionalFormatting>
  <conditionalFormatting sqref="AD55:AD104">
    <cfRule type="cellIs" priority="5" operator="lessThan" aboveAverage="0" equalAverage="0" bottom="0" percent="0" rank="0" text="" dxfId="20">
      <formula>0.8</formula>
    </cfRule>
    <cfRule type="cellIs" priority="6" operator="between" aboveAverage="0" equalAverage="0" bottom="0" percent="0" rank="0" text="" dxfId="21">
      <formula>0.8</formula>
      <formula>0.99</formula>
    </cfRule>
    <cfRule type="cellIs" priority="7" operator="greaterThanOrEqual" aboveAverage="0" equalAverage="0" bottom="0" percent="0" rank="0" text="" dxfId="22">
      <formula>1</formula>
    </cfRule>
  </conditionalFormatting>
  <conditionalFormatting sqref="AG55:AG104">
    <cfRule type="expression" priority="8" aboveAverage="0" equalAverage="0" bottom="0" percent="0" rank="0" text="" dxfId="20">
      <formula>AG55="Critique"</formula>
    </cfRule>
    <cfRule type="expression" priority="9" aboveAverage="0" equalAverage="0" bottom="0" percent="0" rank="0" text="" dxfId="21">
      <formula>AG55="Faible"</formula>
    </cfRule>
    <cfRule type="expression" priority="10" aboveAverage="0" equalAverage="0" bottom="0" percent="0" rank="0" text="" dxfId="22">
      <formula>OR(AG55="Excellent",AG55="Bon")</formula>
    </cfRule>
  </conditionalFormatting>
  <conditionalFormatting sqref="AY55:AY104">
    <cfRule type="expression" priority="11" aboveAverage="0" equalAverage="0" bottom="0" percent="0" rank="0" text="" dxfId="20">
      <formula>AY55="Cible non atteinte"</formula>
    </cfRule>
    <cfRule type="expression" priority="12" aboveAverage="0" equalAverage="0" bottom="0" percent="0" rank="0" text="" dxfId="21">
      <formula>AY55="Donnee manquante"</formula>
    </cfRule>
    <cfRule type="expression" priority="13" aboveAverage="0" equalAverage="0" bottom="0" percent="0" rank="0" text="" dxfId="21">
      <formula>AY55="A surveiller"</formula>
    </cfRule>
    <cfRule type="expression" priority="14" aboveAverage="0" equalAverage="0" bottom="0" percent="0" rank="0" text="" dxfId="22">
      <formula>AY55="OK"</formula>
    </cfRule>
  </conditionalFormatting>
  <conditionalFormatting sqref="K109:K128">
    <cfRule type="expression" priority="15" aboveAverage="0" equalAverage="0" bottom="0" percent="0" rank="0" text="" dxfId="20">
      <formula>K109="En retard"</formula>
    </cfRule>
    <cfRule type="expression" priority="16" aboveAverage="0" equalAverage="0" bottom="0" percent="0" rank="0" text="" dxfId="22">
      <formula>K109="Termine"</formula>
    </cfRule>
    <cfRule type="expression" priority="17" aboveAverage="0" equalAverage="0" bottom="0" percent="0" rank="0" text="" dxfId="21">
      <formula>K109="En cours"</formula>
    </cfRule>
  </conditionalFormatting>
  <dataValidations count="19">
    <dataValidation allowBlank="true" errorStyle="stop" operator="between" showDropDown="false" showErrorMessage="false" showInputMessage="false" sqref="M7" type="list">
      <formula1>"2024,2025,2026,2027,2028,2029,2030,2031,2032,2033,Total"</formula1>
      <formula2>0</formula2>
    </dataValidation>
    <dataValidation allowBlank="true" errorStyle="stop" operator="between" showDropDown="false" showErrorMessage="false" showInputMessage="false" sqref="B55:B104" type="list">
      <formula1>Liste_ActivitesIDProjets</formula1>
      <formula2>0</formula2>
    </dataValidation>
    <dataValidation allowBlank="true" errorStyle="stop" operator="between" showDropDown="false" showErrorMessage="false" showInputMessage="false" sqref="F55:F104" type="list">
      <formula1>Liste_ActivitesID</formula1>
      <formula2>0</formula2>
    </dataValidation>
    <dataValidation allowBlank="true" errorStyle="stop" operator="between" showDropDown="false" showErrorMessage="false" showInputMessage="false" sqref="I55:I104" type="list">
      <formula1>"Impact,Effet,Produit / Resultat,Activite,Intrant"</formula1>
      <formula2>0</formula2>
    </dataValidation>
    <dataValidation allowBlank="true" errorStyle="stop" operator="between" showDropDown="false" showErrorMessage="false" showInputMessage="false" sqref="O55:O104" type="list">
      <formula1>"Quantitatif,Qualitatif,Produit,Effet,Impact,Processus,Performance,Financier,Genre,Environnemental,Autre"</formula1>
      <formula2>0</formula2>
    </dataValidation>
    <dataValidation allowBlank="true" errorStyle="stop" operator="between" showDropDown="false" showErrorMessage="false" showInputMessage="false" sqref="P55:P104" type="list">
      <formula1>Liste_UnitesMesure</formula1>
      <formula2>0</formula2>
    </dataValidation>
    <dataValidation allowBlank="true" errorStyle="stop" operator="between" showDropDown="false" showErrorMessage="false" showInputMessage="false" sqref="R55:R104" type="list">
      <formula1>"Hebdomadaire,Mensuelle,Trimestrielle,Semestrielle,Annuelle,A la fin du projet,Ponctuelle"</formula1>
      <formula2>0</formula2>
    </dataValidation>
    <dataValidation allowBlank="true" errorStyle="stop" operator="between" showDropDown="false" showErrorMessage="false" showInputMessage="false" sqref="S55:S104" type="list">
      <formula1>Liste_RHID</formula1>
      <formula2>0</formula2>
    </dataValidation>
    <dataValidation allowBlank="true" errorStyle="stop" operator="between" showDropDown="false" showErrorMessage="false" showInputMessage="false" sqref="AO55:AO104" type="list">
      <formula1>Liste_ZonesGeo</formula1>
      <formula2>0</formula2>
    </dataValidation>
    <dataValidation allowBlank="true" errorStyle="stop" operator="between" showDropDown="false" showErrorMessage="false" showInputMessage="false" sqref="AR55:AR104" type="list">
      <formula1>"Rapport,Liste de presence,Enquete,Questionnaire,Base de donnees,Photo,Video,Document administratif,Registre,Entretien,Observation,Autre"</formula1>
      <formula2>0</formula2>
    </dataValidation>
    <dataValidation allowBlank="true" errorStyle="stop" operator="between" showDropDown="false" showErrorMessage="false" showInputMessage="false" sqref="AS55:AS104" type="list">
      <formula1>"Enquete,Questionnaire,Observation,Entretien,Registre,Revue documentaire,Autre"</formula1>
      <formula2>0</formula2>
    </dataValidation>
    <dataValidation allowBlank="true" errorStyle="stop" operator="between" showDropDown="false" showErrorMessage="false" showInputMessage="false" sqref="AW55:AW104" type="list">
      <formula1>"Bonne,Moyenne,Faible"</formula1>
      <formula2>0</formula2>
    </dataValidation>
    <dataValidation allowBlank="true" errorStyle="stop" operator="between" showDropDown="false" showErrorMessage="false" showInputMessage="false" sqref="B109:B128" type="list">
      <formula1>Liste_ActivitesIDProjets</formula1>
      <formula2>0</formula2>
    </dataValidation>
    <dataValidation allowBlank="true" errorStyle="stop" operator="between" showDropDown="false" showErrorMessage="false" showInputMessage="false" sqref="E109:E128" type="list">
      <formula1>Liste_NiveauxRisque</formula1>
      <formula2>0</formula2>
    </dataValidation>
    <dataValidation allowBlank="true" errorStyle="stop" operator="between" showDropDown="false" showErrorMessage="false" showInputMessage="false" sqref="H109:H128" type="list">
      <formula1>Liste_RHID</formula1>
      <formula2>0</formula2>
    </dataValidation>
    <dataValidation allowBlank="true" errorStyle="stop" operator="between" showDropDown="false" showErrorMessage="false" showInputMessage="false" sqref="K109:K128" type="list">
      <formula1>"A faire,En cours,Termine,En retard,Abandonne"</formula1>
      <formula2>0</formula2>
    </dataValidation>
    <dataValidation allowBlank="true" errorStyle="stop" operator="between" showDropDown="false" showErrorMessage="false" showInputMessage="false" sqref="B133:B152" type="list">
      <formula1>Liste_ActivitesIDProjets</formula1>
      <formula2>0</formula2>
    </dataValidation>
    <dataValidation allowBlank="true" errorStyle="stop" operator="between" showDropDown="false" showErrorMessage="false" showInputMessage="false" sqref="A157:A171" type="list">
      <formula1>"Evaluation initiale,Evaluation intermediaire,Evaluation finale,Evaluation d''impact,Evaluation externe,Evaluation interne"</formula1>
      <formula2>0</formula2>
    </dataValidation>
    <dataValidation allowBlank="true" errorStyle="stop" operator="between" showDropDown="false" showErrorMessage="false" showInputMessage="false" sqref="D157:D171" type="list">
      <formula1>Liste_ActivitesIDProjets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4F72"/>
    <pageSetUpPr fitToPage="true"/>
  </sheetPr>
  <dimension ref="A1:N3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C6" activeCellId="0" sqref="C6"/>
    </sheetView>
  </sheetViews>
  <sheetFormatPr defaultColWidth="8.71484375" defaultRowHeight="15" customHeight="true"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18"/>
    <col collapsed="false" customWidth="true" hidden="false" outlineLevel="0" max="4" min="4" style="1" width="16"/>
    <col collapsed="false" customWidth="true" hidden="false" outlineLevel="0" max="5" min="5" style="1" width="18"/>
    <col collapsed="false" customWidth="true" hidden="false" outlineLevel="0" max="6" min="6" style="1" width="16"/>
    <col collapsed="false" customWidth="true" hidden="false" outlineLevel="0" max="9" min="7" style="1" width="14"/>
    <col collapsed="false" customWidth="true" hidden="false" outlineLevel="0" max="10" min="10" style="1" width="16"/>
    <col collapsed="false" customWidth="true" hidden="false" outlineLevel="0" max="14" min="11" style="1" width="14"/>
  </cols>
  <sheetData>
    <row r="1" customFormat="false" ht="25.5" hidden="false" customHeight="true" outlineLevel="0" collapsed="false">
      <c r="A1" s="30" t="s">
        <v>2402</v>
      </c>
      <c r="B1" s="30"/>
      <c r="C1" s="30"/>
      <c r="D1" s="30"/>
      <c r="E1" s="30"/>
      <c r="F1" s="30"/>
      <c r="G1" s="30"/>
      <c r="H1" s="30"/>
      <c r="I1" s="30"/>
      <c r="J1" s="30"/>
      <c r="K1" s="30"/>
      <c r="L1" s="30"/>
      <c r="M1" s="30"/>
      <c r="N1" s="30"/>
    </row>
    <row r="2" customFormat="false" ht="15.75" hidden="false" customHeight="true" outlineLevel="0" collapsed="false">
      <c r="A2" s="217" t="s">
        <v>2403</v>
      </c>
      <c r="B2" s="217"/>
      <c r="C2" s="217"/>
      <c r="D2" s="217"/>
      <c r="E2" s="217"/>
      <c r="F2" s="217"/>
      <c r="G2" s="217"/>
      <c r="H2" s="217"/>
      <c r="I2" s="217"/>
      <c r="J2" s="217"/>
      <c r="K2" s="217"/>
      <c r="L2" s="217"/>
      <c r="M2" s="217"/>
      <c r="N2" s="217"/>
    </row>
    <row r="3" customFormat="false" ht="24" hidden="false" customHeight="true" outlineLevel="0" collapsed="false">
      <c r="A3" s="218" t="s">
        <v>2404</v>
      </c>
      <c r="B3" s="218"/>
      <c r="C3" s="218"/>
      <c r="D3" s="218"/>
      <c r="E3" s="218"/>
      <c r="F3" s="218"/>
      <c r="G3" s="218"/>
      <c r="H3" s="218"/>
      <c r="I3" s="218"/>
      <c r="J3" s="218"/>
      <c r="K3" s="218"/>
      <c r="L3" s="218"/>
      <c r="M3" s="218"/>
      <c r="N3" s="218"/>
    </row>
    <row r="5" customFormat="false" ht="19.5" hidden="false" customHeight="true" outlineLevel="0" collapsed="false">
      <c r="A5" s="219" t="s">
        <v>2405</v>
      </c>
      <c r="B5" s="219"/>
      <c r="C5" s="219"/>
      <c r="D5" s="219"/>
      <c r="E5" s="219"/>
      <c r="F5" s="219"/>
      <c r="G5" s="219"/>
      <c r="H5" s="219"/>
      <c r="I5" s="219"/>
      <c r="J5" s="219"/>
      <c r="K5" s="219"/>
      <c r="L5" s="219"/>
      <c r="M5" s="219"/>
      <c r="N5" s="219"/>
    </row>
    <row r="6" customFormat="false" ht="15" hidden="false" customHeight="true" outlineLevel="0" collapsed="false">
      <c r="A6" s="220" t="s">
        <v>2406</v>
      </c>
      <c r="C6" s="221" t="n">
        <v>2032</v>
      </c>
      <c r="E6" s="220" t="s">
        <v>2407</v>
      </c>
      <c r="G6" s="221" t="s">
        <v>1539</v>
      </c>
      <c r="I6" s="220" t="s">
        <v>2408</v>
      </c>
      <c r="L6" s="221"/>
    </row>
    <row r="7" customFormat="false" ht="15" hidden="false" customHeight="true" outlineLevel="0" collapsed="false">
      <c r="A7" s="220" t="s">
        <v>2409</v>
      </c>
      <c r="C7" s="222" t="n">
        <f aca="true">TODAY()</f>
        <v>46266</v>
      </c>
      <c r="E7" s="220" t="s">
        <v>2410</v>
      </c>
      <c r="G7" s="223" t="s">
        <v>2411</v>
      </c>
    </row>
    <row r="9" customFormat="false" ht="19.5" hidden="false" customHeight="true" outlineLevel="0" collapsed="false">
      <c r="A9" s="219" t="s">
        <v>2412</v>
      </c>
      <c r="B9" s="219"/>
      <c r="C9" s="219"/>
      <c r="D9" s="219"/>
      <c r="E9" s="219"/>
      <c r="F9" s="219"/>
      <c r="G9" s="219"/>
      <c r="H9" s="219"/>
      <c r="I9" s="219"/>
      <c r="J9" s="219"/>
      <c r="K9" s="219"/>
      <c r="L9" s="219"/>
      <c r="M9" s="219"/>
      <c r="N9" s="219"/>
    </row>
    <row r="10" customFormat="false" ht="25.5" hidden="false" customHeight="true" outlineLevel="0" collapsed="false">
      <c r="A10" s="224" t="s">
        <v>1638</v>
      </c>
      <c r="B10" s="224"/>
      <c r="C10" s="224"/>
      <c r="D10" s="224"/>
      <c r="E10" s="224"/>
      <c r="F10" s="224"/>
      <c r="G10" s="224"/>
      <c r="H10" s="224"/>
      <c r="I10" s="224"/>
      <c r="J10" s="224" t="s">
        <v>1548</v>
      </c>
      <c r="K10" s="224"/>
      <c r="L10" s="224"/>
      <c r="M10" s="224"/>
      <c r="N10" s="224"/>
    </row>
    <row r="11" customFormat="false" ht="15" hidden="false" customHeight="true" outlineLevel="0" collapsed="false">
      <c r="A11" s="225" t="s">
        <v>1412</v>
      </c>
      <c r="B11" s="225"/>
      <c r="C11" s="225"/>
      <c r="D11" s="225"/>
      <c r="E11" s="225"/>
      <c r="F11" s="225"/>
      <c r="G11" s="225"/>
      <c r="H11" s="225"/>
      <c r="I11" s="225"/>
      <c r="J11" s="226" t="n">
        <f aca="false">IF($C$6="Total",COUNTIF(PROJETS!$A$56:$A$95,"PROJ*"),COUNTIFS(PROJETS!$A$56:$A$95,"PROJ*",PROJETS!$X$56:$X$95,"&gt;="&amp;DATE(VALUE($C$6),1,1),PROJETS!$X$56:$X$95,"&lt;"&amp;DATE(VALUE($C$6)+1,1,1)))</f>
        <v>0</v>
      </c>
    </row>
    <row r="12" customFormat="false" ht="15" hidden="false" customHeight="true" outlineLevel="0" collapsed="false">
      <c r="A12" s="227" t="s">
        <v>2413</v>
      </c>
      <c r="B12" s="227"/>
      <c r="C12" s="227"/>
      <c r="D12" s="227"/>
      <c r="E12" s="227"/>
      <c r="F12" s="227"/>
      <c r="G12" s="227"/>
      <c r="H12" s="227"/>
      <c r="I12" s="227"/>
      <c r="J12" s="228" t="n">
        <f aca="false">IF($C$6="Total",COUNTIFS(PROJETS!$A$56:$A$95,"PROJ*",PROJETS!$AD$56:$AD$95,"En cours"),COUNTIFS(PROJETS!$A$56:$A$95,"PROJ*",PROJETS!$AD$56:$AD$95,"En cours",PROJETS!$X$56:$X$95,"&gt;="&amp;DATE(VALUE($C$6),1,1),PROJETS!$X$56:$X$95,"&lt;"&amp;DATE(VALUE($C$6)+1,1,1)))</f>
        <v>0</v>
      </c>
      <c r="K12" s="229"/>
      <c r="L12" s="229"/>
      <c r="M12" s="229"/>
      <c r="N12" s="229"/>
    </row>
    <row r="13" customFormat="false" ht="15" hidden="false" customHeight="true" outlineLevel="0" collapsed="false">
      <c r="A13" s="225" t="s">
        <v>1615</v>
      </c>
      <c r="B13" s="225"/>
      <c r="C13" s="225"/>
      <c r="D13" s="225"/>
      <c r="E13" s="225"/>
      <c r="F13" s="225"/>
      <c r="G13" s="225"/>
      <c r="H13" s="225"/>
      <c r="I13" s="225"/>
      <c r="J13" s="226" t="n">
        <f aca="false">IF($C$6="Total",COUNTIFS(ACTIVITES!$A$56:$A$105,"ACT*",ACTIVITES!$Z$56:$Z$105,"Realisee"),COUNTIFS(ACTIVITES!$A$56:$A$105,"ACT*",ACTIVITES!$Z$56:$Z$105,"Realisee",ACTIVITES!$S$56:$S$105,$C$6))</f>
        <v>0</v>
      </c>
    </row>
    <row r="14" customFormat="false" ht="15" hidden="false" customHeight="true" outlineLevel="0" collapsed="false">
      <c r="A14" s="227" t="s">
        <v>2414</v>
      </c>
      <c r="B14" s="227"/>
      <c r="C14" s="227"/>
      <c r="D14" s="227"/>
      <c r="E14" s="227"/>
      <c r="F14" s="227"/>
      <c r="G14" s="227"/>
      <c r="H14" s="227"/>
      <c r="I14" s="227"/>
      <c r="J14" s="228" t="n">
        <f aca="false">IF($C$6="Total",COUNTIF(BENEFICIAIRES!$A$56:$A$115,"BEN*"),COUNTIFS(BENEFICIAIRES!$A$56:$A$115,"BEN*",BENEFICIAIRES!$BB$56:$BB$115,"&gt;="&amp;DATE(VALUE($C$6),1,1),BENEFICIAIRES!$BB$56:$BB$115,"&lt;"&amp;DATE(VALUE($C$6)+1,1,1)))</f>
        <v>0</v>
      </c>
      <c r="K14" s="229"/>
      <c r="L14" s="229"/>
      <c r="M14" s="229"/>
      <c r="N14" s="229"/>
    </row>
    <row r="15" customFormat="false" ht="15" hidden="false" customHeight="true" outlineLevel="0" collapsed="false">
      <c r="A15" s="225" t="s">
        <v>2415</v>
      </c>
      <c r="B15" s="225"/>
      <c r="C15" s="225"/>
      <c r="D15" s="225"/>
      <c r="E15" s="225"/>
      <c r="F15" s="225"/>
      <c r="G15" s="225"/>
      <c r="H15" s="225"/>
      <c r="I15" s="225"/>
      <c r="J15" s="226" t="n">
        <f aca="false">IF($C$6="Total",COUNTIFS('RESSOURCES HUMAINES'!$A$27:$A$76,"RH*",'RESSOURCES HUMAINES'!$P$27:$P$76,"Actif"),COUNTIFS('RESSOURCES HUMAINES'!$A$27:$A$76,"RH*",'RESSOURCES HUMAINES'!$P$27:$P$76,"Actif",'RESSOURCES HUMAINES'!$W$27:$W$76,VALUE($C$6)))</f>
        <v>0</v>
      </c>
    </row>
    <row r="16" customFormat="false" ht="15" hidden="false" customHeight="true" outlineLevel="0" collapsed="false">
      <c r="A16" s="227" t="s">
        <v>2416</v>
      </c>
      <c r="B16" s="227"/>
      <c r="C16" s="227"/>
      <c r="D16" s="227"/>
      <c r="E16" s="227"/>
      <c r="F16" s="227"/>
      <c r="G16" s="227"/>
      <c r="H16" s="227"/>
      <c r="I16" s="227"/>
      <c r="J16" s="228" t="n">
        <f aca="false">PARTENAIRES!$A$8</f>
        <v>0</v>
      </c>
      <c r="K16" s="230" t="s">
        <v>2417</v>
      </c>
      <c r="L16" s="229"/>
      <c r="M16" s="229"/>
      <c r="N16" s="229"/>
    </row>
    <row r="17" customFormat="false" ht="15" hidden="false" customHeight="true" outlineLevel="0" collapsed="false">
      <c r="A17" s="225" t="s">
        <v>2418</v>
      </c>
      <c r="B17" s="225"/>
      <c r="C17" s="225"/>
      <c r="D17" s="225"/>
      <c r="E17" s="225"/>
      <c r="F17" s="225"/>
      <c r="G17" s="225"/>
      <c r="H17" s="225"/>
      <c r="I17" s="225"/>
      <c r="J17" s="226" t="n">
        <f aca="false">DONATEURS!$A$8</f>
        <v>1</v>
      </c>
      <c r="K17" s="223" t="s">
        <v>2417</v>
      </c>
    </row>
    <row r="18" customFormat="false" ht="15" hidden="false" customHeight="true" outlineLevel="0" collapsed="false">
      <c r="A18" s="227" t="s">
        <v>2419</v>
      </c>
      <c r="B18" s="227"/>
      <c r="C18" s="227"/>
      <c r="D18" s="227"/>
      <c r="E18" s="227"/>
      <c r="F18" s="227"/>
      <c r="G18" s="227"/>
      <c r="H18" s="227"/>
      <c r="I18" s="227"/>
      <c r="J18" s="231" t="n">
        <f aca="false">DONATEURS!$I$8</f>
        <v>0</v>
      </c>
      <c r="K18" s="230" t="s">
        <v>2417</v>
      </c>
      <c r="L18" s="229"/>
      <c r="M18" s="229"/>
      <c r="N18" s="229"/>
    </row>
    <row r="19" customFormat="false" ht="15" hidden="false" customHeight="true" outlineLevel="0" collapsed="false">
      <c r="A19" s="225" t="s">
        <v>2420</v>
      </c>
      <c r="B19" s="225"/>
      <c r="C19" s="225"/>
      <c r="D19" s="225"/>
      <c r="E19" s="225"/>
      <c r="F19" s="225"/>
      <c r="G19" s="225"/>
      <c r="H19" s="225"/>
      <c r="I19" s="225"/>
      <c r="J19" s="232" t="n">
        <f aca="false">IF($C$6="Total",SUM(RECETTES!$AB$39:$AB$88),SUMIFS(RECETTES!$AB$39:$AB$88,RECETTES!$V$39:$V$88,VALUE($C$6)))</f>
        <v>0</v>
      </c>
    </row>
    <row r="20" customFormat="false" ht="15" hidden="false" customHeight="true" outlineLevel="0" collapsed="false">
      <c r="A20" s="227" t="s">
        <v>1597</v>
      </c>
      <c r="B20" s="227"/>
      <c r="C20" s="227"/>
      <c r="D20" s="227"/>
      <c r="E20" s="227"/>
      <c r="F20" s="227"/>
      <c r="G20" s="227"/>
      <c r="H20" s="227"/>
      <c r="I20" s="227"/>
      <c r="J20" s="231" t="n">
        <f aca="false">IF($C$6="Total",SUM(DEPENSES!$AG$119:$AG$168),SUMIFS(DEPENSES!$AG$119:$AG$168,DEPENSES!$BM$119:$BM$168,VALUE($C$6)))</f>
        <v>0</v>
      </c>
      <c r="K20" s="229"/>
      <c r="L20" s="229"/>
      <c r="M20" s="229"/>
      <c r="N20" s="229"/>
    </row>
    <row r="21" customFormat="false" ht="15" hidden="false" customHeight="true" outlineLevel="0" collapsed="false">
      <c r="A21" s="225" t="s">
        <v>1997</v>
      </c>
      <c r="B21" s="225"/>
      <c r="C21" s="225"/>
      <c r="D21" s="225"/>
      <c r="E21" s="225"/>
      <c r="F21" s="225"/>
      <c r="G21" s="225"/>
      <c r="H21" s="225"/>
      <c r="I21" s="225"/>
      <c r="J21" s="232" t="n">
        <f aca="false">IF($C$6="Total",SUM(tbl_Budget[Budget de reference (FCFA)]),SUMIFS(tbl_Budget[Budget de reference (FCFA)],tbl_Budget[Annee budgetaire],VALUE($C$6)))</f>
        <v>0</v>
      </c>
    </row>
    <row r="22" customFormat="false" ht="15" hidden="false" customHeight="true" outlineLevel="0" collapsed="false">
      <c r="A22" s="227" t="s">
        <v>1730</v>
      </c>
      <c r="B22" s="227"/>
      <c r="C22" s="227"/>
      <c r="D22" s="227"/>
      <c r="E22" s="227"/>
      <c r="F22" s="227"/>
      <c r="G22" s="227"/>
      <c r="H22" s="227"/>
      <c r="I22" s="227"/>
      <c r="J22" s="233" t="n">
        <f aca="false">IFERROR($J$20/$J$21,0)</f>
        <v>0</v>
      </c>
      <c r="K22" s="229"/>
      <c r="L22" s="229"/>
      <c r="M22" s="229"/>
      <c r="N22" s="229"/>
    </row>
    <row r="25" customFormat="false" ht="19.5" hidden="false" customHeight="true" outlineLevel="0" collapsed="false">
      <c r="A25" s="219" t="s">
        <v>2421</v>
      </c>
      <c r="B25" s="219"/>
      <c r="C25" s="219"/>
      <c r="D25" s="219"/>
      <c r="E25" s="219"/>
      <c r="F25" s="219"/>
      <c r="G25" s="219"/>
      <c r="H25" s="219"/>
      <c r="I25" s="219"/>
      <c r="J25" s="219"/>
      <c r="K25" s="219"/>
      <c r="L25" s="219"/>
      <c r="M25" s="219"/>
      <c r="N25" s="219"/>
    </row>
    <row r="26" customFormat="false" ht="15" hidden="false" customHeight="true" outlineLevel="0" collapsed="false">
      <c r="A26" s="234" t="s">
        <v>1798</v>
      </c>
      <c r="B26" s="234"/>
      <c r="C26" s="234"/>
      <c r="D26" s="234"/>
      <c r="E26" s="235" t="str">
        <f aca="false">ONG!$C$33</f>
        <v>O.N.G BK</v>
      </c>
      <c r="F26" s="235"/>
      <c r="G26" s="235"/>
      <c r="H26" s="235"/>
      <c r="I26" s="235"/>
      <c r="J26" s="235"/>
      <c r="K26" s="235"/>
      <c r="L26" s="235"/>
      <c r="M26" s="235"/>
      <c r="N26" s="235"/>
    </row>
    <row r="27" customFormat="false" ht="15" hidden="false" customHeight="true" outlineLevel="0" collapsed="false">
      <c r="A27" s="234" t="s">
        <v>1262</v>
      </c>
      <c r="B27" s="234"/>
      <c r="C27" s="234"/>
      <c r="D27" s="234"/>
      <c r="E27" s="235" t="str">
        <f aca="false">ONG!$C$34</f>
        <v>BK O.N.G</v>
      </c>
      <c r="F27" s="235"/>
      <c r="G27" s="235"/>
      <c r="H27" s="235"/>
      <c r="I27" s="235"/>
      <c r="J27" s="235"/>
      <c r="K27" s="235"/>
      <c r="L27" s="235"/>
      <c r="M27" s="235"/>
      <c r="N27" s="235"/>
    </row>
    <row r="28" customFormat="false" ht="15" hidden="false" customHeight="true" outlineLevel="0" collapsed="false">
      <c r="A28" s="234" t="s">
        <v>1275</v>
      </c>
      <c r="B28" s="234"/>
      <c r="C28" s="234"/>
      <c r="D28" s="234"/>
      <c r="E28" s="235" t="str">
        <f aca="false">ONG!$C$45</f>
        <v>Donnons la joie a la jeunesse</v>
      </c>
      <c r="F28" s="235"/>
      <c r="G28" s="235"/>
      <c r="H28" s="235"/>
      <c r="I28" s="235"/>
      <c r="J28" s="235"/>
      <c r="K28" s="235"/>
      <c r="L28" s="235"/>
      <c r="M28" s="235"/>
      <c r="N28" s="235"/>
    </row>
    <row r="29" customFormat="false" ht="15" hidden="false" customHeight="true" outlineLevel="0" collapsed="false">
      <c r="A29" s="234" t="s">
        <v>1273</v>
      </c>
      <c r="B29" s="234"/>
      <c r="C29" s="234"/>
      <c r="D29" s="234"/>
      <c r="E29" s="235" t="str">
        <f aca="false">ONG!$C$43</f>
        <v>Congo</v>
      </c>
      <c r="F29" s="235"/>
      <c r="G29" s="235"/>
      <c r="H29" s="235"/>
      <c r="I29" s="235"/>
      <c r="J29" s="235"/>
      <c r="K29" s="235"/>
      <c r="L29" s="235"/>
      <c r="M29" s="235"/>
      <c r="N29" s="235"/>
    </row>
    <row r="30" customFormat="false" ht="30" hidden="false" customHeight="true" outlineLevel="0" collapsed="false">
      <c r="A30" s="234" t="s">
        <v>2422</v>
      </c>
      <c r="B30" s="234"/>
      <c r="C30" s="234"/>
      <c r="D30" s="234"/>
      <c r="E30" s="235" t="n">
        <f aca="false">ONG!$A$94</f>
        <v>0</v>
      </c>
      <c r="F30" s="235"/>
      <c r="G30" s="235"/>
      <c r="H30" s="235"/>
      <c r="I30" s="235"/>
      <c r="J30" s="235"/>
      <c r="K30" s="235"/>
      <c r="L30" s="235"/>
      <c r="M30" s="235"/>
      <c r="N30" s="235"/>
    </row>
    <row r="31" customFormat="false" ht="30" hidden="false" customHeight="true" outlineLevel="0" collapsed="false">
      <c r="A31" s="234" t="s">
        <v>596</v>
      </c>
      <c r="B31" s="234"/>
      <c r="C31" s="234"/>
      <c r="D31" s="234"/>
      <c r="E31" s="235" t="n">
        <f aca="false">ONG!$A$101</f>
        <v>0</v>
      </c>
      <c r="F31" s="235"/>
      <c r="G31" s="235"/>
      <c r="H31" s="235"/>
      <c r="I31" s="235"/>
      <c r="J31" s="235"/>
      <c r="K31" s="235"/>
      <c r="L31" s="235"/>
      <c r="M31" s="235"/>
      <c r="N31" s="235"/>
    </row>
    <row r="32" customFormat="false" ht="15" hidden="false" customHeight="true" outlineLevel="0" collapsed="false">
      <c r="A32" s="234" t="s">
        <v>2423</v>
      </c>
      <c r="B32" s="234"/>
      <c r="C32" s="234"/>
      <c r="D32" s="234"/>
      <c r="E32" s="235" t="n">
        <f aca="false">COUNTIF(tbl_Domaines[Statut],"Actif")</f>
        <v>40</v>
      </c>
      <c r="F32" s="235"/>
      <c r="G32" s="235"/>
      <c r="H32" s="235"/>
      <c r="I32" s="235"/>
      <c r="J32" s="235"/>
      <c r="K32" s="235"/>
      <c r="L32" s="235"/>
      <c r="M32" s="235"/>
      <c r="N32" s="235"/>
    </row>
    <row r="33" customFormat="false" ht="15" hidden="false" customHeight="true" outlineLevel="0" collapsed="false">
      <c r="A33" s="234" t="s">
        <v>1420</v>
      </c>
      <c r="B33" s="234"/>
      <c r="C33" s="234"/>
      <c r="D33" s="234"/>
      <c r="E33" s="235" t="n">
        <f aca="false">COUNTA(ONG!$A$143:$A$149)</f>
        <v>4</v>
      </c>
      <c r="F33" s="235"/>
      <c r="G33" s="235"/>
      <c r="H33" s="235"/>
      <c r="I33" s="235"/>
      <c r="J33" s="235"/>
      <c r="K33" s="235"/>
      <c r="L33" s="235"/>
      <c r="M33" s="235"/>
      <c r="N33" s="235"/>
    </row>
    <row r="34" customFormat="false" ht="15" hidden="false" customHeight="true" outlineLevel="0" collapsed="false">
      <c r="A34" s="234" t="s">
        <v>2424</v>
      </c>
      <c r="B34" s="234"/>
      <c r="C34" s="234"/>
      <c r="D34" s="234"/>
      <c r="E34" s="235" t="n">
        <f aca="false">PROJETS!$A$8</f>
        <v>1</v>
      </c>
      <c r="F34" s="235"/>
      <c r="G34" s="235"/>
      <c r="H34" s="235"/>
      <c r="I34" s="235"/>
      <c r="J34" s="235"/>
      <c r="K34" s="235"/>
      <c r="L34" s="235"/>
      <c r="M34" s="235"/>
      <c r="N34" s="235"/>
    </row>
    <row r="35" customFormat="false" ht="15" hidden="false" customHeight="true" outlineLevel="0" collapsed="false">
      <c r="A35" s="234" t="s">
        <v>2425</v>
      </c>
      <c r="B35" s="234"/>
      <c r="C35" s="234"/>
      <c r="D35" s="234"/>
      <c r="E35" s="235" t="n">
        <f aca="false">BENEFICIAIRES!$A$8</f>
        <v>1</v>
      </c>
      <c r="F35" s="235"/>
      <c r="G35" s="235"/>
      <c r="H35" s="235"/>
      <c r="I35" s="235"/>
      <c r="J35" s="235"/>
      <c r="K35" s="235"/>
      <c r="L35" s="235"/>
      <c r="M35" s="235"/>
      <c r="N35" s="235"/>
    </row>
    <row r="36" customFormat="false" ht="15" hidden="false" customHeight="true" outlineLevel="0" collapsed="false">
      <c r="A36" s="234" t="s">
        <v>2426</v>
      </c>
      <c r="B36" s="234"/>
      <c r="C36" s="234"/>
      <c r="D36" s="234"/>
      <c r="E36" s="235" t="n">
        <f aca="false">PARTENAIRES!$A$8</f>
        <v>0</v>
      </c>
      <c r="F36" s="235"/>
      <c r="G36" s="235"/>
      <c r="H36" s="235"/>
      <c r="I36" s="235"/>
      <c r="J36" s="235"/>
      <c r="K36" s="235"/>
      <c r="L36" s="235"/>
      <c r="M36" s="235"/>
      <c r="N36" s="235"/>
    </row>
    <row r="37" customFormat="false" ht="15" hidden="false" customHeight="true" outlineLevel="0" collapsed="false">
      <c r="A37" s="234" t="s">
        <v>2427</v>
      </c>
      <c r="B37" s="234"/>
      <c r="C37" s="234"/>
      <c r="D37" s="234"/>
      <c r="E37" s="235" t="n">
        <f aca="false">DONATEURS!$A$8</f>
        <v>1</v>
      </c>
      <c r="F37" s="235"/>
      <c r="G37" s="235"/>
      <c r="H37" s="235"/>
      <c r="I37" s="235"/>
      <c r="J37" s="235"/>
      <c r="K37" s="235"/>
      <c r="L37" s="235"/>
      <c r="M37" s="235"/>
      <c r="N37" s="235"/>
    </row>
    <row r="39" customFormat="false" ht="19.5" hidden="false" customHeight="true" outlineLevel="0" collapsed="false">
      <c r="A39" s="219" t="s">
        <v>2428</v>
      </c>
      <c r="B39" s="219"/>
      <c r="C39" s="219"/>
      <c r="D39" s="219"/>
      <c r="E39" s="219"/>
      <c r="F39" s="219"/>
      <c r="G39" s="219"/>
      <c r="H39" s="219"/>
      <c r="I39" s="219"/>
      <c r="J39" s="219"/>
      <c r="K39" s="219"/>
      <c r="L39" s="219"/>
      <c r="M39" s="219"/>
      <c r="N39" s="219"/>
    </row>
    <row r="40" customFormat="false" ht="25.5" hidden="false" customHeight="true" outlineLevel="0" collapsed="false">
      <c r="A40" s="224" t="s">
        <v>1638</v>
      </c>
      <c r="B40" s="224"/>
      <c r="C40" s="224"/>
      <c r="D40" s="224"/>
      <c r="E40" s="224"/>
      <c r="F40" s="224"/>
      <c r="G40" s="224"/>
      <c r="H40" s="224"/>
      <c r="I40" s="224"/>
      <c r="J40" s="224" t="s">
        <v>2429</v>
      </c>
      <c r="K40" s="224"/>
      <c r="L40" s="224"/>
      <c r="M40" s="224"/>
      <c r="N40" s="224"/>
    </row>
    <row r="41" customFormat="false" ht="15" hidden="false" customHeight="true" outlineLevel="0" collapsed="false">
      <c r="A41" s="225" t="s">
        <v>2430</v>
      </c>
      <c r="B41" s="225"/>
      <c r="C41" s="225"/>
      <c r="D41" s="225"/>
      <c r="E41" s="225"/>
      <c r="F41" s="225"/>
      <c r="G41" s="225"/>
      <c r="H41" s="225"/>
      <c r="I41" s="225"/>
      <c r="J41" s="232" t="n">
        <f aca="false">IF($C$6="Total",SUM(tbl_Budget[Montant prevu (FCFA)]),SUMIFS(tbl_Budget[Montant prevu (FCFA)],tbl_Budget[Annee budgetaire],VALUE($C$6)))</f>
        <v>0</v>
      </c>
    </row>
    <row r="42" customFormat="false" ht="15" hidden="false" customHeight="true" outlineLevel="0" collapsed="false">
      <c r="A42" s="227" t="s">
        <v>2431</v>
      </c>
      <c r="B42" s="227"/>
      <c r="C42" s="227"/>
      <c r="D42" s="227"/>
      <c r="E42" s="227"/>
      <c r="F42" s="227"/>
      <c r="G42" s="227"/>
      <c r="H42" s="227"/>
      <c r="I42" s="227"/>
      <c r="J42" s="231" t="n">
        <f aca="false">IF($C$6="Total",SUM(tbl_Budget[Budget de reference (FCFA)]),SUMIFS(tbl_Budget[Budget de reference (FCFA)],tbl_Budget[Annee budgetaire],VALUE($C$6)))</f>
        <v>0</v>
      </c>
      <c r="K42" s="229"/>
      <c r="L42" s="229"/>
      <c r="M42" s="229"/>
      <c r="N42" s="229"/>
    </row>
    <row r="43" customFormat="false" ht="15" hidden="false" customHeight="true" outlineLevel="0" collapsed="false">
      <c r="A43" s="225" t="s">
        <v>1998</v>
      </c>
      <c r="B43" s="225"/>
      <c r="C43" s="225"/>
      <c r="D43" s="225"/>
      <c r="E43" s="225"/>
      <c r="F43" s="225"/>
      <c r="G43" s="225"/>
      <c r="H43" s="225"/>
      <c r="I43" s="225"/>
      <c r="J43" s="232" t="n">
        <f aca="false">IF($C$6="Total",SUM(tbl_Budget[Montant engage (FCFA)]),SUMIFS(tbl_Budget[Montant engage (FCFA)],tbl_Budget[Annee budgetaire],VALUE($C$6)))</f>
        <v>0</v>
      </c>
    </row>
    <row r="44" customFormat="false" ht="15" hidden="false" customHeight="true" outlineLevel="0" collapsed="false">
      <c r="A44" s="227" t="s">
        <v>2432</v>
      </c>
      <c r="B44" s="227"/>
      <c r="C44" s="227"/>
      <c r="D44" s="227"/>
      <c r="E44" s="227"/>
      <c r="F44" s="227"/>
      <c r="G44" s="227"/>
      <c r="H44" s="227"/>
      <c r="I44" s="227"/>
      <c r="J44" s="231" t="n">
        <f aca="false">DONATEURS!$I$8</f>
        <v>0</v>
      </c>
      <c r="K44" s="229"/>
      <c r="L44" s="229"/>
      <c r="M44" s="229"/>
      <c r="N44" s="229"/>
    </row>
    <row r="45" customFormat="false" ht="15" hidden="false" customHeight="true" outlineLevel="0" collapsed="false">
      <c r="A45" s="225" t="s">
        <v>2420</v>
      </c>
      <c r="B45" s="225"/>
      <c r="C45" s="225"/>
      <c r="D45" s="225"/>
      <c r="E45" s="225"/>
      <c r="F45" s="225"/>
      <c r="G45" s="225"/>
      <c r="H45" s="225"/>
      <c r="I45" s="225"/>
      <c r="J45" s="232" t="n">
        <f aca="false">IF($C$6="Total",SUM(RECETTES!$AB$39:$AB$88),SUMIFS(RECETTES!$AB$39:$AB$88,RECETTES!$V$39:$V$88,VALUE($C$6)))</f>
        <v>0</v>
      </c>
    </row>
    <row r="46" customFormat="false" ht="15" hidden="false" customHeight="true" outlineLevel="0" collapsed="false">
      <c r="A46" s="227" t="s">
        <v>1597</v>
      </c>
      <c r="B46" s="227"/>
      <c r="C46" s="227"/>
      <c r="D46" s="227"/>
      <c r="E46" s="227"/>
      <c r="F46" s="227"/>
      <c r="G46" s="227"/>
      <c r="H46" s="227"/>
      <c r="I46" s="227"/>
      <c r="J46" s="231" t="n">
        <f aca="false">IF($C$6="Total",SUM(DEPENSES!$AG$119:$AG$168),SUMIFS(DEPENSES!$AG$119:$AG$168,DEPENSES!$BM$119:$BM$168,VALUE($C$6)))</f>
        <v>0</v>
      </c>
      <c r="K46" s="229"/>
      <c r="L46" s="229"/>
      <c r="M46" s="229"/>
      <c r="N46" s="229"/>
    </row>
    <row r="47" customFormat="false" ht="15" hidden="false" customHeight="true" outlineLevel="0" collapsed="false">
      <c r="A47" s="225" t="s">
        <v>2433</v>
      </c>
      <c r="B47" s="225"/>
      <c r="C47" s="225"/>
      <c r="D47" s="225"/>
      <c r="E47" s="225"/>
      <c r="F47" s="225"/>
      <c r="G47" s="225"/>
      <c r="H47" s="225"/>
      <c r="I47" s="225"/>
      <c r="J47" s="232" t="n">
        <f aca="false">$J$42-$J$46</f>
        <v>0</v>
      </c>
    </row>
    <row r="48" customFormat="false" ht="15" hidden="false" customHeight="true" outlineLevel="0" collapsed="false">
      <c r="A48" s="227" t="s">
        <v>2434</v>
      </c>
      <c r="B48" s="227"/>
      <c r="C48" s="227"/>
      <c r="D48" s="227"/>
      <c r="E48" s="227"/>
      <c r="F48" s="227"/>
      <c r="G48" s="227"/>
      <c r="H48" s="227"/>
      <c r="I48" s="227"/>
      <c r="J48" s="231" t="n">
        <f aca="false">$J$45-$J$46</f>
        <v>0</v>
      </c>
      <c r="K48" s="229"/>
      <c r="L48" s="229"/>
      <c r="M48" s="229"/>
      <c r="N48" s="229"/>
    </row>
    <row r="49" customFormat="false" ht="15" hidden="false" customHeight="true" outlineLevel="0" collapsed="false">
      <c r="A49" s="225" t="s">
        <v>1730</v>
      </c>
      <c r="B49" s="225"/>
      <c r="C49" s="225"/>
      <c r="D49" s="225"/>
      <c r="E49" s="225"/>
      <c r="F49" s="225"/>
      <c r="G49" s="225"/>
      <c r="H49" s="225"/>
      <c r="I49" s="225"/>
      <c r="J49" s="236" t="n">
        <f aca="false">IFERROR($J$46/$J$42,0)</f>
        <v>0</v>
      </c>
    </row>
    <row r="51" customFormat="false" ht="19.5" hidden="false" customHeight="true" outlineLevel="0" collapsed="false">
      <c r="A51" s="219" t="s">
        <v>2435</v>
      </c>
      <c r="B51" s="219"/>
      <c r="C51" s="219"/>
      <c r="D51" s="219"/>
      <c r="E51" s="219"/>
      <c r="F51" s="219"/>
      <c r="G51" s="219"/>
      <c r="H51" s="219"/>
      <c r="I51" s="219"/>
      <c r="J51" s="219"/>
      <c r="K51" s="219"/>
      <c r="L51" s="219"/>
      <c r="M51" s="219"/>
      <c r="N51" s="219"/>
    </row>
    <row r="52" customFormat="false" ht="25.5" hidden="false" customHeight="true" outlineLevel="0" collapsed="false">
      <c r="A52" s="224" t="s">
        <v>1638</v>
      </c>
      <c r="B52" s="224"/>
      <c r="C52" s="224"/>
      <c r="D52" s="224"/>
      <c r="E52" s="224"/>
      <c r="F52" s="224"/>
      <c r="G52" s="224"/>
      <c r="H52" s="224"/>
      <c r="I52" s="224"/>
      <c r="J52" s="224" t="s">
        <v>1548</v>
      </c>
      <c r="K52" s="224"/>
      <c r="L52" s="224"/>
      <c r="M52" s="224"/>
      <c r="N52" s="224"/>
    </row>
    <row r="53" customFormat="false" ht="15" hidden="false" customHeight="true" outlineLevel="0" collapsed="false">
      <c r="A53" s="225" t="s">
        <v>2103</v>
      </c>
      <c r="B53" s="225"/>
      <c r="C53" s="225"/>
      <c r="D53" s="225"/>
      <c r="E53" s="225"/>
      <c r="F53" s="225"/>
      <c r="G53" s="225"/>
      <c r="H53" s="225"/>
      <c r="I53" s="225"/>
      <c r="J53" s="232" t="n">
        <f aca="false">IF($C$6="Total",SUM(RECETTES!$AC$39:$AC$88),SUMIFS(RECETTES!$AC$39:$AC$88,RECETTES!$V$39:$V$88,VALUE($C$6)))</f>
        <v>0</v>
      </c>
    </row>
    <row r="54" customFormat="false" ht="15" hidden="false" customHeight="true" outlineLevel="0" collapsed="false">
      <c r="A54" s="227" t="s">
        <v>2104</v>
      </c>
      <c r="B54" s="227"/>
      <c r="C54" s="227"/>
      <c r="D54" s="227"/>
      <c r="E54" s="227"/>
      <c r="F54" s="227"/>
      <c r="G54" s="227"/>
      <c r="H54" s="227"/>
      <c r="I54" s="227"/>
      <c r="J54" s="231" t="n">
        <f aca="false">IF($C$6="Total",SUM(RECETTES!$AB$39:$AB$88),SUMIFS(RECETTES!$AB$39:$AB$88,RECETTES!$V$39:$V$88,VALUE($C$6)))</f>
        <v>0</v>
      </c>
      <c r="K54" s="229"/>
      <c r="L54" s="229"/>
      <c r="M54" s="229"/>
      <c r="N54" s="229"/>
    </row>
    <row r="55" customFormat="false" ht="15" hidden="false" customHeight="true" outlineLevel="0" collapsed="false">
      <c r="A55" s="225" t="s">
        <v>2105</v>
      </c>
      <c r="B55" s="225"/>
      <c r="C55" s="225"/>
      <c r="D55" s="225"/>
      <c r="E55" s="225"/>
      <c r="F55" s="225"/>
      <c r="G55" s="225"/>
      <c r="H55" s="225"/>
      <c r="I55" s="225"/>
      <c r="J55" s="232" t="n">
        <f aca="false">$J$53-$J$54</f>
        <v>0</v>
      </c>
    </row>
    <row r="56" customFormat="false" ht="15" hidden="false" customHeight="true" outlineLevel="0" collapsed="false">
      <c r="A56" s="227" t="s">
        <v>2106</v>
      </c>
      <c r="B56" s="227"/>
      <c r="C56" s="227"/>
      <c r="D56" s="227"/>
      <c r="E56" s="227"/>
      <c r="F56" s="227"/>
      <c r="G56" s="227"/>
      <c r="H56" s="227"/>
      <c r="I56" s="227"/>
      <c r="J56" s="231" t="n">
        <f aca="false">IF($C$6="Total",SUMIFS(RECETTES!$AB$39:$AB$88,RECETTES!$S$39:$S$88,"Oui"),SUMIFS(RECETTES!$AB$39:$AB$88,RECETTES!$S$39:$S$88,"Oui",RECETTES!$V$39:$V$88,VALUE($C$6)))</f>
        <v>0</v>
      </c>
      <c r="K56" s="229"/>
      <c r="L56" s="229"/>
      <c r="M56" s="229"/>
      <c r="N56" s="229"/>
    </row>
    <row r="57" customFormat="false" ht="15" hidden="false" customHeight="true" outlineLevel="0" collapsed="false">
      <c r="A57" s="225" t="s">
        <v>2436</v>
      </c>
      <c r="B57" s="225"/>
      <c r="C57" s="225"/>
      <c r="D57" s="225"/>
      <c r="E57" s="225"/>
      <c r="F57" s="225"/>
      <c r="G57" s="225"/>
      <c r="H57" s="225"/>
      <c r="I57" s="225"/>
      <c r="J57" s="226" t="n">
        <f aca="false">IF($C$6="Total",COUNTIF(RECETTES!$A$39:$A$88,"REC*"),COUNTIFS(RECETTES!$A$39:$A$88,"REC*",RECETTES!$V$39:$V$88,VALUE($C$6)))</f>
        <v>0</v>
      </c>
    </row>
    <row r="58" customFormat="false" ht="15" hidden="false" customHeight="true" outlineLevel="0" collapsed="false">
      <c r="A58" s="227" t="s">
        <v>2437</v>
      </c>
      <c r="B58" s="227"/>
      <c r="C58" s="227"/>
      <c r="D58" s="227"/>
      <c r="E58" s="227"/>
      <c r="F58" s="227"/>
      <c r="G58" s="227"/>
      <c r="H58" s="227"/>
      <c r="I58" s="227"/>
      <c r="J58" s="228" t="n">
        <f aca="false">RECETTES!$F$8</f>
        <v>0</v>
      </c>
      <c r="K58" s="230" t="s">
        <v>2417</v>
      </c>
      <c r="L58" s="229"/>
      <c r="M58" s="229"/>
      <c r="N58" s="229"/>
    </row>
    <row r="59" customFormat="false" ht="15" hidden="false" customHeight="true" outlineLevel="0" collapsed="false">
      <c r="A59" s="225" t="s">
        <v>2109</v>
      </c>
      <c r="B59" s="225"/>
      <c r="C59" s="225"/>
      <c r="D59" s="225"/>
      <c r="E59" s="225"/>
      <c r="F59" s="225"/>
      <c r="G59" s="225"/>
      <c r="H59" s="225"/>
      <c r="I59" s="225"/>
      <c r="J59" s="226" t="n">
        <f aca="false">RECETTES!$G$8</f>
        <v>0</v>
      </c>
      <c r="K59" s="223" t="s">
        <v>2417</v>
      </c>
    </row>
    <row r="60" customFormat="false" ht="15" hidden="false" customHeight="true" outlineLevel="0" collapsed="false">
      <c r="A60" s="227" t="s">
        <v>2438</v>
      </c>
      <c r="B60" s="227"/>
      <c r="C60" s="227"/>
      <c r="D60" s="227"/>
      <c r="E60" s="227"/>
      <c r="F60" s="227"/>
      <c r="G60" s="227"/>
      <c r="H60" s="227"/>
      <c r="I60" s="227"/>
      <c r="J60" s="233" t="n">
        <f aca="false">IFERROR($J$54/$J$53,0)</f>
        <v>0</v>
      </c>
      <c r="K60" s="229"/>
      <c r="L60" s="229"/>
      <c r="M60" s="229"/>
      <c r="N60" s="229"/>
    </row>
    <row r="62" customFormat="false" ht="19.5" hidden="false" customHeight="true" outlineLevel="0" collapsed="false">
      <c r="A62" s="219" t="s">
        <v>2439</v>
      </c>
      <c r="B62" s="219"/>
      <c r="C62" s="219"/>
      <c r="D62" s="219"/>
      <c r="E62" s="219"/>
      <c r="F62" s="219"/>
      <c r="G62" s="219"/>
      <c r="H62" s="219"/>
      <c r="I62" s="219"/>
      <c r="J62" s="219"/>
      <c r="K62" s="219"/>
      <c r="L62" s="219"/>
      <c r="M62" s="219"/>
      <c r="N62" s="219"/>
    </row>
    <row r="63" customFormat="false" ht="25.5" hidden="false" customHeight="true" outlineLevel="0" collapsed="false">
      <c r="A63" s="224" t="s">
        <v>2070</v>
      </c>
      <c r="B63" s="224" t="s">
        <v>1595</v>
      </c>
      <c r="C63" s="224" t="s">
        <v>2191</v>
      </c>
      <c r="D63" s="224" t="s">
        <v>2440</v>
      </c>
      <c r="E63" s="224" t="s">
        <v>2441</v>
      </c>
    </row>
    <row r="64" customFormat="false" ht="15" hidden="false" customHeight="true" outlineLevel="0" collapsed="false">
      <c r="A64" s="237" t="str">
        <f aca="false">IFERROR(INDEX(tbl_CategoriesDepenses[Libelle],1),"")</f>
        <v>Personnel</v>
      </c>
      <c r="B64" s="238" t="n">
        <f aca="false">IF($A$64="","",SUMIFS(tbl_Budget[Budget de reference (FCFA)],tbl_Budget[Categorie budgetaire],$A$64))</f>
        <v>0</v>
      </c>
      <c r="C64" s="238" t="n">
        <f aca="false">IF($A$64="","",SUMIFS(DEPENSES!$AG$119:$AG$168,DEPENSES!$D$119:$D$168,$A$64))</f>
        <v>0</v>
      </c>
      <c r="D64" s="238" t="n">
        <f aca="false">IF($A$64="","",$B$64-$C$64)</f>
        <v>0</v>
      </c>
      <c r="E64" s="239" t="str">
        <f aca="false">IF(OR($A$64="",$B$64=0),"",$C$64/$B$64)</f>
        <v/>
      </c>
    </row>
    <row r="65" customFormat="false" ht="15" hidden="false" customHeight="true" outlineLevel="0" collapsed="false">
      <c r="A65" s="240" t="str">
        <f aca="false">IFERROR(INDEX(tbl_CategoriesDepenses[Libelle],2),"")</f>
        <v>Honoraires</v>
      </c>
      <c r="B65" s="241" t="n">
        <f aca="false">IF($A$65="","",SUMIFS(tbl_Budget[Budget de reference (FCFA)],tbl_Budget[Categorie budgetaire],$A$65))</f>
        <v>0</v>
      </c>
      <c r="C65" s="241" t="n">
        <f aca="false">IF($A$65="","",SUMIFS(DEPENSES!$AG$119:$AG$168,DEPENSES!$D$119:$D$168,$A$65))</f>
        <v>0</v>
      </c>
      <c r="D65" s="241" t="n">
        <f aca="false">IF($A$65="","",$B$65-$C$65)</f>
        <v>0</v>
      </c>
      <c r="E65" s="242" t="str">
        <f aca="false">IF(OR($A$65="",$B$65=0),"",$C$65/$B$65)</f>
        <v/>
      </c>
    </row>
    <row r="66" customFormat="false" ht="15" hidden="false" customHeight="true" outlineLevel="0" collapsed="false">
      <c r="A66" s="237" t="str">
        <f aca="false">IFERROR(INDEX(tbl_CategoriesDepenses[Libelle],3),"")</f>
        <v>Consultants</v>
      </c>
      <c r="B66" s="238" t="n">
        <f aca="false">IF($A$66="","",SUMIFS(tbl_Budget[Budget de reference (FCFA)],tbl_Budget[Categorie budgetaire],$A$66))</f>
        <v>0</v>
      </c>
      <c r="C66" s="238" t="n">
        <f aca="false">IF($A$66="","",SUMIFS(DEPENSES!$AG$119:$AG$168,DEPENSES!$D$119:$D$168,$A$66))</f>
        <v>0</v>
      </c>
      <c r="D66" s="238" t="n">
        <f aca="false">IF($A$66="","",$B$66-$C$66)</f>
        <v>0</v>
      </c>
      <c r="E66" s="239" t="str">
        <f aca="false">IF(OR($A$66="",$B$66=0),"",$C$66/$B$66)</f>
        <v/>
      </c>
    </row>
    <row r="67" customFormat="false" ht="15" hidden="false" customHeight="true" outlineLevel="0" collapsed="false">
      <c r="A67" s="240" t="str">
        <f aca="false">IFERROR(INDEX(tbl_CategoriesDepenses[Libelle],4),"")</f>
        <v>Transport</v>
      </c>
      <c r="B67" s="241" t="n">
        <f aca="false">IF($A$67="","",SUMIFS(tbl_Budget[Budget de reference (FCFA)],tbl_Budget[Categorie budgetaire],$A$67))</f>
        <v>0</v>
      </c>
      <c r="C67" s="241" t="n">
        <f aca="false">IF($A$67="","",SUMIFS(DEPENSES!$AG$119:$AG$168,DEPENSES!$D$119:$D$168,$A$67))</f>
        <v>0</v>
      </c>
      <c r="D67" s="241" t="n">
        <f aca="false">IF($A$67="","",$B$67-$C$67)</f>
        <v>0</v>
      </c>
      <c r="E67" s="242" t="str">
        <f aca="false">IF(OR($A$67="",$B$67=0),"",$C$67/$B$67)</f>
        <v/>
      </c>
    </row>
    <row r="68" customFormat="false" ht="15" hidden="false" customHeight="true" outlineLevel="0" collapsed="false">
      <c r="A68" s="237" t="str">
        <f aca="false">IFERROR(INDEX(tbl_CategoriesDepenses[Libelle],5),"")</f>
        <v>Carburant</v>
      </c>
      <c r="B68" s="238" t="n">
        <f aca="false">IF($A$68="","",SUMIFS(tbl_Budget[Budget de reference (FCFA)],tbl_Budget[Categorie budgetaire],$A$68))</f>
        <v>0</v>
      </c>
      <c r="C68" s="238" t="n">
        <f aca="false">IF($A$68="","",SUMIFS(DEPENSES!$AG$119:$AG$168,DEPENSES!$D$119:$D$168,$A$68))</f>
        <v>0</v>
      </c>
      <c r="D68" s="238" t="n">
        <f aca="false">IF($A$68="","",$B$68-$C$68)</f>
        <v>0</v>
      </c>
      <c r="E68" s="239" t="str">
        <f aca="false">IF(OR($A$68="",$B$68=0),"",$C$68/$B$68)</f>
        <v/>
      </c>
    </row>
    <row r="69" customFormat="false" ht="15" hidden="false" customHeight="true" outlineLevel="0" collapsed="false">
      <c r="A69" s="240" t="str">
        <f aca="false">IFERROR(INDEX(tbl_CategoriesDepenses[Libelle],6),"")</f>
        <v>Hebergement</v>
      </c>
      <c r="B69" s="241" t="n">
        <f aca="false">IF($A$69="","",SUMIFS(tbl_Budget[Budget de reference (FCFA)],tbl_Budget[Categorie budgetaire],$A$69))</f>
        <v>0</v>
      </c>
      <c r="C69" s="241" t="n">
        <f aca="false">IF($A$69="","",SUMIFS(DEPENSES!$AG$119:$AG$168,DEPENSES!$D$119:$D$168,$A$69))</f>
        <v>0</v>
      </c>
      <c r="D69" s="241" t="n">
        <f aca="false">IF($A$69="","",$B$69-$C$69)</f>
        <v>0</v>
      </c>
      <c r="E69" s="242" t="str">
        <f aca="false">IF(OR($A$69="",$B$69=0),"",$C$69/$B$69)</f>
        <v/>
      </c>
    </row>
    <row r="70" customFormat="false" ht="15" hidden="false" customHeight="true" outlineLevel="0" collapsed="false">
      <c r="A70" s="237" t="str">
        <f aca="false">IFERROR(INDEX(tbl_CategoriesDepenses[Libelle],7),"")</f>
        <v>Restauration</v>
      </c>
      <c r="B70" s="238" t="n">
        <f aca="false">IF($A$70="","",SUMIFS(tbl_Budget[Budget de reference (FCFA)],tbl_Budget[Categorie budgetaire],$A$70))</f>
        <v>0</v>
      </c>
      <c r="C70" s="238" t="n">
        <f aca="false">IF($A$70="","",SUMIFS(DEPENSES!$AG$119:$AG$168,DEPENSES!$D$119:$D$168,$A$70))</f>
        <v>0</v>
      </c>
      <c r="D70" s="238" t="n">
        <f aca="false">IF($A$70="","",$B$70-$C$70)</f>
        <v>0</v>
      </c>
      <c r="E70" s="239" t="str">
        <f aca="false">IF(OR($A$70="",$B$70=0),"",$C$70/$B$70)</f>
        <v/>
      </c>
    </row>
    <row r="71" customFormat="false" ht="15" hidden="false" customHeight="true" outlineLevel="0" collapsed="false">
      <c r="A71" s="240" t="str">
        <f aca="false">IFERROR(INDEX(tbl_CategoriesDepenses[Libelle],8),"")</f>
        <v>Formation</v>
      </c>
      <c r="B71" s="241" t="n">
        <f aca="false">IF($A$71="","",SUMIFS(tbl_Budget[Budget de reference (FCFA)],tbl_Budget[Categorie budgetaire],$A$71))</f>
        <v>0</v>
      </c>
      <c r="C71" s="241" t="n">
        <f aca="false">IF($A$71="","",SUMIFS(DEPENSES!$AG$119:$AG$168,DEPENSES!$D$119:$D$168,$A$71))</f>
        <v>0</v>
      </c>
      <c r="D71" s="241" t="n">
        <f aca="false">IF($A$71="","",$B$71-$C$71)</f>
        <v>0</v>
      </c>
      <c r="E71" s="242" t="str">
        <f aca="false">IF(OR($A$71="",$B$71=0),"",$C$71/$B$71)</f>
        <v/>
      </c>
    </row>
    <row r="72" customFormat="false" ht="15" hidden="false" customHeight="true" outlineLevel="0" collapsed="false">
      <c r="A72" s="237" t="str">
        <f aca="false">IFERROR(INDEX(tbl_CategoriesDepenses[Libelle],9),"")</f>
        <v>Communication</v>
      </c>
      <c r="B72" s="238" t="n">
        <f aca="false">IF($A$72="","",SUMIFS(tbl_Budget[Budget de reference (FCFA)],tbl_Budget[Categorie budgetaire],$A$72))</f>
        <v>0</v>
      </c>
      <c r="C72" s="238" t="n">
        <f aca="false">IF($A$72="","",SUMIFS(DEPENSES!$AG$119:$AG$168,DEPENSES!$D$119:$D$168,$A$72))</f>
        <v>0</v>
      </c>
      <c r="D72" s="238" t="n">
        <f aca="false">IF($A$72="","",$B$72-$C$72)</f>
        <v>0</v>
      </c>
      <c r="E72" s="239" t="str">
        <f aca="false">IF(OR($A$72="",$B$72=0),"",$C$72/$B$72)</f>
        <v/>
      </c>
    </row>
    <row r="73" customFormat="false" ht="15" hidden="false" customHeight="true" outlineLevel="0" collapsed="false">
      <c r="A73" s="240" t="str">
        <f aca="false">IFERROR(INDEX(tbl_CategoriesDepenses[Libelle],10),"")</f>
        <v>Visibilite</v>
      </c>
      <c r="B73" s="241" t="n">
        <f aca="false">IF($A$73="","",SUMIFS(tbl_Budget[Budget de reference (FCFA)],tbl_Budget[Categorie budgetaire],$A$73))</f>
        <v>0</v>
      </c>
      <c r="C73" s="241" t="n">
        <f aca="false">IF($A$73="","",SUMIFS(DEPENSES!$AG$119:$AG$168,DEPENSES!$D$119:$D$168,$A$73))</f>
        <v>0</v>
      </c>
      <c r="D73" s="241" t="n">
        <f aca="false">IF($A$73="","",$B$73-$C$73)</f>
        <v>0</v>
      </c>
      <c r="E73" s="242" t="str">
        <f aca="false">IF(OR($A$73="",$B$73=0),"",$C$73/$B$73)</f>
        <v/>
      </c>
    </row>
    <row r="74" customFormat="false" ht="15" hidden="false" customHeight="true" outlineLevel="0" collapsed="false">
      <c r="A74" s="237" t="str">
        <f aca="false">IFERROR(INDEX(tbl_CategoriesDepenses[Libelle],11),"")</f>
        <v>Fournitures</v>
      </c>
      <c r="B74" s="238" t="n">
        <f aca="false">IF($A$74="","",SUMIFS(tbl_Budget[Budget de reference (FCFA)],tbl_Budget[Categorie budgetaire],$A$74))</f>
        <v>0</v>
      </c>
      <c r="C74" s="238" t="n">
        <f aca="false">IF($A$74="","",SUMIFS(DEPENSES!$AG$119:$AG$168,DEPENSES!$D$119:$D$168,$A$74))</f>
        <v>0</v>
      </c>
      <c r="D74" s="238" t="n">
        <f aca="false">IF($A$74="","",$B$74-$C$74)</f>
        <v>0</v>
      </c>
      <c r="E74" s="239" t="str">
        <f aca="false">IF(OR($A$74="",$B$74=0),"",$C$74/$B$74)</f>
        <v/>
      </c>
    </row>
    <row r="75" customFormat="false" ht="15" hidden="false" customHeight="true" outlineLevel="0" collapsed="false">
      <c r="A75" s="240" t="str">
        <f aca="false">IFERROR(INDEX(tbl_CategoriesDepenses[Libelle],12),"")</f>
        <v>Materiel</v>
      </c>
      <c r="B75" s="241" t="n">
        <f aca="false">IF($A$75="","",SUMIFS(tbl_Budget[Budget de reference (FCFA)],tbl_Budget[Categorie budgetaire],$A$75))</f>
        <v>0</v>
      </c>
      <c r="C75" s="241" t="n">
        <f aca="false">IF($A$75="","",SUMIFS(DEPENSES!$AG$119:$AG$168,DEPENSES!$D$119:$D$168,$A$75))</f>
        <v>0</v>
      </c>
      <c r="D75" s="241" t="n">
        <f aca="false">IF($A$75="","",$B$75-$C$75)</f>
        <v>0</v>
      </c>
      <c r="E75" s="242" t="str">
        <f aca="false">IF(OR($A$75="",$B$75=0),"",$C$75/$B$75)</f>
        <v/>
      </c>
    </row>
    <row r="76" customFormat="false" ht="15" hidden="false" customHeight="true" outlineLevel="0" collapsed="false">
      <c r="A76" s="237" t="str">
        <f aca="false">IFERROR(INDEX(tbl_CategoriesDepenses[Libelle],13),"")</f>
        <v>Equipements</v>
      </c>
      <c r="B76" s="238" t="n">
        <f aca="false">IF($A$76="","",SUMIFS(tbl_Budget[Budget de reference (FCFA)],tbl_Budget[Categorie budgetaire],$A$76))</f>
        <v>0</v>
      </c>
      <c r="C76" s="238" t="n">
        <f aca="false">IF($A$76="","",SUMIFS(DEPENSES!$AG$119:$AG$168,DEPENSES!$D$119:$D$168,$A$76))</f>
        <v>0</v>
      </c>
      <c r="D76" s="238" t="n">
        <f aca="false">IF($A$76="","",$B$76-$C$76)</f>
        <v>0</v>
      </c>
      <c r="E76" s="239" t="str">
        <f aca="false">IF(OR($A$76="",$B$76=0),"",$C$76/$B$76)</f>
        <v/>
      </c>
    </row>
    <row r="77" customFormat="false" ht="15" hidden="false" customHeight="true" outlineLevel="0" collapsed="false">
      <c r="A77" s="240" t="str">
        <f aca="false">IFERROR(INDEX(tbl_CategoriesDepenses[Libelle],14),"")</f>
        <v>Construction</v>
      </c>
      <c r="B77" s="241" t="n">
        <f aca="false">IF($A$77="","",SUMIFS(tbl_Budget[Budget de reference (FCFA)],tbl_Budget[Categorie budgetaire],$A$77))</f>
        <v>0</v>
      </c>
      <c r="C77" s="241" t="n">
        <f aca="false">IF($A$77="","",SUMIFS(DEPENSES!$AG$119:$AG$168,DEPENSES!$D$119:$D$168,$A$77))</f>
        <v>0</v>
      </c>
      <c r="D77" s="241" t="n">
        <f aca="false">IF($A$77="","",$B$77-$C$77)</f>
        <v>0</v>
      </c>
      <c r="E77" s="242" t="str">
        <f aca="false">IF(OR($A$77="",$B$77=0),"",$C$77/$B$77)</f>
        <v/>
      </c>
    </row>
    <row r="78" customFormat="false" ht="15" hidden="false" customHeight="true" outlineLevel="0" collapsed="false">
      <c r="A78" s="237" t="str">
        <f aca="false">IFERROR(INDEX(tbl_CategoriesDepenses[Libelle],15),"")</f>
        <v>Rehabilitation</v>
      </c>
      <c r="B78" s="238" t="n">
        <f aca="false">IF($A$78="","",SUMIFS(tbl_Budget[Budget de reference (FCFA)],tbl_Budget[Categorie budgetaire],$A$78))</f>
        <v>0</v>
      </c>
      <c r="C78" s="238" t="n">
        <f aca="false">IF($A$78="","",SUMIFS(DEPENSES!$AG$119:$AG$168,DEPENSES!$D$119:$D$168,$A$78))</f>
        <v>0</v>
      </c>
      <c r="D78" s="238" t="n">
        <f aca="false">IF($A$78="","",$B$78-$C$78)</f>
        <v>0</v>
      </c>
      <c r="E78" s="239" t="str">
        <f aca="false">IF(OR($A$78="",$B$78=0),"",$C$78/$B$78)</f>
        <v/>
      </c>
    </row>
    <row r="80" customFormat="false" ht="19.5" hidden="false" customHeight="true" outlineLevel="0" collapsed="false">
      <c r="A80" s="219" t="s">
        <v>2442</v>
      </c>
      <c r="B80" s="219"/>
      <c r="C80" s="219"/>
      <c r="D80" s="219"/>
      <c r="E80" s="219"/>
      <c r="F80" s="219"/>
      <c r="G80" s="219"/>
      <c r="H80" s="219"/>
      <c r="I80" s="219"/>
      <c r="J80" s="219"/>
      <c r="K80" s="219"/>
      <c r="L80" s="219"/>
      <c r="M80" s="219"/>
      <c r="N80" s="219"/>
    </row>
    <row r="81" customFormat="false" ht="25.5" hidden="false" customHeight="true" outlineLevel="0" collapsed="false">
      <c r="A81" s="224" t="s">
        <v>2290</v>
      </c>
      <c r="B81" s="224" t="s">
        <v>2026</v>
      </c>
      <c r="C81" s="224" t="s">
        <v>1334</v>
      </c>
      <c r="D81" s="224" t="s">
        <v>54</v>
      </c>
      <c r="E81" s="224" t="s">
        <v>2443</v>
      </c>
      <c r="F81" s="224" t="s">
        <v>2444</v>
      </c>
      <c r="G81" s="224" t="s">
        <v>2104</v>
      </c>
      <c r="H81" s="224" t="s">
        <v>2445</v>
      </c>
      <c r="I81" s="224" t="s">
        <v>2446</v>
      </c>
    </row>
    <row r="82" customFormat="false" ht="15" hidden="false" customHeight="true" outlineLevel="0" collapsed="false">
      <c r="A82" s="237" t="str">
        <f aca="false">DONATEURS!$A$56</f>
        <v>DON00001</v>
      </c>
      <c r="B82" s="237" t="str">
        <f aca="false">DONATEURS!$B$56</f>
        <v>AUSP</v>
      </c>
      <c r="C82" s="243" t="str">
        <f aca="false">DONATEURS!$E$56</f>
        <v>ONG</v>
      </c>
      <c r="D82" s="243" t="str">
        <f aca="false">DONATEURS!$AB$56</f>
        <v>Financement obtenu</v>
      </c>
      <c r="E82" s="238" t="n">
        <f aca="false">DONATEURS!$AM$56</f>
        <v>0</v>
      </c>
      <c r="F82" s="238" t="n">
        <f aca="false">DONATEURS!$AN$56</f>
        <v>0</v>
      </c>
      <c r="G82" s="238" t="n">
        <f aca="false">DONATEURS!$AO$56</f>
        <v>0</v>
      </c>
      <c r="H82" s="238" t="n">
        <f aca="false">IF(DONATEURS!$A$56="","",DONATEURS!$AN$56-DONATEURS!$AO$56)</f>
        <v>0</v>
      </c>
      <c r="I82" s="239" t="str">
        <f aca="false">DONATEURS!$AP$56</f>
        <v/>
      </c>
    </row>
    <row r="83" customFormat="false" ht="15" hidden="false" customHeight="true" outlineLevel="0" collapsed="false">
      <c r="A83" s="240" t="str">
        <f aca="false">DONATEURS!$A$57</f>
        <v/>
      </c>
      <c r="B83" s="240" t="n">
        <f aca="false">DONATEURS!$B$57</f>
        <v>0</v>
      </c>
      <c r="C83" s="244" t="n">
        <f aca="false">DONATEURS!$E$57</f>
        <v>0</v>
      </c>
      <c r="D83" s="244" t="n">
        <f aca="false">DONATEURS!$AB$57</f>
        <v>0</v>
      </c>
      <c r="E83" s="241" t="n">
        <f aca="false">DONATEURS!$AM$57</f>
        <v>0</v>
      </c>
      <c r="F83" s="241" t="n">
        <f aca="false">DONATEURS!$AN$57</f>
        <v>0</v>
      </c>
      <c r="G83" s="241" t="n">
        <f aca="false">DONATEURS!$AO$57</f>
        <v>0</v>
      </c>
      <c r="H83" s="241" t="str">
        <f aca="false">IF(DONATEURS!$A$57="","",DONATEURS!$AN$57-DONATEURS!$AO$57)</f>
        <v/>
      </c>
      <c r="I83" s="242" t="str">
        <f aca="false">DONATEURS!$AP$57</f>
        <v/>
      </c>
    </row>
    <row r="84" customFormat="false" ht="15" hidden="false" customHeight="true" outlineLevel="0" collapsed="false">
      <c r="A84" s="237" t="str">
        <f aca="false">DONATEURS!$A$58</f>
        <v/>
      </c>
      <c r="B84" s="237" t="n">
        <f aca="false">DONATEURS!$B$58</f>
        <v>0</v>
      </c>
      <c r="C84" s="243" t="n">
        <f aca="false">DONATEURS!$E$58</f>
        <v>0</v>
      </c>
      <c r="D84" s="243" t="n">
        <f aca="false">DONATEURS!$AB$58</f>
        <v>0</v>
      </c>
      <c r="E84" s="238" t="n">
        <f aca="false">DONATEURS!$AM$58</f>
        <v>0</v>
      </c>
      <c r="F84" s="238" t="n">
        <f aca="false">DONATEURS!$AN$58</f>
        <v>0</v>
      </c>
      <c r="G84" s="238" t="n">
        <f aca="false">DONATEURS!$AO$58</f>
        <v>0</v>
      </c>
      <c r="H84" s="238" t="str">
        <f aca="false">IF(DONATEURS!$A$58="","",DONATEURS!$AN$58-DONATEURS!$AO$58)</f>
        <v/>
      </c>
      <c r="I84" s="239" t="str">
        <f aca="false">DONATEURS!$AP$58</f>
        <v/>
      </c>
    </row>
    <row r="85" customFormat="false" ht="15" hidden="false" customHeight="true" outlineLevel="0" collapsed="false">
      <c r="A85" s="240" t="str">
        <f aca="false">DONATEURS!$A$59</f>
        <v/>
      </c>
      <c r="B85" s="240" t="n">
        <f aca="false">DONATEURS!$B$59</f>
        <v>0</v>
      </c>
      <c r="C85" s="244" t="n">
        <f aca="false">DONATEURS!$E$59</f>
        <v>0</v>
      </c>
      <c r="D85" s="244" t="n">
        <f aca="false">DONATEURS!$AB$59</f>
        <v>0</v>
      </c>
      <c r="E85" s="241" t="n">
        <f aca="false">DONATEURS!$AM$59</f>
        <v>0</v>
      </c>
      <c r="F85" s="241" t="n">
        <f aca="false">DONATEURS!$AN$59</f>
        <v>0</v>
      </c>
      <c r="G85" s="241" t="n">
        <f aca="false">DONATEURS!$AO$59</f>
        <v>0</v>
      </c>
      <c r="H85" s="241" t="str">
        <f aca="false">IF(DONATEURS!$A$59="","",DONATEURS!$AN$59-DONATEURS!$AO$59)</f>
        <v/>
      </c>
      <c r="I85" s="242" t="str">
        <f aca="false">DONATEURS!$AP$59</f>
        <v/>
      </c>
    </row>
    <row r="86" customFormat="false" ht="15" hidden="false" customHeight="true" outlineLevel="0" collapsed="false">
      <c r="A86" s="237" t="str">
        <f aca="false">DONATEURS!$A$60</f>
        <v/>
      </c>
      <c r="B86" s="237" t="n">
        <f aca="false">DONATEURS!$B$60</f>
        <v>0</v>
      </c>
      <c r="C86" s="243" t="n">
        <f aca="false">DONATEURS!$E$60</f>
        <v>0</v>
      </c>
      <c r="D86" s="243" t="n">
        <f aca="false">DONATEURS!$AB$60</f>
        <v>0</v>
      </c>
      <c r="E86" s="238" t="n">
        <f aca="false">DONATEURS!$AM$60</f>
        <v>0</v>
      </c>
      <c r="F86" s="238" t="n">
        <f aca="false">DONATEURS!$AN$60</f>
        <v>0</v>
      </c>
      <c r="G86" s="238" t="n">
        <f aca="false">DONATEURS!$AO$60</f>
        <v>0</v>
      </c>
      <c r="H86" s="238" t="str">
        <f aca="false">IF(DONATEURS!$A$60="","",DONATEURS!$AN$60-DONATEURS!$AO$60)</f>
        <v/>
      </c>
      <c r="I86" s="239" t="str">
        <f aca="false">DONATEURS!$AP$60</f>
        <v/>
      </c>
    </row>
    <row r="87" customFormat="false" ht="15" hidden="false" customHeight="true" outlineLevel="0" collapsed="false">
      <c r="A87" s="240" t="str">
        <f aca="false">DONATEURS!$A$61</f>
        <v/>
      </c>
      <c r="B87" s="240" t="n">
        <f aca="false">DONATEURS!$B$61</f>
        <v>0</v>
      </c>
      <c r="C87" s="244" t="n">
        <f aca="false">DONATEURS!$E$61</f>
        <v>0</v>
      </c>
      <c r="D87" s="244" t="n">
        <f aca="false">DONATEURS!$AB$61</f>
        <v>0</v>
      </c>
      <c r="E87" s="241" t="n">
        <f aca="false">DONATEURS!$AM$61</f>
        <v>0</v>
      </c>
      <c r="F87" s="241" t="n">
        <f aca="false">DONATEURS!$AN$61</f>
        <v>0</v>
      </c>
      <c r="G87" s="241" t="n">
        <f aca="false">DONATEURS!$AO$61</f>
        <v>0</v>
      </c>
      <c r="H87" s="241" t="str">
        <f aca="false">IF(DONATEURS!$A$61="","",DONATEURS!$AN$61-DONATEURS!$AO$61)</f>
        <v/>
      </c>
      <c r="I87" s="242" t="str">
        <f aca="false">DONATEURS!$AP$61</f>
        <v/>
      </c>
    </row>
    <row r="88" customFormat="false" ht="15" hidden="false" customHeight="true" outlineLevel="0" collapsed="false">
      <c r="A88" s="237" t="str">
        <f aca="false">DONATEURS!$A$62</f>
        <v/>
      </c>
      <c r="B88" s="237" t="n">
        <f aca="false">DONATEURS!$B$62</f>
        <v>0</v>
      </c>
      <c r="C88" s="243" t="n">
        <f aca="false">DONATEURS!$E$62</f>
        <v>0</v>
      </c>
      <c r="D88" s="243" t="n">
        <f aca="false">DONATEURS!$AB$62</f>
        <v>0</v>
      </c>
      <c r="E88" s="238" t="n">
        <f aca="false">DONATEURS!$AM$62</f>
        <v>0</v>
      </c>
      <c r="F88" s="238" t="n">
        <f aca="false">DONATEURS!$AN$62</f>
        <v>0</v>
      </c>
      <c r="G88" s="238" t="n">
        <f aca="false">DONATEURS!$AO$62</f>
        <v>0</v>
      </c>
      <c r="H88" s="238" t="str">
        <f aca="false">IF(DONATEURS!$A$62="","",DONATEURS!$AN$62-DONATEURS!$AO$62)</f>
        <v/>
      </c>
      <c r="I88" s="239" t="str">
        <f aca="false">DONATEURS!$AP$62</f>
        <v/>
      </c>
    </row>
    <row r="89" customFormat="false" ht="15" hidden="false" customHeight="true" outlineLevel="0" collapsed="false">
      <c r="A89" s="240" t="str">
        <f aca="false">DONATEURS!$A$63</f>
        <v/>
      </c>
      <c r="B89" s="240" t="n">
        <f aca="false">DONATEURS!$B$63</f>
        <v>0</v>
      </c>
      <c r="C89" s="244" t="n">
        <f aca="false">DONATEURS!$E$63</f>
        <v>0</v>
      </c>
      <c r="D89" s="244" t="n">
        <f aca="false">DONATEURS!$AB$63</f>
        <v>0</v>
      </c>
      <c r="E89" s="241" t="n">
        <f aca="false">DONATEURS!$AM$63</f>
        <v>0</v>
      </c>
      <c r="F89" s="241" t="n">
        <f aca="false">DONATEURS!$AN$63</f>
        <v>0</v>
      </c>
      <c r="G89" s="241" t="n">
        <f aca="false">DONATEURS!$AO$63</f>
        <v>0</v>
      </c>
      <c r="H89" s="241" t="str">
        <f aca="false">IF(DONATEURS!$A$63="","",DONATEURS!$AN$63-DONATEURS!$AO$63)</f>
        <v/>
      </c>
      <c r="I89" s="242" t="str">
        <f aca="false">DONATEURS!$AP$63</f>
        <v/>
      </c>
    </row>
    <row r="90" customFormat="false" ht="15" hidden="false" customHeight="true" outlineLevel="0" collapsed="false">
      <c r="A90" s="237" t="str">
        <f aca="false">DONATEURS!$A$64</f>
        <v/>
      </c>
      <c r="B90" s="237" t="n">
        <f aca="false">DONATEURS!$B$64</f>
        <v>0</v>
      </c>
      <c r="C90" s="243" t="n">
        <f aca="false">DONATEURS!$E$64</f>
        <v>0</v>
      </c>
      <c r="D90" s="243" t="n">
        <f aca="false">DONATEURS!$AB$64</f>
        <v>0</v>
      </c>
      <c r="E90" s="238" t="n">
        <f aca="false">DONATEURS!$AM$64</f>
        <v>0</v>
      </c>
      <c r="F90" s="238" t="n">
        <f aca="false">DONATEURS!$AN$64</f>
        <v>0</v>
      </c>
      <c r="G90" s="238" t="n">
        <f aca="false">DONATEURS!$AO$64</f>
        <v>0</v>
      </c>
      <c r="H90" s="238" t="str">
        <f aca="false">IF(DONATEURS!$A$64="","",DONATEURS!$AN$64-DONATEURS!$AO$64)</f>
        <v/>
      </c>
      <c r="I90" s="239" t="str">
        <f aca="false">DONATEURS!$AP$64</f>
        <v/>
      </c>
    </row>
    <row r="91" customFormat="false" ht="15" hidden="false" customHeight="true" outlineLevel="0" collapsed="false">
      <c r="A91" s="240" t="str">
        <f aca="false">DONATEURS!$A$65</f>
        <v/>
      </c>
      <c r="B91" s="240" t="n">
        <f aca="false">DONATEURS!$B$65</f>
        <v>0</v>
      </c>
      <c r="C91" s="244" t="n">
        <f aca="false">DONATEURS!$E$65</f>
        <v>0</v>
      </c>
      <c r="D91" s="244" t="n">
        <f aca="false">DONATEURS!$AB$65</f>
        <v>0</v>
      </c>
      <c r="E91" s="241" t="n">
        <f aca="false">DONATEURS!$AM$65</f>
        <v>0</v>
      </c>
      <c r="F91" s="241" t="n">
        <f aca="false">DONATEURS!$AN$65</f>
        <v>0</v>
      </c>
      <c r="G91" s="241" t="n">
        <f aca="false">DONATEURS!$AO$65</f>
        <v>0</v>
      </c>
      <c r="H91" s="241" t="str">
        <f aca="false">IF(DONATEURS!$A$65="","",DONATEURS!$AN$65-DONATEURS!$AO$65)</f>
        <v/>
      </c>
      <c r="I91" s="242" t="str">
        <f aca="false">DONATEURS!$AP$65</f>
        <v/>
      </c>
    </row>
    <row r="92" customFormat="false" ht="15" hidden="false" customHeight="true" outlineLevel="0" collapsed="false">
      <c r="A92" s="237" t="str">
        <f aca="false">DONATEURS!$A$66</f>
        <v/>
      </c>
      <c r="B92" s="237" t="n">
        <f aca="false">DONATEURS!$B$66</f>
        <v>0</v>
      </c>
      <c r="C92" s="243" t="n">
        <f aca="false">DONATEURS!$E$66</f>
        <v>0</v>
      </c>
      <c r="D92" s="243" t="n">
        <f aca="false">DONATEURS!$AB$66</f>
        <v>0</v>
      </c>
      <c r="E92" s="238" t="n">
        <f aca="false">DONATEURS!$AM$66</f>
        <v>0</v>
      </c>
      <c r="F92" s="238" t="n">
        <f aca="false">DONATEURS!$AN$66</f>
        <v>0</v>
      </c>
      <c r="G92" s="238" t="n">
        <f aca="false">DONATEURS!$AO$66</f>
        <v>0</v>
      </c>
      <c r="H92" s="238" t="str">
        <f aca="false">IF(DONATEURS!$A$66="","",DONATEURS!$AN$66-DONATEURS!$AO$66)</f>
        <v/>
      </c>
      <c r="I92" s="239" t="str">
        <f aca="false">DONATEURS!$AP$66</f>
        <v/>
      </c>
    </row>
    <row r="93" customFormat="false" ht="15" hidden="false" customHeight="true" outlineLevel="0" collapsed="false">
      <c r="A93" s="240" t="str">
        <f aca="false">DONATEURS!$A$67</f>
        <v/>
      </c>
      <c r="B93" s="240" t="n">
        <f aca="false">DONATEURS!$B$67</f>
        <v>0</v>
      </c>
      <c r="C93" s="244" t="n">
        <f aca="false">DONATEURS!$E$67</f>
        <v>0</v>
      </c>
      <c r="D93" s="244" t="n">
        <f aca="false">DONATEURS!$AB$67</f>
        <v>0</v>
      </c>
      <c r="E93" s="241" t="n">
        <f aca="false">DONATEURS!$AM$67</f>
        <v>0</v>
      </c>
      <c r="F93" s="241" t="n">
        <f aca="false">DONATEURS!$AN$67</f>
        <v>0</v>
      </c>
      <c r="G93" s="241" t="n">
        <f aca="false">DONATEURS!$AO$67</f>
        <v>0</v>
      </c>
      <c r="H93" s="241" t="str">
        <f aca="false">IF(DONATEURS!$A$67="","",DONATEURS!$AN$67-DONATEURS!$AO$67)</f>
        <v/>
      </c>
      <c r="I93" s="242" t="str">
        <f aca="false">DONATEURS!$AP$67</f>
        <v/>
      </c>
    </row>
    <row r="94" customFormat="false" ht="15" hidden="false" customHeight="true" outlineLevel="0" collapsed="false">
      <c r="A94" s="237" t="str">
        <f aca="false">DONATEURS!$A$68</f>
        <v/>
      </c>
      <c r="B94" s="237" t="n">
        <f aca="false">DONATEURS!$B$68</f>
        <v>0</v>
      </c>
      <c r="C94" s="243" t="n">
        <f aca="false">DONATEURS!$E$68</f>
        <v>0</v>
      </c>
      <c r="D94" s="243" t="n">
        <f aca="false">DONATEURS!$AB$68</f>
        <v>0</v>
      </c>
      <c r="E94" s="238" t="n">
        <f aca="false">DONATEURS!$AM$68</f>
        <v>0</v>
      </c>
      <c r="F94" s="238" t="n">
        <f aca="false">DONATEURS!$AN$68</f>
        <v>0</v>
      </c>
      <c r="G94" s="238" t="n">
        <f aca="false">DONATEURS!$AO$68</f>
        <v>0</v>
      </c>
      <c r="H94" s="238" t="str">
        <f aca="false">IF(DONATEURS!$A$68="","",DONATEURS!$AN$68-DONATEURS!$AO$68)</f>
        <v/>
      </c>
      <c r="I94" s="239" t="str">
        <f aca="false">DONATEURS!$AP$68</f>
        <v/>
      </c>
    </row>
    <row r="95" customFormat="false" ht="15" hidden="false" customHeight="true" outlineLevel="0" collapsed="false">
      <c r="A95" s="240" t="str">
        <f aca="false">DONATEURS!$A$69</f>
        <v/>
      </c>
      <c r="B95" s="240" t="n">
        <f aca="false">DONATEURS!$B$69</f>
        <v>0</v>
      </c>
      <c r="C95" s="244" t="n">
        <f aca="false">DONATEURS!$E$69</f>
        <v>0</v>
      </c>
      <c r="D95" s="244" t="n">
        <f aca="false">DONATEURS!$AB$69</f>
        <v>0</v>
      </c>
      <c r="E95" s="241" t="n">
        <f aca="false">DONATEURS!$AM$69</f>
        <v>0</v>
      </c>
      <c r="F95" s="241" t="n">
        <f aca="false">DONATEURS!$AN$69</f>
        <v>0</v>
      </c>
      <c r="G95" s="241" t="n">
        <f aca="false">DONATEURS!$AO$69</f>
        <v>0</v>
      </c>
      <c r="H95" s="241" t="str">
        <f aca="false">IF(DONATEURS!$A$69="","",DONATEURS!$AN$69-DONATEURS!$AO$69)</f>
        <v/>
      </c>
      <c r="I95" s="242" t="str">
        <f aca="false">DONATEURS!$AP$69</f>
        <v/>
      </c>
    </row>
    <row r="96" customFormat="false" ht="15" hidden="false" customHeight="true" outlineLevel="0" collapsed="false">
      <c r="A96" s="237" t="str">
        <f aca="false">DONATEURS!$A$70</f>
        <v/>
      </c>
      <c r="B96" s="237" t="n">
        <f aca="false">DONATEURS!$B$70</f>
        <v>0</v>
      </c>
      <c r="C96" s="243" t="n">
        <f aca="false">DONATEURS!$E$70</f>
        <v>0</v>
      </c>
      <c r="D96" s="243" t="n">
        <f aca="false">DONATEURS!$AB$70</f>
        <v>0</v>
      </c>
      <c r="E96" s="238" t="n">
        <f aca="false">DONATEURS!$AM$70</f>
        <v>0</v>
      </c>
      <c r="F96" s="238" t="n">
        <f aca="false">DONATEURS!$AN$70</f>
        <v>0</v>
      </c>
      <c r="G96" s="238" t="n">
        <f aca="false">DONATEURS!$AO$70</f>
        <v>0</v>
      </c>
      <c r="H96" s="238" t="str">
        <f aca="false">IF(DONATEURS!$A$70="","",DONATEURS!$AN$70-DONATEURS!$AO$70)</f>
        <v/>
      </c>
      <c r="I96" s="239" t="str">
        <f aca="false">DONATEURS!$AP$70</f>
        <v/>
      </c>
    </row>
    <row r="97" customFormat="false" ht="15" hidden="false" customHeight="true" outlineLevel="0" collapsed="false">
      <c r="A97" s="240" t="str">
        <f aca="false">DONATEURS!$A$71</f>
        <v/>
      </c>
      <c r="B97" s="240" t="n">
        <f aca="false">DONATEURS!$B$71</f>
        <v>0</v>
      </c>
      <c r="C97" s="244" t="n">
        <f aca="false">DONATEURS!$E$71</f>
        <v>0</v>
      </c>
      <c r="D97" s="244" t="n">
        <f aca="false">DONATEURS!$AB$71</f>
        <v>0</v>
      </c>
      <c r="E97" s="241" t="n">
        <f aca="false">DONATEURS!$AM$71</f>
        <v>0</v>
      </c>
      <c r="F97" s="241" t="n">
        <f aca="false">DONATEURS!$AN$71</f>
        <v>0</v>
      </c>
      <c r="G97" s="241" t="n">
        <f aca="false">DONATEURS!$AO$71</f>
        <v>0</v>
      </c>
      <c r="H97" s="241" t="str">
        <f aca="false">IF(DONATEURS!$A$71="","",DONATEURS!$AN$71-DONATEURS!$AO$71)</f>
        <v/>
      </c>
      <c r="I97" s="242" t="str">
        <f aca="false">DONATEURS!$AP$71</f>
        <v/>
      </c>
    </row>
    <row r="98" customFormat="false" ht="15" hidden="false" customHeight="true" outlineLevel="0" collapsed="false">
      <c r="A98" s="237" t="str">
        <f aca="false">DONATEURS!$A$72</f>
        <v/>
      </c>
      <c r="B98" s="237" t="n">
        <f aca="false">DONATEURS!$B$72</f>
        <v>0</v>
      </c>
      <c r="C98" s="243" t="n">
        <f aca="false">DONATEURS!$E$72</f>
        <v>0</v>
      </c>
      <c r="D98" s="243" t="n">
        <f aca="false">DONATEURS!$AB$72</f>
        <v>0</v>
      </c>
      <c r="E98" s="238" t="n">
        <f aca="false">DONATEURS!$AM$72</f>
        <v>0</v>
      </c>
      <c r="F98" s="238" t="n">
        <f aca="false">DONATEURS!$AN$72</f>
        <v>0</v>
      </c>
      <c r="G98" s="238" t="n">
        <f aca="false">DONATEURS!$AO$72</f>
        <v>0</v>
      </c>
      <c r="H98" s="238" t="str">
        <f aca="false">IF(DONATEURS!$A$72="","",DONATEURS!$AN$72-DONATEURS!$AO$72)</f>
        <v/>
      </c>
      <c r="I98" s="239" t="str">
        <f aca="false">DONATEURS!$AP$72</f>
        <v/>
      </c>
    </row>
    <row r="99" customFormat="false" ht="15" hidden="false" customHeight="true" outlineLevel="0" collapsed="false">
      <c r="A99" s="240" t="str">
        <f aca="false">DONATEURS!$A$73</f>
        <v/>
      </c>
      <c r="B99" s="240" t="n">
        <f aca="false">DONATEURS!$B$73</f>
        <v>0</v>
      </c>
      <c r="C99" s="244" t="n">
        <f aca="false">DONATEURS!$E$73</f>
        <v>0</v>
      </c>
      <c r="D99" s="244" t="n">
        <f aca="false">DONATEURS!$AB$73</f>
        <v>0</v>
      </c>
      <c r="E99" s="241" t="n">
        <f aca="false">DONATEURS!$AM$73</f>
        <v>0</v>
      </c>
      <c r="F99" s="241" t="n">
        <f aca="false">DONATEURS!$AN$73</f>
        <v>0</v>
      </c>
      <c r="G99" s="241" t="n">
        <f aca="false">DONATEURS!$AO$73</f>
        <v>0</v>
      </c>
      <c r="H99" s="241" t="str">
        <f aca="false">IF(DONATEURS!$A$73="","",DONATEURS!$AN$73-DONATEURS!$AO$73)</f>
        <v/>
      </c>
      <c r="I99" s="242" t="str">
        <f aca="false">DONATEURS!$AP$73</f>
        <v/>
      </c>
    </row>
    <row r="100" customFormat="false" ht="15" hidden="false" customHeight="true" outlineLevel="0" collapsed="false">
      <c r="A100" s="237" t="str">
        <f aca="false">DONATEURS!$A$74</f>
        <v/>
      </c>
      <c r="B100" s="237" t="n">
        <f aca="false">DONATEURS!$B$74</f>
        <v>0</v>
      </c>
      <c r="C100" s="243" t="n">
        <f aca="false">DONATEURS!$E$74</f>
        <v>0</v>
      </c>
      <c r="D100" s="243" t="n">
        <f aca="false">DONATEURS!$AB$74</f>
        <v>0</v>
      </c>
      <c r="E100" s="238" t="n">
        <f aca="false">DONATEURS!$AM$74</f>
        <v>0</v>
      </c>
      <c r="F100" s="238" t="n">
        <f aca="false">DONATEURS!$AN$74</f>
        <v>0</v>
      </c>
      <c r="G100" s="238" t="n">
        <f aca="false">DONATEURS!$AO$74</f>
        <v>0</v>
      </c>
      <c r="H100" s="238" t="str">
        <f aca="false">IF(DONATEURS!$A$74="","",DONATEURS!$AN$74-DONATEURS!$AO$74)</f>
        <v/>
      </c>
      <c r="I100" s="239" t="str">
        <f aca="false">DONATEURS!$AP$74</f>
        <v/>
      </c>
    </row>
    <row r="101" customFormat="false" ht="15" hidden="false" customHeight="true" outlineLevel="0" collapsed="false">
      <c r="A101" s="240" t="str">
        <f aca="false">DONATEURS!$A$75</f>
        <v/>
      </c>
      <c r="B101" s="240" t="n">
        <f aca="false">DONATEURS!$B$75</f>
        <v>0</v>
      </c>
      <c r="C101" s="244" t="n">
        <f aca="false">DONATEURS!$E$75</f>
        <v>0</v>
      </c>
      <c r="D101" s="244" t="n">
        <f aca="false">DONATEURS!$AB$75</f>
        <v>0</v>
      </c>
      <c r="E101" s="241" t="n">
        <f aca="false">DONATEURS!$AM$75</f>
        <v>0</v>
      </c>
      <c r="F101" s="241" t="n">
        <f aca="false">DONATEURS!$AN$75</f>
        <v>0</v>
      </c>
      <c r="G101" s="241" t="n">
        <f aca="false">DONATEURS!$AO$75</f>
        <v>0</v>
      </c>
      <c r="H101" s="241" t="str">
        <f aca="false">IF(DONATEURS!$A$75="","",DONATEURS!$AN$75-DONATEURS!$AO$75)</f>
        <v/>
      </c>
      <c r="I101" s="242" t="str">
        <f aca="false">DONATEURS!$AP$75</f>
        <v/>
      </c>
    </row>
    <row r="102" customFormat="false" ht="15" hidden="false" customHeight="true" outlineLevel="0" collapsed="false">
      <c r="A102" s="237" t="str">
        <f aca="false">DONATEURS!$A$76</f>
        <v/>
      </c>
      <c r="B102" s="237" t="n">
        <f aca="false">DONATEURS!$B$76</f>
        <v>0</v>
      </c>
      <c r="C102" s="243" t="n">
        <f aca="false">DONATEURS!$E$76</f>
        <v>0</v>
      </c>
      <c r="D102" s="243" t="n">
        <f aca="false">DONATEURS!$AB$76</f>
        <v>0</v>
      </c>
      <c r="E102" s="238" t="n">
        <f aca="false">DONATEURS!$AM$76</f>
        <v>0</v>
      </c>
      <c r="F102" s="238" t="n">
        <f aca="false">DONATEURS!$AN$76</f>
        <v>0</v>
      </c>
      <c r="G102" s="238" t="n">
        <f aca="false">DONATEURS!$AO$76</f>
        <v>0</v>
      </c>
      <c r="H102" s="238" t="str">
        <f aca="false">IF(DONATEURS!$A$76="","",DONATEURS!$AN$76-DONATEURS!$AO$76)</f>
        <v/>
      </c>
      <c r="I102" s="239" t="str">
        <f aca="false">DONATEURS!$AP$76</f>
        <v/>
      </c>
    </row>
    <row r="103" customFormat="false" ht="15" hidden="false" customHeight="true" outlineLevel="0" collapsed="false">
      <c r="A103" s="240" t="str">
        <f aca="false">DONATEURS!$A$77</f>
        <v/>
      </c>
      <c r="B103" s="240" t="n">
        <f aca="false">DONATEURS!$B$77</f>
        <v>0</v>
      </c>
      <c r="C103" s="244" t="n">
        <f aca="false">DONATEURS!$E$77</f>
        <v>0</v>
      </c>
      <c r="D103" s="244" t="n">
        <f aca="false">DONATEURS!$AB$77</f>
        <v>0</v>
      </c>
      <c r="E103" s="241" t="n">
        <f aca="false">DONATEURS!$AM$77</f>
        <v>0</v>
      </c>
      <c r="F103" s="241" t="n">
        <f aca="false">DONATEURS!$AN$77</f>
        <v>0</v>
      </c>
      <c r="G103" s="241" t="n">
        <f aca="false">DONATEURS!$AO$77</f>
        <v>0</v>
      </c>
      <c r="H103" s="241" t="str">
        <f aca="false">IF(DONATEURS!$A$77="","",DONATEURS!$AN$77-DONATEURS!$AO$77)</f>
        <v/>
      </c>
      <c r="I103" s="242" t="str">
        <f aca="false">DONATEURS!$AP$77</f>
        <v/>
      </c>
    </row>
    <row r="104" customFormat="false" ht="15" hidden="false" customHeight="true" outlineLevel="0" collapsed="false">
      <c r="A104" s="237" t="str">
        <f aca="false">DONATEURS!$A$78</f>
        <v/>
      </c>
      <c r="B104" s="237" t="n">
        <f aca="false">DONATEURS!$B$78</f>
        <v>0</v>
      </c>
      <c r="C104" s="243" t="n">
        <f aca="false">DONATEURS!$E$78</f>
        <v>0</v>
      </c>
      <c r="D104" s="243" t="n">
        <f aca="false">DONATEURS!$AB$78</f>
        <v>0</v>
      </c>
      <c r="E104" s="238" t="n">
        <f aca="false">DONATEURS!$AM$78</f>
        <v>0</v>
      </c>
      <c r="F104" s="238" t="n">
        <f aca="false">DONATEURS!$AN$78</f>
        <v>0</v>
      </c>
      <c r="G104" s="238" t="n">
        <f aca="false">DONATEURS!$AO$78</f>
        <v>0</v>
      </c>
      <c r="H104" s="238" t="str">
        <f aca="false">IF(DONATEURS!$A$78="","",DONATEURS!$AN$78-DONATEURS!$AO$78)</f>
        <v/>
      </c>
      <c r="I104" s="239" t="str">
        <f aca="false">DONATEURS!$AP$78</f>
        <v/>
      </c>
    </row>
    <row r="105" customFormat="false" ht="15" hidden="false" customHeight="true" outlineLevel="0" collapsed="false">
      <c r="A105" s="240" t="str">
        <f aca="false">DONATEURS!$A$79</f>
        <v/>
      </c>
      <c r="B105" s="240" t="n">
        <f aca="false">DONATEURS!$B$79</f>
        <v>0</v>
      </c>
      <c r="C105" s="244" t="n">
        <f aca="false">DONATEURS!$E$79</f>
        <v>0</v>
      </c>
      <c r="D105" s="244" t="n">
        <f aca="false">DONATEURS!$AB$79</f>
        <v>0</v>
      </c>
      <c r="E105" s="241" t="n">
        <f aca="false">DONATEURS!$AM$79</f>
        <v>0</v>
      </c>
      <c r="F105" s="241" t="n">
        <f aca="false">DONATEURS!$AN$79</f>
        <v>0</v>
      </c>
      <c r="G105" s="241" t="n">
        <f aca="false">DONATEURS!$AO$79</f>
        <v>0</v>
      </c>
      <c r="H105" s="241" t="str">
        <f aca="false">IF(DONATEURS!$A$79="","",DONATEURS!$AN$79-DONATEURS!$AO$79)</f>
        <v/>
      </c>
      <c r="I105" s="242" t="str">
        <f aca="false">DONATEURS!$AP$79</f>
        <v/>
      </c>
    </row>
    <row r="106" customFormat="false" ht="15" hidden="false" customHeight="true" outlineLevel="0" collapsed="false">
      <c r="A106" s="237" t="str">
        <f aca="false">DONATEURS!$A$80</f>
        <v/>
      </c>
      <c r="B106" s="237" t="n">
        <f aca="false">DONATEURS!$B$80</f>
        <v>0</v>
      </c>
      <c r="C106" s="243" t="n">
        <f aca="false">DONATEURS!$E$80</f>
        <v>0</v>
      </c>
      <c r="D106" s="243" t="n">
        <f aca="false">DONATEURS!$AB$80</f>
        <v>0</v>
      </c>
      <c r="E106" s="238" t="n">
        <f aca="false">DONATEURS!$AM$80</f>
        <v>0</v>
      </c>
      <c r="F106" s="238" t="n">
        <f aca="false">DONATEURS!$AN$80</f>
        <v>0</v>
      </c>
      <c r="G106" s="238" t="n">
        <f aca="false">DONATEURS!$AO$80</f>
        <v>0</v>
      </c>
      <c r="H106" s="238" t="str">
        <f aca="false">IF(DONATEURS!$A$80="","",DONATEURS!$AN$80-DONATEURS!$AO$80)</f>
        <v/>
      </c>
      <c r="I106" s="239" t="str">
        <f aca="false">DONATEURS!$AP$80</f>
        <v/>
      </c>
    </row>
    <row r="108" customFormat="false" ht="15" hidden="false" customHeight="true" outlineLevel="0" collapsed="false">
      <c r="A108" s="203" t="s">
        <v>2447</v>
      </c>
      <c r="B108" s="203"/>
      <c r="C108" s="203"/>
      <c r="D108" s="203"/>
      <c r="E108" s="203"/>
      <c r="F108" s="203"/>
      <c r="G108" s="203"/>
      <c r="H108" s="203"/>
      <c r="I108" s="203"/>
      <c r="J108" s="203"/>
      <c r="K108" s="203"/>
      <c r="L108" s="203"/>
      <c r="M108" s="203"/>
      <c r="N108" s="203"/>
    </row>
    <row r="109" customFormat="false" ht="15" hidden="false" customHeight="true" outlineLevel="0" collapsed="false">
      <c r="A109" s="245" t="s">
        <v>1467</v>
      </c>
      <c r="B109" s="245"/>
      <c r="C109" s="245"/>
      <c r="D109" s="245"/>
      <c r="E109" s="245"/>
      <c r="F109" s="246" t="n">
        <f aca="false">IFERROR(INDEX(DONATEURS!$B$56:$B$205,MATCH($L$6,DONATEURS!$A$56:$A$205,0)),"")</f>
        <v>0</v>
      </c>
      <c r="G109" s="246"/>
      <c r="H109" s="246"/>
      <c r="I109" s="246"/>
      <c r="J109" s="246"/>
      <c r="K109" s="246"/>
      <c r="L109" s="246"/>
      <c r="M109" s="246"/>
      <c r="N109" s="246"/>
    </row>
    <row r="110" customFormat="false" ht="15" hidden="false" customHeight="true" outlineLevel="0" collapsed="false">
      <c r="A110" s="245" t="s">
        <v>1334</v>
      </c>
      <c r="B110" s="245"/>
      <c r="C110" s="245"/>
      <c r="D110" s="245"/>
      <c r="E110" s="245"/>
      <c r="F110" s="246" t="n">
        <f aca="false">IFERROR(INDEX(DONATEURS!$E$56:$E$205,MATCH($L$6,DONATEURS!$A$56:$A$205,0)),"")</f>
        <v>0</v>
      </c>
      <c r="G110" s="246"/>
      <c r="H110" s="246"/>
      <c r="I110" s="246"/>
      <c r="J110" s="246"/>
      <c r="K110" s="246"/>
      <c r="L110" s="246"/>
      <c r="M110" s="246"/>
      <c r="N110" s="246"/>
    </row>
    <row r="111" customFormat="false" ht="15" hidden="false" customHeight="true" outlineLevel="0" collapsed="false">
      <c r="A111" s="245" t="s">
        <v>54</v>
      </c>
      <c r="B111" s="245"/>
      <c r="C111" s="245"/>
      <c r="D111" s="245"/>
      <c r="E111" s="245"/>
      <c r="F111" s="246" t="n">
        <f aca="false">IFERROR(INDEX(DONATEURS!$AB$56:$AB$205,MATCH($L$6,DONATEURS!$A$56:$A$205,0)),"")</f>
        <v>0</v>
      </c>
      <c r="G111" s="246"/>
      <c r="H111" s="246"/>
      <c r="I111" s="246"/>
      <c r="J111" s="246"/>
      <c r="K111" s="246"/>
      <c r="L111" s="246"/>
      <c r="M111" s="246"/>
      <c r="N111" s="246"/>
    </row>
    <row r="112" customFormat="false" ht="15" hidden="false" customHeight="true" outlineLevel="0" collapsed="false">
      <c r="A112" s="245" t="s">
        <v>2443</v>
      </c>
      <c r="B112" s="245"/>
      <c r="C112" s="245"/>
      <c r="D112" s="245"/>
      <c r="E112" s="245"/>
      <c r="F112" s="247" t="n">
        <f aca="false">IFERROR(INDEX(DONATEURS!$AM$56:$AM$205,MATCH($L$6,DONATEURS!$A$56:$A$205,0)),"")</f>
        <v>0</v>
      </c>
      <c r="G112" s="247"/>
      <c r="H112" s="247"/>
      <c r="I112" s="247"/>
      <c r="J112" s="247"/>
      <c r="K112" s="247"/>
      <c r="L112" s="247"/>
      <c r="M112" s="247"/>
      <c r="N112" s="247"/>
    </row>
    <row r="113" customFormat="false" ht="15" hidden="false" customHeight="true" outlineLevel="0" collapsed="false">
      <c r="A113" s="245" t="s">
        <v>2444</v>
      </c>
      <c r="B113" s="245"/>
      <c r="C113" s="245"/>
      <c r="D113" s="245"/>
      <c r="E113" s="245"/>
      <c r="F113" s="247" t="n">
        <f aca="false">IFERROR(INDEX(DONATEURS!$AN$56:$AN$205,MATCH($L$6,DONATEURS!$A$56:$A$205,0)),"")</f>
        <v>0</v>
      </c>
      <c r="G113" s="247"/>
      <c r="H113" s="247"/>
      <c r="I113" s="247"/>
      <c r="J113" s="247"/>
      <c r="K113" s="247"/>
      <c r="L113" s="247"/>
      <c r="M113" s="247"/>
      <c r="N113" s="247"/>
    </row>
    <row r="114" customFormat="false" ht="15" hidden="false" customHeight="true" outlineLevel="0" collapsed="false">
      <c r="A114" s="245" t="s">
        <v>2104</v>
      </c>
      <c r="B114" s="245"/>
      <c r="C114" s="245"/>
      <c r="D114" s="245"/>
      <c r="E114" s="245"/>
      <c r="F114" s="247" t="n">
        <f aca="false">IFERROR(INDEX(DONATEURS!$AO$56:$AO$205,MATCH($L$6,DONATEURS!$A$56:$A$205,0)),"")</f>
        <v>0</v>
      </c>
      <c r="G114" s="247"/>
      <c r="H114" s="247"/>
      <c r="I114" s="247"/>
      <c r="J114" s="247"/>
      <c r="K114" s="247"/>
      <c r="L114" s="247"/>
      <c r="M114" s="247"/>
      <c r="N114" s="247"/>
    </row>
    <row r="115" customFormat="false" ht="15" hidden="false" customHeight="true" outlineLevel="0" collapsed="false">
      <c r="A115" s="245" t="s">
        <v>1900</v>
      </c>
      <c r="B115" s="245"/>
      <c r="C115" s="245"/>
      <c r="D115" s="245"/>
      <c r="E115" s="245"/>
      <c r="F115" s="248" t="str">
        <f aca="false">IFERROR(INDEX(DONATEURS!$AP$56:$AP$205,MATCH($L$6,DONATEURS!$A$56:$A$205,0)),"")</f>
        <v/>
      </c>
      <c r="G115" s="248"/>
      <c r="H115" s="248"/>
      <c r="I115" s="248"/>
      <c r="J115" s="248"/>
      <c r="K115" s="248"/>
      <c r="L115" s="248"/>
      <c r="M115" s="248"/>
      <c r="N115" s="248"/>
    </row>
    <row r="117" customFormat="false" ht="19.5" hidden="false" customHeight="true" outlineLevel="0" collapsed="false">
      <c r="A117" s="219" t="s">
        <v>2448</v>
      </c>
      <c r="B117" s="219"/>
      <c r="C117" s="219"/>
      <c r="D117" s="219"/>
      <c r="E117" s="219"/>
      <c r="F117" s="219"/>
      <c r="G117" s="219"/>
      <c r="H117" s="219"/>
      <c r="I117" s="219"/>
      <c r="J117" s="219"/>
      <c r="K117" s="219"/>
      <c r="L117" s="219"/>
      <c r="M117" s="219"/>
      <c r="N117" s="219"/>
    </row>
    <row r="118" customFormat="false" ht="25.5" hidden="false" customHeight="true" outlineLevel="0" collapsed="false">
      <c r="A118" s="224" t="s">
        <v>2290</v>
      </c>
      <c r="B118" s="224" t="s">
        <v>805</v>
      </c>
      <c r="C118" s="224" t="s">
        <v>1327</v>
      </c>
      <c r="D118" s="224" t="s">
        <v>54</v>
      </c>
      <c r="E118" s="224" t="s">
        <v>1595</v>
      </c>
      <c r="F118" s="224" t="s">
        <v>2191</v>
      </c>
      <c r="G118" s="224" t="s">
        <v>2449</v>
      </c>
      <c r="H118" s="224" t="s">
        <v>2450</v>
      </c>
      <c r="I118" s="224" t="s">
        <v>1638</v>
      </c>
    </row>
    <row r="119" customFormat="false" ht="15" hidden="false" customHeight="true" outlineLevel="0" collapsed="false">
      <c r="A119" s="244" t="str">
        <f aca="false">PROJETS!$A$56</f>
        <v>PROJ0001</v>
      </c>
      <c r="B119" s="240" t="str">
        <f aca="false">PROJETS!$C$56</f>
        <v>Projet d'appui a l'insertion professionnelle des jeunes</v>
      </c>
      <c r="C119" s="244" t="str">
        <f aca="false">PROJETS!$J$56</f>
        <v>Education</v>
      </c>
      <c r="D119" s="244" t="str">
        <f aca="false">PROJETS!$AD$56</f>
        <v>En cours</v>
      </c>
      <c r="E119" s="241" t="n">
        <f aca="false">PROJETS!$AG$56</f>
        <v>11000000</v>
      </c>
      <c r="F119" s="241" t="n">
        <f aca="false">PROJETS!$AI$56</f>
        <v>4000000</v>
      </c>
      <c r="G119" s="242" t="n">
        <f aca="false">PROJETS!$AL$56</f>
        <v>0.363636363636364</v>
      </c>
      <c r="H119" s="242" t="n">
        <f aca="false">PROJETS!$BD$56</f>
        <v>0.45</v>
      </c>
      <c r="I119" s="244" t="str">
        <f aca="false">IF(PROJETS!$A$56="","",IF(PROJETS!$AD$56="Termine","🟢",IF(OR(PROJETS!$BE$56=TRUE(),PROJETS!$BG$56=TRUE(),PROJETS!$BH$56=TRUE()),"🔴",IF(PROJETS!$BD$56&gt;=0.7,"🟢",IF(PROJETS!$BD$56&gt;=0.4,"🟠","🔴")))))</f>
        <v>🟠</v>
      </c>
    </row>
    <row r="120" customFormat="false" ht="15" hidden="false" customHeight="true" outlineLevel="0" collapsed="false">
      <c r="A120" s="243" t="str">
        <f aca="false">PROJETS!$A$57</f>
        <v/>
      </c>
      <c r="B120" s="237" t="n">
        <f aca="false">PROJETS!$C$57</f>
        <v>0</v>
      </c>
      <c r="C120" s="243" t="n">
        <f aca="false">PROJETS!$J$57</f>
        <v>0</v>
      </c>
      <c r="D120" s="243" t="n">
        <f aca="false">PROJETS!$AD$57</f>
        <v>0</v>
      </c>
      <c r="E120" s="238" t="n">
        <f aca="false">PROJETS!$AG$57</f>
        <v>0</v>
      </c>
      <c r="F120" s="238" t="n">
        <f aca="false">PROJETS!$AI$57</f>
        <v>0</v>
      </c>
      <c r="G120" s="239" t="n">
        <f aca="false">PROJETS!$AL$57</f>
        <v>0</v>
      </c>
      <c r="H120" s="239" t="n">
        <f aca="false">PROJETS!$BD$57</f>
        <v>0</v>
      </c>
      <c r="I120" s="243" t="str">
        <f aca="false">IF(PROJETS!$A$57="","",IF(PROJETS!$AD$57="Termine","🟢",IF(OR(PROJETS!$BE$57=TRUE(),PROJETS!$BG$57=TRUE(),PROJETS!$BH$57=TRUE()),"🔴",IF(PROJETS!$BD$57&gt;=0.7,"🟢",IF(PROJETS!$BD$57&gt;=0.4,"🟠","🔴")))))</f>
        <v/>
      </c>
    </row>
    <row r="121" customFormat="false" ht="15" hidden="false" customHeight="true" outlineLevel="0" collapsed="false">
      <c r="A121" s="244" t="str">
        <f aca="false">PROJETS!$A$58</f>
        <v/>
      </c>
      <c r="B121" s="240" t="n">
        <f aca="false">PROJETS!$C$58</f>
        <v>0</v>
      </c>
      <c r="C121" s="244" t="n">
        <f aca="false">PROJETS!$J$58</f>
        <v>0</v>
      </c>
      <c r="D121" s="244" t="n">
        <f aca="false">PROJETS!$AD$58</f>
        <v>0</v>
      </c>
      <c r="E121" s="241" t="n">
        <f aca="false">PROJETS!$AG$58</f>
        <v>0</v>
      </c>
      <c r="F121" s="241" t="n">
        <f aca="false">PROJETS!$AI$58</f>
        <v>0</v>
      </c>
      <c r="G121" s="242" t="n">
        <f aca="false">PROJETS!$AL$58</f>
        <v>0</v>
      </c>
      <c r="H121" s="242" t="n">
        <f aca="false">PROJETS!$BD$58</f>
        <v>0</v>
      </c>
      <c r="I121" s="244" t="str">
        <f aca="false">IF(PROJETS!$A$58="","",IF(PROJETS!$AD$58="Termine","🟢",IF(OR(PROJETS!$BE$58=TRUE(),PROJETS!$BG$58=TRUE(),PROJETS!$BH$58=TRUE()),"🔴",IF(PROJETS!$BD$58&gt;=0.7,"🟢",IF(PROJETS!$BD$58&gt;=0.4,"🟠","🔴")))))</f>
        <v/>
      </c>
    </row>
    <row r="122" customFormat="false" ht="15" hidden="false" customHeight="true" outlineLevel="0" collapsed="false">
      <c r="A122" s="243" t="str">
        <f aca="false">PROJETS!$A$59</f>
        <v/>
      </c>
      <c r="B122" s="237" t="n">
        <f aca="false">PROJETS!$C$59</f>
        <v>0</v>
      </c>
      <c r="C122" s="243" t="n">
        <f aca="false">PROJETS!$J$59</f>
        <v>0</v>
      </c>
      <c r="D122" s="243" t="n">
        <f aca="false">PROJETS!$AD$59</f>
        <v>0</v>
      </c>
      <c r="E122" s="238" t="n">
        <f aca="false">PROJETS!$AG$59</f>
        <v>0</v>
      </c>
      <c r="F122" s="238" t="n">
        <f aca="false">PROJETS!$AI$59</f>
        <v>0</v>
      </c>
      <c r="G122" s="239" t="n">
        <f aca="false">PROJETS!$AL$59</f>
        <v>0</v>
      </c>
      <c r="H122" s="239" t="n">
        <f aca="false">PROJETS!$BD$59</f>
        <v>0</v>
      </c>
      <c r="I122" s="243" t="str">
        <f aca="false">IF(PROJETS!$A$59="","",IF(PROJETS!$AD$59="Termine","🟢",IF(OR(PROJETS!$BE$59=TRUE(),PROJETS!$BG$59=TRUE(),PROJETS!$BH$59=TRUE()),"🔴",IF(PROJETS!$BD$59&gt;=0.7,"🟢",IF(PROJETS!$BD$59&gt;=0.4,"🟠","🔴")))))</f>
        <v/>
      </c>
    </row>
    <row r="123" customFormat="false" ht="15" hidden="false" customHeight="true" outlineLevel="0" collapsed="false">
      <c r="A123" s="244" t="str">
        <f aca="false">PROJETS!$A$60</f>
        <v/>
      </c>
      <c r="B123" s="240" t="n">
        <f aca="false">PROJETS!$C$60</f>
        <v>0</v>
      </c>
      <c r="C123" s="244" t="n">
        <f aca="false">PROJETS!$J$60</f>
        <v>0</v>
      </c>
      <c r="D123" s="244" t="n">
        <f aca="false">PROJETS!$AD$60</f>
        <v>0</v>
      </c>
      <c r="E123" s="241" t="n">
        <f aca="false">PROJETS!$AG$60</f>
        <v>0</v>
      </c>
      <c r="F123" s="241" t="n">
        <f aca="false">PROJETS!$AI$60</f>
        <v>0</v>
      </c>
      <c r="G123" s="242" t="n">
        <f aca="false">PROJETS!$AL$60</f>
        <v>0</v>
      </c>
      <c r="H123" s="242" t="n">
        <f aca="false">PROJETS!$BD$60</f>
        <v>0</v>
      </c>
      <c r="I123" s="244" t="str">
        <f aca="false">IF(PROJETS!$A$60="","",IF(PROJETS!$AD$60="Termine","🟢",IF(OR(PROJETS!$BE$60=TRUE(),PROJETS!$BG$60=TRUE(),PROJETS!$BH$60=TRUE()),"🔴",IF(PROJETS!$BD$60&gt;=0.7,"🟢",IF(PROJETS!$BD$60&gt;=0.4,"🟠","🔴")))))</f>
        <v/>
      </c>
    </row>
    <row r="124" customFormat="false" ht="15" hidden="false" customHeight="true" outlineLevel="0" collapsed="false">
      <c r="A124" s="243" t="str">
        <f aca="false">PROJETS!$A$61</f>
        <v/>
      </c>
      <c r="B124" s="237" t="n">
        <f aca="false">PROJETS!$C$61</f>
        <v>0</v>
      </c>
      <c r="C124" s="243" t="n">
        <f aca="false">PROJETS!$J$61</f>
        <v>0</v>
      </c>
      <c r="D124" s="243" t="n">
        <f aca="false">PROJETS!$AD$61</f>
        <v>0</v>
      </c>
      <c r="E124" s="238" t="n">
        <f aca="false">PROJETS!$AG$61</f>
        <v>0</v>
      </c>
      <c r="F124" s="238" t="n">
        <f aca="false">PROJETS!$AI$61</f>
        <v>0</v>
      </c>
      <c r="G124" s="239" t="n">
        <f aca="false">PROJETS!$AL$61</f>
        <v>0</v>
      </c>
      <c r="H124" s="239" t="n">
        <f aca="false">PROJETS!$BD$61</f>
        <v>0</v>
      </c>
      <c r="I124" s="243" t="str">
        <f aca="false">IF(PROJETS!$A$61="","",IF(PROJETS!$AD$61="Termine","🟢",IF(OR(PROJETS!$BE$61=TRUE(),PROJETS!$BG$61=TRUE(),PROJETS!$BH$61=TRUE()),"🔴",IF(PROJETS!$BD$61&gt;=0.7,"🟢",IF(PROJETS!$BD$61&gt;=0.4,"🟠","🔴")))))</f>
        <v/>
      </c>
    </row>
    <row r="125" customFormat="false" ht="15" hidden="false" customHeight="true" outlineLevel="0" collapsed="false">
      <c r="A125" s="244" t="str">
        <f aca="false">PROJETS!$A$62</f>
        <v/>
      </c>
      <c r="B125" s="240" t="n">
        <f aca="false">PROJETS!$C$62</f>
        <v>0</v>
      </c>
      <c r="C125" s="244" t="n">
        <f aca="false">PROJETS!$J$62</f>
        <v>0</v>
      </c>
      <c r="D125" s="244" t="n">
        <f aca="false">PROJETS!$AD$62</f>
        <v>0</v>
      </c>
      <c r="E125" s="241" t="n">
        <f aca="false">PROJETS!$AG$62</f>
        <v>0</v>
      </c>
      <c r="F125" s="241" t="n">
        <f aca="false">PROJETS!$AI$62</f>
        <v>0</v>
      </c>
      <c r="G125" s="242" t="n">
        <f aca="false">PROJETS!$AL$62</f>
        <v>0</v>
      </c>
      <c r="H125" s="242" t="n">
        <f aca="false">PROJETS!$BD$62</f>
        <v>0</v>
      </c>
      <c r="I125" s="244" t="str">
        <f aca="false">IF(PROJETS!$A$62="","",IF(PROJETS!$AD$62="Termine","🟢",IF(OR(PROJETS!$BE$62=TRUE(),PROJETS!$BG$62=TRUE(),PROJETS!$BH$62=TRUE()),"🔴",IF(PROJETS!$BD$62&gt;=0.7,"🟢",IF(PROJETS!$BD$62&gt;=0.4,"🟠","🔴")))))</f>
        <v/>
      </c>
    </row>
    <row r="126" customFormat="false" ht="15" hidden="false" customHeight="true" outlineLevel="0" collapsed="false">
      <c r="A126" s="243" t="str">
        <f aca="false">PROJETS!$A$63</f>
        <v/>
      </c>
      <c r="B126" s="237" t="n">
        <f aca="false">PROJETS!$C$63</f>
        <v>0</v>
      </c>
      <c r="C126" s="243" t="n">
        <f aca="false">PROJETS!$J$63</f>
        <v>0</v>
      </c>
      <c r="D126" s="243" t="n">
        <f aca="false">PROJETS!$AD$63</f>
        <v>0</v>
      </c>
      <c r="E126" s="238" t="n">
        <f aca="false">PROJETS!$AG$63</f>
        <v>0</v>
      </c>
      <c r="F126" s="238" t="n">
        <f aca="false">PROJETS!$AI$63</f>
        <v>0</v>
      </c>
      <c r="G126" s="239" t="n">
        <f aca="false">PROJETS!$AL$63</f>
        <v>0</v>
      </c>
      <c r="H126" s="239" t="n">
        <f aca="false">PROJETS!$BD$63</f>
        <v>0</v>
      </c>
      <c r="I126" s="243" t="str">
        <f aca="false">IF(PROJETS!$A$63="","",IF(PROJETS!$AD$63="Termine","🟢",IF(OR(PROJETS!$BE$63=TRUE(),PROJETS!$BG$63=TRUE(),PROJETS!$BH$63=TRUE()),"🔴",IF(PROJETS!$BD$63&gt;=0.7,"🟢",IF(PROJETS!$BD$63&gt;=0.4,"🟠","🔴")))))</f>
        <v/>
      </c>
    </row>
    <row r="127" customFormat="false" ht="15" hidden="false" customHeight="true" outlineLevel="0" collapsed="false">
      <c r="A127" s="244" t="str">
        <f aca="false">PROJETS!$A$64</f>
        <v/>
      </c>
      <c r="B127" s="240" t="n">
        <f aca="false">PROJETS!$C$64</f>
        <v>0</v>
      </c>
      <c r="C127" s="244" t="n">
        <f aca="false">PROJETS!$J$64</f>
        <v>0</v>
      </c>
      <c r="D127" s="244" t="n">
        <f aca="false">PROJETS!$AD$64</f>
        <v>0</v>
      </c>
      <c r="E127" s="241" t="n">
        <f aca="false">PROJETS!$AG$64</f>
        <v>0</v>
      </c>
      <c r="F127" s="241" t="n">
        <f aca="false">PROJETS!$AI$64</f>
        <v>0</v>
      </c>
      <c r="G127" s="242" t="n">
        <f aca="false">PROJETS!$AL$64</f>
        <v>0</v>
      </c>
      <c r="H127" s="242" t="n">
        <f aca="false">PROJETS!$BD$64</f>
        <v>0</v>
      </c>
      <c r="I127" s="244" t="str">
        <f aca="false">IF(PROJETS!$A$64="","",IF(PROJETS!$AD$64="Termine","🟢",IF(OR(PROJETS!$BE$64=TRUE(),PROJETS!$BG$64=TRUE(),PROJETS!$BH$64=TRUE()),"🔴",IF(PROJETS!$BD$64&gt;=0.7,"🟢",IF(PROJETS!$BD$64&gt;=0.4,"🟠","🔴")))))</f>
        <v/>
      </c>
    </row>
    <row r="128" customFormat="false" ht="15" hidden="false" customHeight="true" outlineLevel="0" collapsed="false">
      <c r="A128" s="243" t="str">
        <f aca="false">PROJETS!$A$65</f>
        <v/>
      </c>
      <c r="B128" s="237" t="n">
        <f aca="false">PROJETS!$C$65</f>
        <v>0</v>
      </c>
      <c r="C128" s="243" t="n">
        <f aca="false">PROJETS!$J$65</f>
        <v>0</v>
      </c>
      <c r="D128" s="243" t="n">
        <f aca="false">PROJETS!$AD$65</f>
        <v>0</v>
      </c>
      <c r="E128" s="238" t="n">
        <f aca="false">PROJETS!$AG$65</f>
        <v>0</v>
      </c>
      <c r="F128" s="238" t="n">
        <f aca="false">PROJETS!$AI$65</f>
        <v>0</v>
      </c>
      <c r="G128" s="239" t="n">
        <f aca="false">PROJETS!$AL$65</f>
        <v>0</v>
      </c>
      <c r="H128" s="239" t="n">
        <f aca="false">PROJETS!$BD$65</f>
        <v>0</v>
      </c>
      <c r="I128" s="243" t="str">
        <f aca="false">IF(PROJETS!$A$65="","",IF(PROJETS!$AD$65="Termine","🟢",IF(OR(PROJETS!$BE$65=TRUE(),PROJETS!$BG$65=TRUE(),PROJETS!$BH$65=TRUE()),"🔴",IF(PROJETS!$BD$65&gt;=0.7,"🟢",IF(PROJETS!$BD$65&gt;=0.4,"🟠","🔴")))))</f>
        <v/>
      </c>
    </row>
    <row r="129" customFormat="false" ht="15" hidden="false" customHeight="true" outlineLevel="0" collapsed="false">
      <c r="A129" s="244" t="str">
        <f aca="false">PROJETS!$A$66</f>
        <v/>
      </c>
      <c r="B129" s="240" t="n">
        <f aca="false">PROJETS!$C$66</f>
        <v>0</v>
      </c>
      <c r="C129" s="244" t="n">
        <f aca="false">PROJETS!$J$66</f>
        <v>0</v>
      </c>
      <c r="D129" s="244" t="n">
        <f aca="false">PROJETS!$AD$66</f>
        <v>0</v>
      </c>
      <c r="E129" s="241" t="n">
        <f aca="false">PROJETS!$AG$66</f>
        <v>0</v>
      </c>
      <c r="F129" s="241" t="n">
        <f aca="false">PROJETS!$AI$66</f>
        <v>0</v>
      </c>
      <c r="G129" s="242" t="n">
        <f aca="false">PROJETS!$AL$66</f>
        <v>0</v>
      </c>
      <c r="H129" s="242" t="n">
        <f aca="false">PROJETS!$BD$66</f>
        <v>0</v>
      </c>
      <c r="I129" s="244" t="str">
        <f aca="false">IF(PROJETS!$A$66="","",IF(PROJETS!$AD$66="Termine","🟢",IF(OR(PROJETS!$BE$66=TRUE(),PROJETS!$BG$66=TRUE(),PROJETS!$BH$66=TRUE()),"🔴",IF(PROJETS!$BD$66&gt;=0.7,"🟢",IF(PROJETS!$BD$66&gt;=0.4,"🟠","🔴")))))</f>
        <v/>
      </c>
    </row>
    <row r="130" customFormat="false" ht="15" hidden="false" customHeight="true" outlineLevel="0" collapsed="false">
      <c r="A130" s="243" t="str">
        <f aca="false">PROJETS!$A$67</f>
        <v/>
      </c>
      <c r="B130" s="237" t="n">
        <f aca="false">PROJETS!$C$67</f>
        <v>0</v>
      </c>
      <c r="C130" s="243" t="n">
        <f aca="false">PROJETS!$J$67</f>
        <v>0</v>
      </c>
      <c r="D130" s="243" t="n">
        <f aca="false">PROJETS!$AD$67</f>
        <v>0</v>
      </c>
      <c r="E130" s="238" t="n">
        <f aca="false">PROJETS!$AG$67</f>
        <v>0</v>
      </c>
      <c r="F130" s="238" t="n">
        <f aca="false">PROJETS!$AI$67</f>
        <v>0</v>
      </c>
      <c r="G130" s="239" t="n">
        <f aca="false">PROJETS!$AL$67</f>
        <v>0</v>
      </c>
      <c r="H130" s="239" t="n">
        <f aca="false">PROJETS!$BD$67</f>
        <v>0</v>
      </c>
      <c r="I130" s="243" t="str">
        <f aca="false">IF(PROJETS!$A$67="","",IF(PROJETS!$AD$67="Termine","🟢",IF(OR(PROJETS!$BE$67=TRUE(),PROJETS!$BG$67=TRUE(),PROJETS!$BH$67=TRUE()),"🔴",IF(PROJETS!$BD$67&gt;=0.7,"🟢",IF(PROJETS!$BD$67&gt;=0.4,"🟠","🔴")))))</f>
        <v/>
      </c>
    </row>
    <row r="131" customFormat="false" ht="15" hidden="false" customHeight="true" outlineLevel="0" collapsed="false">
      <c r="A131" s="244" t="str">
        <f aca="false">PROJETS!$A$68</f>
        <v/>
      </c>
      <c r="B131" s="240" t="n">
        <f aca="false">PROJETS!$C$68</f>
        <v>0</v>
      </c>
      <c r="C131" s="244" t="n">
        <f aca="false">PROJETS!$J$68</f>
        <v>0</v>
      </c>
      <c r="D131" s="244" t="n">
        <f aca="false">PROJETS!$AD$68</f>
        <v>0</v>
      </c>
      <c r="E131" s="241" t="n">
        <f aca="false">PROJETS!$AG$68</f>
        <v>0</v>
      </c>
      <c r="F131" s="241" t="n">
        <f aca="false">PROJETS!$AI$68</f>
        <v>0</v>
      </c>
      <c r="G131" s="242" t="n">
        <f aca="false">PROJETS!$AL$68</f>
        <v>0</v>
      </c>
      <c r="H131" s="242" t="n">
        <f aca="false">PROJETS!$BD$68</f>
        <v>0</v>
      </c>
      <c r="I131" s="244" t="str">
        <f aca="false">IF(PROJETS!$A$68="","",IF(PROJETS!$AD$68="Termine","🟢",IF(OR(PROJETS!$BE$68=TRUE(),PROJETS!$BG$68=TRUE(),PROJETS!$BH$68=TRUE()),"🔴",IF(PROJETS!$BD$68&gt;=0.7,"🟢",IF(PROJETS!$BD$68&gt;=0.4,"🟠","🔴")))))</f>
        <v/>
      </c>
    </row>
    <row r="132" customFormat="false" ht="15" hidden="false" customHeight="true" outlineLevel="0" collapsed="false">
      <c r="A132" s="243" t="str">
        <f aca="false">PROJETS!$A$69</f>
        <v/>
      </c>
      <c r="B132" s="237" t="n">
        <f aca="false">PROJETS!$C$69</f>
        <v>0</v>
      </c>
      <c r="C132" s="243" t="n">
        <f aca="false">PROJETS!$J$69</f>
        <v>0</v>
      </c>
      <c r="D132" s="243" t="n">
        <f aca="false">PROJETS!$AD$69</f>
        <v>0</v>
      </c>
      <c r="E132" s="238" t="n">
        <f aca="false">PROJETS!$AG$69</f>
        <v>0</v>
      </c>
      <c r="F132" s="238" t="n">
        <f aca="false">PROJETS!$AI$69</f>
        <v>0</v>
      </c>
      <c r="G132" s="239" t="n">
        <f aca="false">PROJETS!$AL$69</f>
        <v>0</v>
      </c>
      <c r="H132" s="239" t="n">
        <f aca="false">PROJETS!$BD$69</f>
        <v>0</v>
      </c>
      <c r="I132" s="243" t="str">
        <f aca="false">IF(PROJETS!$A$69="","",IF(PROJETS!$AD$69="Termine","🟢",IF(OR(PROJETS!$BE$69=TRUE(),PROJETS!$BG$69=TRUE(),PROJETS!$BH$69=TRUE()),"🔴",IF(PROJETS!$BD$69&gt;=0.7,"🟢",IF(PROJETS!$BD$69&gt;=0.4,"🟠","🔴")))))</f>
        <v/>
      </c>
    </row>
    <row r="133" customFormat="false" ht="15" hidden="false" customHeight="true" outlineLevel="0" collapsed="false">
      <c r="A133" s="244" t="str">
        <f aca="false">PROJETS!$A$70</f>
        <v/>
      </c>
      <c r="B133" s="240" t="n">
        <f aca="false">PROJETS!$C$70</f>
        <v>0</v>
      </c>
      <c r="C133" s="244" t="n">
        <f aca="false">PROJETS!$J$70</f>
        <v>0</v>
      </c>
      <c r="D133" s="244" t="n">
        <f aca="false">PROJETS!$AD$70</f>
        <v>0</v>
      </c>
      <c r="E133" s="241" t="n">
        <f aca="false">PROJETS!$AG$70</f>
        <v>0</v>
      </c>
      <c r="F133" s="241" t="n">
        <f aca="false">PROJETS!$AI$70</f>
        <v>0</v>
      </c>
      <c r="G133" s="242" t="n">
        <f aca="false">PROJETS!$AL$70</f>
        <v>0</v>
      </c>
      <c r="H133" s="242" t="n">
        <f aca="false">PROJETS!$BD$70</f>
        <v>0</v>
      </c>
      <c r="I133" s="244" t="str">
        <f aca="false">IF(PROJETS!$A$70="","",IF(PROJETS!$AD$70="Termine","🟢",IF(OR(PROJETS!$BE$70=TRUE(),PROJETS!$BG$70=TRUE(),PROJETS!$BH$70=TRUE()),"🔴",IF(PROJETS!$BD$70&gt;=0.7,"🟢",IF(PROJETS!$BD$70&gt;=0.4,"🟠","🔴")))))</f>
        <v/>
      </c>
    </row>
    <row r="134" customFormat="false" ht="15" hidden="false" customHeight="true" outlineLevel="0" collapsed="false">
      <c r="A134" s="243" t="str">
        <f aca="false">PROJETS!$A$71</f>
        <v/>
      </c>
      <c r="B134" s="237" t="n">
        <f aca="false">PROJETS!$C$71</f>
        <v>0</v>
      </c>
      <c r="C134" s="243" t="n">
        <f aca="false">PROJETS!$J$71</f>
        <v>0</v>
      </c>
      <c r="D134" s="243" t="n">
        <f aca="false">PROJETS!$AD$71</f>
        <v>0</v>
      </c>
      <c r="E134" s="238" t="n">
        <f aca="false">PROJETS!$AG$71</f>
        <v>0</v>
      </c>
      <c r="F134" s="238" t="n">
        <f aca="false">PROJETS!$AI$71</f>
        <v>0</v>
      </c>
      <c r="G134" s="239" t="n">
        <f aca="false">PROJETS!$AL$71</f>
        <v>0</v>
      </c>
      <c r="H134" s="239" t="n">
        <f aca="false">PROJETS!$BD$71</f>
        <v>0</v>
      </c>
      <c r="I134" s="243" t="str">
        <f aca="false">IF(PROJETS!$A$71="","",IF(PROJETS!$AD$71="Termine","🟢",IF(OR(PROJETS!$BE$71=TRUE(),PROJETS!$BG$71=TRUE(),PROJETS!$BH$71=TRUE()),"🔴",IF(PROJETS!$BD$71&gt;=0.7,"🟢",IF(PROJETS!$BD$71&gt;=0.4,"🟠","🔴")))))</f>
        <v/>
      </c>
    </row>
    <row r="135" customFormat="false" ht="15" hidden="false" customHeight="true" outlineLevel="0" collapsed="false">
      <c r="A135" s="244" t="str">
        <f aca="false">PROJETS!$A$72</f>
        <v/>
      </c>
      <c r="B135" s="240" t="n">
        <f aca="false">PROJETS!$C$72</f>
        <v>0</v>
      </c>
      <c r="C135" s="244" t="n">
        <f aca="false">PROJETS!$J$72</f>
        <v>0</v>
      </c>
      <c r="D135" s="244" t="n">
        <f aca="false">PROJETS!$AD$72</f>
        <v>0</v>
      </c>
      <c r="E135" s="241" t="n">
        <f aca="false">PROJETS!$AG$72</f>
        <v>0</v>
      </c>
      <c r="F135" s="241" t="n">
        <f aca="false">PROJETS!$AI$72</f>
        <v>0</v>
      </c>
      <c r="G135" s="242" t="n">
        <f aca="false">PROJETS!$AL$72</f>
        <v>0</v>
      </c>
      <c r="H135" s="242" t="n">
        <f aca="false">PROJETS!$BD$72</f>
        <v>0</v>
      </c>
      <c r="I135" s="244" t="str">
        <f aca="false">IF(PROJETS!$A$72="","",IF(PROJETS!$AD$72="Termine","🟢",IF(OR(PROJETS!$BE$72=TRUE(),PROJETS!$BG$72=TRUE(),PROJETS!$BH$72=TRUE()),"🔴",IF(PROJETS!$BD$72&gt;=0.7,"🟢",IF(PROJETS!$BD$72&gt;=0.4,"🟠","🔴")))))</f>
        <v/>
      </c>
    </row>
    <row r="136" customFormat="false" ht="15" hidden="false" customHeight="true" outlineLevel="0" collapsed="false">
      <c r="A136" s="243" t="str">
        <f aca="false">PROJETS!$A$73</f>
        <v/>
      </c>
      <c r="B136" s="237" t="n">
        <f aca="false">PROJETS!$C$73</f>
        <v>0</v>
      </c>
      <c r="C136" s="243" t="n">
        <f aca="false">PROJETS!$J$73</f>
        <v>0</v>
      </c>
      <c r="D136" s="243" t="n">
        <f aca="false">PROJETS!$AD$73</f>
        <v>0</v>
      </c>
      <c r="E136" s="238" t="n">
        <f aca="false">PROJETS!$AG$73</f>
        <v>0</v>
      </c>
      <c r="F136" s="238" t="n">
        <f aca="false">PROJETS!$AI$73</f>
        <v>0</v>
      </c>
      <c r="G136" s="239" t="n">
        <f aca="false">PROJETS!$AL$73</f>
        <v>0</v>
      </c>
      <c r="H136" s="239" t="n">
        <f aca="false">PROJETS!$BD$73</f>
        <v>0</v>
      </c>
      <c r="I136" s="243" t="str">
        <f aca="false">IF(PROJETS!$A$73="","",IF(PROJETS!$AD$73="Termine","🟢",IF(OR(PROJETS!$BE$73=TRUE(),PROJETS!$BG$73=TRUE(),PROJETS!$BH$73=TRUE()),"🔴",IF(PROJETS!$BD$73&gt;=0.7,"🟢",IF(PROJETS!$BD$73&gt;=0.4,"🟠","🔴")))))</f>
        <v/>
      </c>
    </row>
    <row r="137" customFormat="false" ht="15" hidden="false" customHeight="true" outlineLevel="0" collapsed="false">
      <c r="A137" s="244" t="str">
        <f aca="false">PROJETS!$A$74</f>
        <v/>
      </c>
      <c r="B137" s="240" t="n">
        <f aca="false">PROJETS!$C$74</f>
        <v>0</v>
      </c>
      <c r="C137" s="244" t="n">
        <f aca="false">PROJETS!$J$74</f>
        <v>0</v>
      </c>
      <c r="D137" s="244" t="n">
        <f aca="false">PROJETS!$AD$74</f>
        <v>0</v>
      </c>
      <c r="E137" s="241" t="n">
        <f aca="false">PROJETS!$AG$74</f>
        <v>0</v>
      </c>
      <c r="F137" s="241" t="n">
        <f aca="false">PROJETS!$AI$74</f>
        <v>0</v>
      </c>
      <c r="G137" s="242" t="n">
        <f aca="false">PROJETS!$AL$74</f>
        <v>0</v>
      </c>
      <c r="H137" s="242" t="n">
        <f aca="false">PROJETS!$BD$74</f>
        <v>0</v>
      </c>
      <c r="I137" s="244" t="str">
        <f aca="false">IF(PROJETS!$A$74="","",IF(PROJETS!$AD$74="Termine","🟢",IF(OR(PROJETS!$BE$74=TRUE(),PROJETS!$BG$74=TRUE(),PROJETS!$BH$74=TRUE()),"🔴",IF(PROJETS!$BD$74&gt;=0.7,"🟢",IF(PROJETS!$BD$74&gt;=0.4,"🟠","🔴")))))</f>
        <v/>
      </c>
    </row>
    <row r="138" customFormat="false" ht="15" hidden="false" customHeight="true" outlineLevel="0" collapsed="false">
      <c r="A138" s="243" t="str">
        <f aca="false">PROJETS!$A$75</f>
        <v/>
      </c>
      <c r="B138" s="237" t="n">
        <f aca="false">PROJETS!$C$75</f>
        <v>0</v>
      </c>
      <c r="C138" s="243" t="n">
        <f aca="false">PROJETS!$J$75</f>
        <v>0</v>
      </c>
      <c r="D138" s="243" t="n">
        <f aca="false">PROJETS!$AD$75</f>
        <v>0</v>
      </c>
      <c r="E138" s="238" t="n">
        <f aca="false">PROJETS!$AG$75</f>
        <v>0</v>
      </c>
      <c r="F138" s="238" t="n">
        <f aca="false">PROJETS!$AI$75</f>
        <v>0</v>
      </c>
      <c r="G138" s="239" t="n">
        <f aca="false">PROJETS!$AL$75</f>
        <v>0</v>
      </c>
      <c r="H138" s="239" t="n">
        <f aca="false">PROJETS!$BD$75</f>
        <v>0</v>
      </c>
      <c r="I138" s="243" t="str">
        <f aca="false">IF(PROJETS!$A$75="","",IF(PROJETS!$AD$75="Termine","🟢",IF(OR(PROJETS!$BE$75=TRUE(),PROJETS!$BG$75=TRUE(),PROJETS!$BH$75=TRUE()),"🔴",IF(PROJETS!$BD$75&gt;=0.7,"🟢",IF(PROJETS!$BD$75&gt;=0.4,"🟠","🔴")))))</f>
        <v/>
      </c>
    </row>
    <row r="139" customFormat="false" ht="15" hidden="false" customHeight="true" outlineLevel="0" collapsed="false">
      <c r="A139" s="244" t="str">
        <f aca="false">PROJETS!$A$76</f>
        <v/>
      </c>
      <c r="B139" s="240" t="n">
        <f aca="false">PROJETS!$C$76</f>
        <v>0</v>
      </c>
      <c r="C139" s="244" t="n">
        <f aca="false">PROJETS!$J$76</f>
        <v>0</v>
      </c>
      <c r="D139" s="244" t="n">
        <f aca="false">PROJETS!$AD$76</f>
        <v>0</v>
      </c>
      <c r="E139" s="241" t="n">
        <f aca="false">PROJETS!$AG$76</f>
        <v>0</v>
      </c>
      <c r="F139" s="241" t="n">
        <f aca="false">PROJETS!$AI$76</f>
        <v>0</v>
      </c>
      <c r="G139" s="242" t="n">
        <f aca="false">PROJETS!$AL$76</f>
        <v>0</v>
      </c>
      <c r="H139" s="242" t="n">
        <f aca="false">PROJETS!$BD$76</f>
        <v>0</v>
      </c>
      <c r="I139" s="244" t="str">
        <f aca="false">IF(PROJETS!$A$76="","",IF(PROJETS!$AD$76="Termine","🟢",IF(OR(PROJETS!$BE$76=TRUE(),PROJETS!$BG$76=TRUE(),PROJETS!$BH$76=TRUE()),"🔴",IF(PROJETS!$BD$76&gt;=0.7,"🟢",IF(PROJETS!$BD$76&gt;=0.4,"🟠","🔴")))))</f>
        <v/>
      </c>
    </row>
    <row r="140" customFormat="false" ht="15" hidden="false" customHeight="true" outlineLevel="0" collapsed="false">
      <c r="A140" s="243" t="str">
        <f aca="false">PROJETS!$A$77</f>
        <v/>
      </c>
      <c r="B140" s="237" t="n">
        <f aca="false">PROJETS!$C$77</f>
        <v>0</v>
      </c>
      <c r="C140" s="243" t="n">
        <f aca="false">PROJETS!$J$77</f>
        <v>0</v>
      </c>
      <c r="D140" s="243" t="n">
        <f aca="false">PROJETS!$AD$77</f>
        <v>0</v>
      </c>
      <c r="E140" s="238" t="n">
        <f aca="false">PROJETS!$AG$77</f>
        <v>0</v>
      </c>
      <c r="F140" s="238" t="n">
        <f aca="false">PROJETS!$AI$77</f>
        <v>0</v>
      </c>
      <c r="G140" s="239" t="n">
        <f aca="false">PROJETS!$AL$77</f>
        <v>0</v>
      </c>
      <c r="H140" s="239" t="n">
        <f aca="false">PROJETS!$BD$77</f>
        <v>0</v>
      </c>
      <c r="I140" s="243" t="str">
        <f aca="false">IF(PROJETS!$A$77="","",IF(PROJETS!$AD$77="Termine","🟢",IF(OR(PROJETS!$BE$77=TRUE(),PROJETS!$BG$77=TRUE(),PROJETS!$BH$77=TRUE()),"🔴",IF(PROJETS!$BD$77&gt;=0.7,"🟢",IF(PROJETS!$BD$77&gt;=0.4,"🟠","🔴")))))</f>
        <v/>
      </c>
    </row>
    <row r="141" customFormat="false" ht="15" hidden="false" customHeight="true" outlineLevel="0" collapsed="false">
      <c r="A141" s="244" t="str">
        <f aca="false">PROJETS!$A$78</f>
        <v/>
      </c>
      <c r="B141" s="240" t="n">
        <f aca="false">PROJETS!$C$78</f>
        <v>0</v>
      </c>
      <c r="C141" s="244" t="n">
        <f aca="false">PROJETS!$J$78</f>
        <v>0</v>
      </c>
      <c r="D141" s="244" t="n">
        <f aca="false">PROJETS!$AD$78</f>
        <v>0</v>
      </c>
      <c r="E141" s="241" t="n">
        <f aca="false">PROJETS!$AG$78</f>
        <v>0</v>
      </c>
      <c r="F141" s="241" t="n">
        <f aca="false">PROJETS!$AI$78</f>
        <v>0</v>
      </c>
      <c r="G141" s="242" t="n">
        <f aca="false">PROJETS!$AL$78</f>
        <v>0</v>
      </c>
      <c r="H141" s="242" t="n">
        <f aca="false">PROJETS!$BD$78</f>
        <v>0</v>
      </c>
      <c r="I141" s="244" t="str">
        <f aca="false">IF(PROJETS!$A$78="","",IF(PROJETS!$AD$78="Termine","🟢",IF(OR(PROJETS!$BE$78=TRUE(),PROJETS!$BG$78=TRUE(),PROJETS!$BH$78=TRUE()),"🔴",IF(PROJETS!$BD$78&gt;=0.7,"🟢",IF(PROJETS!$BD$78&gt;=0.4,"🟠","🔴")))))</f>
        <v/>
      </c>
    </row>
    <row r="142" customFormat="false" ht="15" hidden="false" customHeight="true" outlineLevel="0" collapsed="false">
      <c r="A142" s="243" t="str">
        <f aca="false">PROJETS!$A$79</f>
        <v/>
      </c>
      <c r="B142" s="237" t="n">
        <f aca="false">PROJETS!$C$79</f>
        <v>0</v>
      </c>
      <c r="C142" s="243" t="n">
        <f aca="false">PROJETS!$J$79</f>
        <v>0</v>
      </c>
      <c r="D142" s="243" t="n">
        <f aca="false">PROJETS!$AD$79</f>
        <v>0</v>
      </c>
      <c r="E142" s="238" t="n">
        <f aca="false">PROJETS!$AG$79</f>
        <v>0</v>
      </c>
      <c r="F142" s="238" t="n">
        <f aca="false">PROJETS!$AI$79</f>
        <v>0</v>
      </c>
      <c r="G142" s="239" t="n">
        <f aca="false">PROJETS!$AL$79</f>
        <v>0</v>
      </c>
      <c r="H142" s="239" t="n">
        <f aca="false">PROJETS!$BD$79</f>
        <v>0</v>
      </c>
      <c r="I142" s="243" t="str">
        <f aca="false">IF(PROJETS!$A$79="","",IF(PROJETS!$AD$79="Termine","🟢",IF(OR(PROJETS!$BE$79=TRUE(),PROJETS!$BG$79=TRUE(),PROJETS!$BH$79=TRUE()),"🔴",IF(PROJETS!$BD$79&gt;=0.7,"🟢",IF(PROJETS!$BD$79&gt;=0.4,"🟠","🔴")))))</f>
        <v/>
      </c>
    </row>
    <row r="143" customFormat="false" ht="15" hidden="false" customHeight="true" outlineLevel="0" collapsed="false">
      <c r="A143" s="244" t="str">
        <f aca="false">PROJETS!$A$80</f>
        <v/>
      </c>
      <c r="B143" s="240" t="n">
        <f aca="false">PROJETS!$C$80</f>
        <v>0</v>
      </c>
      <c r="C143" s="244" t="n">
        <f aca="false">PROJETS!$J$80</f>
        <v>0</v>
      </c>
      <c r="D143" s="244" t="n">
        <f aca="false">PROJETS!$AD$80</f>
        <v>0</v>
      </c>
      <c r="E143" s="241" t="n">
        <f aca="false">PROJETS!$AG$80</f>
        <v>0</v>
      </c>
      <c r="F143" s="241" t="n">
        <f aca="false">PROJETS!$AI$80</f>
        <v>0</v>
      </c>
      <c r="G143" s="242" t="n">
        <f aca="false">PROJETS!$AL$80</f>
        <v>0</v>
      </c>
      <c r="H143" s="242" t="n">
        <f aca="false">PROJETS!$BD$80</f>
        <v>0</v>
      </c>
      <c r="I143" s="244" t="str">
        <f aca="false">IF(PROJETS!$A$80="","",IF(PROJETS!$AD$80="Termine","🟢",IF(OR(PROJETS!$BE$80=TRUE(),PROJETS!$BG$80=TRUE(),PROJETS!$BH$80=TRUE()),"🔴",IF(PROJETS!$BD$80&gt;=0.7,"🟢",IF(PROJETS!$BD$80&gt;=0.4,"🟠","🔴")))))</f>
        <v/>
      </c>
    </row>
    <row r="144" customFormat="false" ht="15" hidden="false" customHeight="true" outlineLevel="0" collapsed="false">
      <c r="A144" s="243" t="str">
        <f aca="false">PROJETS!$A$81</f>
        <v/>
      </c>
      <c r="B144" s="237" t="n">
        <f aca="false">PROJETS!$C$81</f>
        <v>0</v>
      </c>
      <c r="C144" s="243" t="n">
        <f aca="false">PROJETS!$J$81</f>
        <v>0</v>
      </c>
      <c r="D144" s="243" t="n">
        <f aca="false">PROJETS!$AD$81</f>
        <v>0</v>
      </c>
      <c r="E144" s="238" t="n">
        <f aca="false">PROJETS!$AG$81</f>
        <v>0</v>
      </c>
      <c r="F144" s="238" t="n">
        <f aca="false">PROJETS!$AI$81</f>
        <v>0</v>
      </c>
      <c r="G144" s="239" t="n">
        <f aca="false">PROJETS!$AL$81</f>
        <v>0</v>
      </c>
      <c r="H144" s="239" t="n">
        <f aca="false">PROJETS!$BD$81</f>
        <v>0</v>
      </c>
      <c r="I144" s="243" t="str">
        <f aca="false">IF(PROJETS!$A$81="","",IF(PROJETS!$AD$81="Termine","🟢",IF(OR(PROJETS!$BE$81=TRUE(),PROJETS!$BG$81=TRUE(),PROJETS!$BH$81=TRUE()),"🔴",IF(PROJETS!$BD$81&gt;=0.7,"🟢",IF(PROJETS!$BD$81&gt;=0.4,"🟠","🔴")))))</f>
        <v/>
      </c>
    </row>
    <row r="145" customFormat="false" ht="15" hidden="false" customHeight="true" outlineLevel="0" collapsed="false">
      <c r="A145" s="244" t="str">
        <f aca="false">PROJETS!$A$82</f>
        <v/>
      </c>
      <c r="B145" s="240" t="n">
        <f aca="false">PROJETS!$C$82</f>
        <v>0</v>
      </c>
      <c r="C145" s="244" t="n">
        <f aca="false">PROJETS!$J$82</f>
        <v>0</v>
      </c>
      <c r="D145" s="244" t="n">
        <f aca="false">PROJETS!$AD$82</f>
        <v>0</v>
      </c>
      <c r="E145" s="241" t="n">
        <f aca="false">PROJETS!$AG$82</f>
        <v>0</v>
      </c>
      <c r="F145" s="241" t="n">
        <f aca="false">PROJETS!$AI$82</f>
        <v>0</v>
      </c>
      <c r="G145" s="242" t="n">
        <f aca="false">PROJETS!$AL$82</f>
        <v>0</v>
      </c>
      <c r="H145" s="242" t="n">
        <f aca="false">PROJETS!$BD$82</f>
        <v>0</v>
      </c>
      <c r="I145" s="244" t="str">
        <f aca="false">IF(PROJETS!$A$82="","",IF(PROJETS!$AD$82="Termine","🟢",IF(OR(PROJETS!$BE$82=TRUE(),PROJETS!$BG$82=TRUE(),PROJETS!$BH$82=TRUE()),"🔴",IF(PROJETS!$BD$82&gt;=0.7,"🟢",IF(PROJETS!$BD$82&gt;=0.4,"🟠","🔴")))))</f>
        <v/>
      </c>
    </row>
    <row r="146" customFormat="false" ht="15" hidden="false" customHeight="true" outlineLevel="0" collapsed="false">
      <c r="A146" s="243" t="str">
        <f aca="false">PROJETS!$A$83</f>
        <v/>
      </c>
      <c r="B146" s="237" t="n">
        <f aca="false">PROJETS!$C$83</f>
        <v>0</v>
      </c>
      <c r="C146" s="243" t="n">
        <f aca="false">PROJETS!$J$83</f>
        <v>0</v>
      </c>
      <c r="D146" s="243" t="n">
        <f aca="false">PROJETS!$AD$83</f>
        <v>0</v>
      </c>
      <c r="E146" s="238" t="n">
        <f aca="false">PROJETS!$AG$83</f>
        <v>0</v>
      </c>
      <c r="F146" s="238" t="n">
        <f aca="false">PROJETS!$AI$83</f>
        <v>0</v>
      </c>
      <c r="G146" s="239" t="n">
        <f aca="false">PROJETS!$AL$83</f>
        <v>0</v>
      </c>
      <c r="H146" s="239" t="n">
        <f aca="false">PROJETS!$BD$83</f>
        <v>0</v>
      </c>
      <c r="I146" s="243" t="str">
        <f aca="false">IF(PROJETS!$A$83="","",IF(PROJETS!$AD$83="Termine","🟢",IF(OR(PROJETS!$BE$83=TRUE(),PROJETS!$BG$83=TRUE(),PROJETS!$BH$83=TRUE()),"🔴",IF(PROJETS!$BD$83&gt;=0.7,"🟢",IF(PROJETS!$BD$83&gt;=0.4,"🟠","🔴")))))</f>
        <v/>
      </c>
    </row>
    <row r="147" customFormat="false" ht="15" hidden="false" customHeight="true" outlineLevel="0" collapsed="false">
      <c r="A147" s="244" t="str">
        <f aca="false">PROJETS!$A$84</f>
        <v/>
      </c>
      <c r="B147" s="240" t="n">
        <f aca="false">PROJETS!$C$84</f>
        <v>0</v>
      </c>
      <c r="C147" s="244" t="n">
        <f aca="false">PROJETS!$J$84</f>
        <v>0</v>
      </c>
      <c r="D147" s="244" t="n">
        <f aca="false">PROJETS!$AD$84</f>
        <v>0</v>
      </c>
      <c r="E147" s="241" t="n">
        <f aca="false">PROJETS!$AG$84</f>
        <v>0</v>
      </c>
      <c r="F147" s="241" t="n">
        <f aca="false">PROJETS!$AI$84</f>
        <v>0</v>
      </c>
      <c r="G147" s="242" t="n">
        <f aca="false">PROJETS!$AL$84</f>
        <v>0</v>
      </c>
      <c r="H147" s="242" t="n">
        <f aca="false">PROJETS!$BD$84</f>
        <v>0</v>
      </c>
      <c r="I147" s="244" t="str">
        <f aca="false">IF(PROJETS!$A$84="","",IF(PROJETS!$AD$84="Termine","🟢",IF(OR(PROJETS!$BE$84=TRUE(),PROJETS!$BG$84=TRUE(),PROJETS!$BH$84=TRUE()),"🔴",IF(PROJETS!$BD$84&gt;=0.7,"🟢",IF(PROJETS!$BD$84&gt;=0.4,"🟠","🔴")))))</f>
        <v/>
      </c>
    </row>
    <row r="148" customFormat="false" ht="15" hidden="false" customHeight="true" outlineLevel="0" collapsed="false">
      <c r="A148" s="243" t="str">
        <f aca="false">PROJETS!$A$85</f>
        <v/>
      </c>
      <c r="B148" s="237" t="n">
        <f aca="false">PROJETS!$C$85</f>
        <v>0</v>
      </c>
      <c r="C148" s="243" t="n">
        <f aca="false">PROJETS!$J$85</f>
        <v>0</v>
      </c>
      <c r="D148" s="243" t="n">
        <f aca="false">PROJETS!$AD$85</f>
        <v>0</v>
      </c>
      <c r="E148" s="238" t="n">
        <f aca="false">PROJETS!$AG$85</f>
        <v>0</v>
      </c>
      <c r="F148" s="238" t="n">
        <f aca="false">PROJETS!$AI$85</f>
        <v>0</v>
      </c>
      <c r="G148" s="239" t="n">
        <f aca="false">PROJETS!$AL$85</f>
        <v>0</v>
      </c>
      <c r="H148" s="239" t="n">
        <f aca="false">PROJETS!$BD$85</f>
        <v>0</v>
      </c>
      <c r="I148" s="243" t="str">
        <f aca="false">IF(PROJETS!$A$85="","",IF(PROJETS!$AD$85="Termine","🟢",IF(OR(PROJETS!$BE$85=TRUE(),PROJETS!$BG$85=TRUE(),PROJETS!$BH$85=TRUE()),"🔴",IF(PROJETS!$BD$85&gt;=0.7,"🟢",IF(PROJETS!$BD$85&gt;=0.4,"🟠","🔴")))))</f>
        <v/>
      </c>
    </row>
    <row r="149" customFormat="false" ht="15" hidden="false" customHeight="true" outlineLevel="0" collapsed="false">
      <c r="A149" s="244" t="str">
        <f aca="false">PROJETS!$A$86</f>
        <v/>
      </c>
      <c r="B149" s="240" t="n">
        <f aca="false">PROJETS!$C$86</f>
        <v>0</v>
      </c>
      <c r="C149" s="244" t="n">
        <f aca="false">PROJETS!$J$86</f>
        <v>0</v>
      </c>
      <c r="D149" s="244" t="n">
        <f aca="false">PROJETS!$AD$86</f>
        <v>0</v>
      </c>
      <c r="E149" s="241" t="n">
        <f aca="false">PROJETS!$AG$86</f>
        <v>0</v>
      </c>
      <c r="F149" s="241" t="n">
        <f aca="false">PROJETS!$AI$86</f>
        <v>0</v>
      </c>
      <c r="G149" s="242" t="n">
        <f aca="false">PROJETS!$AL$86</f>
        <v>0</v>
      </c>
      <c r="H149" s="242" t="n">
        <f aca="false">PROJETS!$BD$86</f>
        <v>0</v>
      </c>
      <c r="I149" s="244" t="str">
        <f aca="false">IF(PROJETS!$A$86="","",IF(PROJETS!$AD$86="Termine","🟢",IF(OR(PROJETS!$BE$86=TRUE(),PROJETS!$BG$86=TRUE(),PROJETS!$BH$86=TRUE()),"🔴",IF(PROJETS!$BD$86&gt;=0.7,"🟢",IF(PROJETS!$BD$86&gt;=0.4,"🟠","🔴")))))</f>
        <v/>
      </c>
    </row>
    <row r="150" customFormat="false" ht="15" hidden="false" customHeight="true" outlineLevel="0" collapsed="false">
      <c r="A150" s="243" t="str">
        <f aca="false">PROJETS!$A$87</f>
        <v/>
      </c>
      <c r="B150" s="237" t="n">
        <f aca="false">PROJETS!$C$87</f>
        <v>0</v>
      </c>
      <c r="C150" s="243" t="n">
        <f aca="false">PROJETS!$J$87</f>
        <v>0</v>
      </c>
      <c r="D150" s="243" t="n">
        <f aca="false">PROJETS!$AD$87</f>
        <v>0</v>
      </c>
      <c r="E150" s="238" t="n">
        <f aca="false">PROJETS!$AG$87</f>
        <v>0</v>
      </c>
      <c r="F150" s="238" t="n">
        <f aca="false">PROJETS!$AI$87</f>
        <v>0</v>
      </c>
      <c r="G150" s="239" t="n">
        <f aca="false">PROJETS!$AL$87</f>
        <v>0</v>
      </c>
      <c r="H150" s="239" t="n">
        <f aca="false">PROJETS!$BD$87</f>
        <v>0</v>
      </c>
      <c r="I150" s="243" t="str">
        <f aca="false">IF(PROJETS!$A$87="","",IF(PROJETS!$AD$87="Termine","🟢",IF(OR(PROJETS!$BE$87=TRUE(),PROJETS!$BG$87=TRUE(),PROJETS!$BH$87=TRUE()),"🔴",IF(PROJETS!$BD$87&gt;=0.7,"🟢",IF(PROJETS!$BD$87&gt;=0.4,"🟠","🔴")))))</f>
        <v/>
      </c>
    </row>
    <row r="151" customFormat="false" ht="15" hidden="false" customHeight="true" outlineLevel="0" collapsed="false">
      <c r="A151" s="244" t="str">
        <f aca="false">PROJETS!$A$88</f>
        <v/>
      </c>
      <c r="B151" s="240" t="n">
        <f aca="false">PROJETS!$C$88</f>
        <v>0</v>
      </c>
      <c r="C151" s="244" t="n">
        <f aca="false">PROJETS!$J$88</f>
        <v>0</v>
      </c>
      <c r="D151" s="244" t="n">
        <f aca="false">PROJETS!$AD$88</f>
        <v>0</v>
      </c>
      <c r="E151" s="241" t="n">
        <f aca="false">PROJETS!$AG$88</f>
        <v>0</v>
      </c>
      <c r="F151" s="241" t="n">
        <f aca="false">PROJETS!$AI$88</f>
        <v>0</v>
      </c>
      <c r="G151" s="242" t="n">
        <f aca="false">PROJETS!$AL$88</f>
        <v>0</v>
      </c>
      <c r="H151" s="242" t="n">
        <f aca="false">PROJETS!$BD$88</f>
        <v>0</v>
      </c>
      <c r="I151" s="244" t="str">
        <f aca="false">IF(PROJETS!$A$88="","",IF(PROJETS!$AD$88="Termine","🟢",IF(OR(PROJETS!$BE$88=TRUE(),PROJETS!$BG$88=TRUE(),PROJETS!$BH$88=TRUE()),"🔴",IF(PROJETS!$BD$88&gt;=0.7,"🟢",IF(PROJETS!$BD$88&gt;=0.4,"🟠","🔴")))))</f>
        <v/>
      </c>
    </row>
    <row r="152" customFormat="false" ht="15" hidden="false" customHeight="true" outlineLevel="0" collapsed="false">
      <c r="A152" s="243" t="str">
        <f aca="false">PROJETS!$A$89</f>
        <v/>
      </c>
      <c r="B152" s="237" t="n">
        <f aca="false">PROJETS!$C$89</f>
        <v>0</v>
      </c>
      <c r="C152" s="243" t="n">
        <f aca="false">PROJETS!$J$89</f>
        <v>0</v>
      </c>
      <c r="D152" s="243" t="n">
        <f aca="false">PROJETS!$AD$89</f>
        <v>0</v>
      </c>
      <c r="E152" s="238" t="n">
        <f aca="false">PROJETS!$AG$89</f>
        <v>0</v>
      </c>
      <c r="F152" s="238" t="n">
        <f aca="false">PROJETS!$AI$89</f>
        <v>0</v>
      </c>
      <c r="G152" s="239" t="n">
        <f aca="false">PROJETS!$AL$89</f>
        <v>0</v>
      </c>
      <c r="H152" s="239" t="n">
        <f aca="false">PROJETS!$BD$89</f>
        <v>0</v>
      </c>
      <c r="I152" s="243" t="str">
        <f aca="false">IF(PROJETS!$A$89="","",IF(PROJETS!$AD$89="Termine","🟢",IF(OR(PROJETS!$BE$89=TRUE(),PROJETS!$BG$89=TRUE(),PROJETS!$BH$89=TRUE()),"🔴",IF(PROJETS!$BD$89&gt;=0.7,"🟢",IF(PROJETS!$BD$89&gt;=0.4,"🟠","🔴")))))</f>
        <v/>
      </c>
    </row>
    <row r="153" customFormat="false" ht="15" hidden="false" customHeight="true" outlineLevel="0" collapsed="false">
      <c r="A153" s="244" t="str">
        <f aca="false">PROJETS!$A$90</f>
        <v/>
      </c>
      <c r="B153" s="240" t="n">
        <f aca="false">PROJETS!$C$90</f>
        <v>0</v>
      </c>
      <c r="C153" s="244" t="n">
        <f aca="false">PROJETS!$J$90</f>
        <v>0</v>
      </c>
      <c r="D153" s="244" t="n">
        <f aca="false">PROJETS!$AD$90</f>
        <v>0</v>
      </c>
      <c r="E153" s="241" t="n">
        <f aca="false">PROJETS!$AG$90</f>
        <v>0</v>
      </c>
      <c r="F153" s="241" t="n">
        <f aca="false">PROJETS!$AI$90</f>
        <v>0</v>
      </c>
      <c r="G153" s="242" t="n">
        <f aca="false">PROJETS!$AL$90</f>
        <v>0</v>
      </c>
      <c r="H153" s="242" t="n">
        <f aca="false">PROJETS!$BD$90</f>
        <v>0</v>
      </c>
      <c r="I153" s="244" t="str">
        <f aca="false">IF(PROJETS!$A$90="","",IF(PROJETS!$AD$90="Termine","🟢",IF(OR(PROJETS!$BE$90=TRUE(),PROJETS!$BG$90=TRUE(),PROJETS!$BH$90=TRUE()),"🔴",IF(PROJETS!$BD$90&gt;=0.7,"🟢",IF(PROJETS!$BD$90&gt;=0.4,"🟠","🔴")))))</f>
        <v/>
      </c>
    </row>
    <row r="154" customFormat="false" ht="15" hidden="false" customHeight="true" outlineLevel="0" collapsed="false">
      <c r="A154" s="243" t="str">
        <f aca="false">PROJETS!$A$91</f>
        <v/>
      </c>
      <c r="B154" s="237" t="n">
        <f aca="false">PROJETS!$C$91</f>
        <v>0</v>
      </c>
      <c r="C154" s="243" t="n">
        <f aca="false">PROJETS!$J$91</f>
        <v>0</v>
      </c>
      <c r="D154" s="243" t="n">
        <f aca="false">PROJETS!$AD$91</f>
        <v>0</v>
      </c>
      <c r="E154" s="238" t="n">
        <f aca="false">PROJETS!$AG$91</f>
        <v>0</v>
      </c>
      <c r="F154" s="238" t="n">
        <f aca="false">PROJETS!$AI$91</f>
        <v>0</v>
      </c>
      <c r="G154" s="239" t="n">
        <f aca="false">PROJETS!$AL$91</f>
        <v>0</v>
      </c>
      <c r="H154" s="239" t="n">
        <f aca="false">PROJETS!$BD$91</f>
        <v>0</v>
      </c>
      <c r="I154" s="243" t="str">
        <f aca="false">IF(PROJETS!$A$91="","",IF(PROJETS!$AD$91="Termine","🟢",IF(OR(PROJETS!$BE$91=TRUE(),PROJETS!$BG$91=TRUE(),PROJETS!$BH$91=TRUE()),"🔴",IF(PROJETS!$BD$91&gt;=0.7,"🟢",IF(PROJETS!$BD$91&gt;=0.4,"🟠","🔴")))))</f>
        <v/>
      </c>
    </row>
    <row r="155" customFormat="false" ht="15" hidden="false" customHeight="true" outlineLevel="0" collapsed="false">
      <c r="A155" s="244" t="str">
        <f aca="false">PROJETS!$A$92</f>
        <v/>
      </c>
      <c r="B155" s="240" t="n">
        <f aca="false">PROJETS!$C$92</f>
        <v>0</v>
      </c>
      <c r="C155" s="244" t="n">
        <f aca="false">PROJETS!$J$92</f>
        <v>0</v>
      </c>
      <c r="D155" s="244" t="n">
        <f aca="false">PROJETS!$AD$92</f>
        <v>0</v>
      </c>
      <c r="E155" s="241" t="n">
        <f aca="false">PROJETS!$AG$92</f>
        <v>0</v>
      </c>
      <c r="F155" s="241" t="n">
        <f aca="false">PROJETS!$AI$92</f>
        <v>0</v>
      </c>
      <c r="G155" s="242" t="n">
        <f aca="false">PROJETS!$AL$92</f>
        <v>0</v>
      </c>
      <c r="H155" s="242" t="n">
        <f aca="false">PROJETS!$BD$92</f>
        <v>0</v>
      </c>
      <c r="I155" s="244" t="str">
        <f aca="false">IF(PROJETS!$A$92="","",IF(PROJETS!$AD$92="Termine","🟢",IF(OR(PROJETS!$BE$92=TRUE(),PROJETS!$BG$92=TRUE(),PROJETS!$BH$92=TRUE()),"🔴",IF(PROJETS!$BD$92&gt;=0.7,"🟢",IF(PROJETS!$BD$92&gt;=0.4,"🟠","🔴")))))</f>
        <v/>
      </c>
    </row>
    <row r="156" customFormat="false" ht="15" hidden="false" customHeight="true" outlineLevel="0" collapsed="false">
      <c r="A156" s="243" t="str">
        <f aca="false">PROJETS!$A$93</f>
        <v/>
      </c>
      <c r="B156" s="237" t="n">
        <f aca="false">PROJETS!$C$93</f>
        <v>0</v>
      </c>
      <c r="C156" s="243" t="n">
        <f aca="false">PROJETS!$J$93</f>
        <v>0</v>
      </c>
      <c r="D156" s="243" t="n">
        <f aca="false">PROJETS!$AD$93</f>
        <v>0</v>
      </c>
      <c r="E156" s="238" t="n">
        <f aca="false">PROJETS!$AG$93</f>
        <v>0</v>
      </c>
      <c r="F156" s="238" t="n">
        <f aca="false">PROJETS!$AI$93</f>
        <v>0</v>
      </c>
      <c r="G156" s="239" t="n">
        <f aca="false">PROJETS!$AL$93</f>
        <v>0</v>
      </c>
      <c r="H156" s="239" t="n">
        <f aca="false">PROJETS!$BD$93</f>
        <v>0</v>
      </c>
      <c r="I156" s="243" t="str">
        <f aca="false">IF(PROJETS!$A$93="","",IF(PROJETS!$AD$93="Termine","🟢",IF(OR(PROJETS!$BE$93=TRUE(),PROJETS!$BG$93=TRUE(),PROJETS!$BH$93=TRUE()),"🔴",IF(PROJETS!$BD$93&gt;=0.7,"🟢",IF(PROJETS!$BD$93&gt;=0.4,"🟠","🔴")))))</f>
        <v/>
      </c>
    </row>
    <row r="157" customFormat="false" ht="15" hidden="false" customHeight="true" outlineLevel="0" collapsed="false">
      <c r="A157" s="244" t="str">
        <f aca="false">PROJETS!$A$94</f>
        <v/>
      </c>
      <c r="B157" s="240" t="n">
        <f aca="false">PROJETS!$C$94</f>
        <v>0</v>
      </c>
      <c r="C157" s="244" t="n">
        <f aca="false">PROJETS!$J$94</f>
        <v>0</v>
      </c>
      <c r="D157" s="244" t="n">
        <f aca="false">PROJETS!$AD$94</f>
        <v>0</v>
      </c>
      <c r="E157" s="241" t="n">
        <f aca="false">PROJETS!$AG$94</f>
        <v>0</v>
      </c>
      <c r="F157" s="241" t="n">
        <f aca="false">PROJETS!$AI$94</f>
        <v>0</v>
      </c>
      <c r="G157" s="242" t="n">
        <f aca="false">PROJETS!$AL$94</f>
        <v>0</v>
      </c>
      <c r="H157" s="242" t="n">
        <f aca="false">PROJETS!$BD$94</f>
        <v>0</v>
      </c>
      <c r="I157" s="244" t="str">
        <f aca="false">IF(PROJETS!$A$94="","",IF(PROJETS!$AD$94="Termine","🟢",IF(OR(PROJETS!$BE$94=TRUE(),PROJETS!$BG$94=TRUE(),PROJETS!$BH$94=TRUE()),"🔴",IF(PROJETS!$BD$94&gt;=0.7,"🟢",IF(PROJETS!$BD$94&gt;=0.4,"🟠","🔴")))))</f>
        <v/>
      </c>
    </row>
    <row r="158" customFormat="false" ht="15" hidden="false" customHeight="true" outlineLevel="0" collapsed="false">
      <c r="A158" s="243" t="str">
        <f aca="false">PROJETS!$A$95</f>
        <v/>
      </c>
      <c r="B158" s="237" t="n">
        <f aca="false">PROJETS!$C$95</f>
        <v>0</v>
      </c>
      <c r="C158" s="243" t="n">
        <f aca="false">PROJETS!$J$95</f>
        <v>0</v>
      </c>
      <c r="D158" s="243" t="n">
        <f aca="false">PROJETS!$AD$95</f>
        <v>0</v>
      </c>
      <c r="E158" s="238" t="n">
        <f aca="false">PROJETS!$AG$95</f>
        <v>0</v>
      </c>
      <c r="F158" s="238" t="n">
        <f aca="false">PROJETS!$AI$95</f>
        <v>0</v>
      </c>
      <c r="G158" s="239" t="n">
        <f aca="false">PROJETS!$AL$95</f>
        <v>0</v>
      </c>
      <c r="H158" s="239" t="n">
        <f aca="false">PROJETS!$BD$95</f>
        <v>0</v>
      </c>
      <c r="I158" s="243" t="str">
        <f aca="false">IF(PROJETS!$A$95="","",IF(PROJETS!$AD$95="Termine","🟢",IF(OR(PROJETS!$BE$95=TRUE(),PROJETS!$BG$95=TRUE(),PROJETS!$BH$95=TRUE()),"🔴",IF(PROJETS!$BD$95&gt;=0.7,"🟢",IF(PROJETS!$BD$95&gt;=0.4,"🟠","🔴")))))</f>
        <v/>
      </c>
    </row>
    <row r="160" customFormat="false" ht="15" hidden="false" customHeight="true" outlineLevel="0" collapsed="false">
      <c r="A160" s="203" t="s">
        <v>2451</v>
      </c>
      <c r="B160" s="203"/>
      <c r="C160" s="203"/>
      <c r="D160" s="203"/>
      <c r="E160" s="203"/>
      <c r="F160" s="203"/>
      <c r="G160" s="203"/>
      <c r="H160" s="203"/>
      <c r="I160" s="203"/>
      <c r="J160" s="203"/>
      <c r="K160" s="203"/>
      <c r="L160" s="203"/>
      <c r="M160" s="203"/>
      <c r="N160" s="203"/>
    </row>
    <row r="161" customFormat="false" ht="15" hidden="false" customHeight="true" outlineLevel="0" collapsed="false">
      <c r="A161" s="245" t="s">
        <v>2452</v>
      </c>
      <c r="B161" s="245"/>
      <c r="C161" s="245"/>
      <c r="D161" s="245"/>
      <c r="E161" s="245"/>
      <c r="F161" s="246" t="str">
        <f aca="false">IFERROR(INDEX(PROJETS!$C$56:$C$95,MATCH($G$6,PROJETS!$A$56:$A$95,0)),"")</f>
        <v>Projet d'appui a l'insertion professionnelle des jeunes</v>
      </c>
      <c r="G161" s="246"/>
      <c r="H161" s="246"/>
      <c r="I161" s="246"/>
      <c r="J161" s="246"/>
      <c r="K161" s="246"/>
      <c r="L161" s="246"/>
      <c r="M161" s="246"/>
      <c r="N161" s="246"/>
    </row>
    <row r="162" customFormat="false" ht="15" hidden="false" customHeight="true" outlineLevel="0" collapsed="false">
      <c r="A162" s="245" t="s">
        <v>1459</v>
      </c>
      <c r="B162" s="245"/>
      <c r="C162" s="245"/>
      <c r="D162" s="245"/>
      <c r="E162" s="245"/>
      <c r="F162" s="246" t="str">
        <f aca="false">IFERROR(INDEX(PROJETS!$J$56:$J$95,MATCH($G$6,PROJETS!$A$56:$A$95,0)),"")</f>
        <v>Education</v>
      </c>
      <c r="G162" s="246"/>
      <c r="H162" s="246"/>
      <c r="I162" s="246"/>
      <c r="J162" s="246"/>
      <c r="K162" s="246"/>
      <c r="L162" s="246"/>
      <c r="M162" s="246"/>
      <c r="N162" s="246"/>
    </row>
    <row r="163" customFormat="false" ht="15" hidden="false" customHeight="true" outlineLevel="0" collapsed="false">
      <c r="A163" s="245" t="s">
        <v>1335</v>
      </c>
      <c r="B163" s="245"/>
      <c r="C163" s="245"/>
      <c r="D163" s="245"/>
      <c r="E163" s="245"/>
      <c r="F163" s="246" t="str">
        <f aca="false">IFERROR(INDEX(PROJETS!$N$56:$N$95,MATCH($G$6,PROJETS!$A$56:$A$95,0)),"")</f>
        <v>Jean MABIALA</v>
      </c>
      <c r="G163" s="246"/>
      <c r="H163" s="246"/>
      <c r="I163" s="246"/>
      <c r="J163" s="246"/>
      <c r="K163" s="246"/>
      <c r="L163" s="246"/>
      <c r="M163" s="246"/>
      <c r="N163" s="246"/>
    </row>
    <row r="164" customFormat="false" ht="15" hidden="false" customHeight="true" outlineLevel="0" collapsed="false">
      <c r="A164" s="245" t="s">
        <v>882</v>
      </c>
      <c r="B164" s="245"/>
      <c r="C164" s="245"/>
      <c r="D164" s="245"/>
      <c r="E164" s="245"/>
      <c r="F164" s="246" t="str">
        <f aca="false">IFERROR(INDEX(PROJETS!$R$56:$R$95,MATCH($G$6,PROJETS!$A$56:$A$95,0)),"")</f>
        <v>Bacongo</v>
      </c>
      <c r="G164" s="246"/>
      <c r="H164" s="246"/>
      <c r="I164" s="246"/>
      <c r="J164" s="246"/>
      <c r="K164" s="246"/>
      <c r="L164" s="246"/>
      <c r="M164" s="246"/>
      <c r="N164" s="246"/>
    </row>
    <row r="165" customFormat="false" ht="15" hidden="false" customHeight="true" outlineLevel="0" collapsed="false">
      <c r="A165" s="245" t="s">
        <v>2453</v>
      </c>
      <c r="B165" s="245"/>
      <c r="C165" s="245"/>
      <c r="D165" s="245"/>
      <c r="E165" s="245"/>
      <c r="F165" s="246" t="str">
        <f aca="false">IFERROR(INDEX(BUDGET!$O$28:$O$67,MATCH($G$6,BUDGET!$H$28:$H$67,0)),"")</f>
        <v>AUSP</v>
      </c>
      <c r="G165" s="246"/>
      <c r="H165" s="246"/>
      <c r="I165" s="246"/>
      <c r="J165" s="246"/>
      <c r="K165" s="246"/>
      <c r="L165" s="246"/>
      <c r="M165" s="246"/>
      <c r="N165" s="246"/>
    </row>
    <row r="166" customFormat="false" ht="15" hidden="false" customHeight="true" outlineLevel="0" collapsed="false">
      <c r="A166" s="245" t="s">
        <v>1567</v>
      </c>
      <c r="B166" s="245"/>
      <c r="C166" s="245"/>
      <c r="D166" s="245"/>
      <c r="E166" s="245"/>
      <c r="F166" s="246" t="str">
        <f aca="false">IFERROR(INDEX(PROJETS!$AD$56:$AD$95,MATCH($G$6,PROJETS!$A$56:$A$95,0)),"")</f>
        <v>En cours</v>
      </c>
      <c r="G166" s="246"/>
      <c r="H166" s="246"/>
      <c r="I166" s="246"/>
      <c r="J166" s="246"/>
      <c r="K166" s="246"/>
      <c r="L166" s="246"/>
      <c r="M166" s="246"/>
      <c r="N166" s="246"/>
    </row>
    <row r="167" customFormat="false" ht="15" hidden="false" customHeight="true" outlineLevel="0" collapsed="false">
      <c r="A167" s="245" t="s">
        <v>1587</v>
      </c>
      <c r="B167" s="245"/>
      <c r="C167" s="245"/>
      <c r="D167" s="245"/>
      <c r="E167" s="245"/>
      <c r="F167" s="249" t="n">
        <f aca="false">IFERROR(INDEX(PROJETS!$X$56:$X$95,MATCH($G$6,PROJETS!$A$56:$A$95,0)),"")</f>
        <v>45292</v>
      </c>
      <c r="G167" s="249"/>
      <c r="H167" s="249"/>
      <c r="I167" s="249"/>
      <c r="J167" s="249"/>
      <c r="K167" s="249"/>
      <c r="L167" s="249"/>
      <c r="M167" s="249"/>
      <c r="N167" s="249"/>
    </row>
    <row r="168" customFormat="false" ht="15" hidden="false" customHeight="true" outlineLevel="0" collapsed="false">
      <c r="A168" s="245" t="s">
        <v>1589</v>
      </c>
      <c r="B168" s="245"/>
      <c r="C168" s="245"/>
      <c r="D168" s="245"/>
      <c r="E168" s="245"/>
      <c r="F168" s="249" t="n">
        <f aca="false">IFERROR(INDEX(PROJETS!$Z$56:$Z$95,MATCH($G$6,PROJETS!$A$56:$A$95,0)),"")</f>
        <v>45657</v>
      </c>
      <c r="G168" s="249"/>
      <c r="H168" s="249"/>
      <c r="I168" s="249"/>
      <c r="J168" s="249"/>
      <c r="K168" s="249"/>
      <c r="L168" s="249"/>
      <c r="M168" s="249"/>
      <c r="N168" s="249"/>
    </row>
    <row r="169" customFormat="false" ht="15" hidden="false" customHeight="true" outlineLevel="0" collapsed="false">
      <c r="A169" s="245" t="s">
        <v>1595</v>
      </c>
      <c r="B169" s="245"/>
      <c r="C169" s="245"/>
      <c r="D169" s="245"/>
      <c r="E169" s="245"/>
      <c r="F169" s="247" t="n">
        <f aca="false">IFERROR(INDEX(PROJETS!$AG$56:$AG$95,MATCH($G$6,PROJETS!$A$56:$A$95,0)),"")</f>
        <v>11000000</v>
      </c>
      <c r="G169" s="247"/>
      <c r="H169" s="247"/>
      <c r="I169" s="247"/>
      <c r="J169" s="247"/>
      <c r="K169" s="247"/>
      <c r="L169" s="247"/>
      <c r="M169" s="247"/>
      <c r="N169" s="247"/>
    </row>
    <row r="170" customFormat="false" ht="15" hidden="false" customHeight="true" outlineLevel="0" collapsed="false">
      <c r="A170" s="245" t="s">
        <v>1596</v>
      </c>
      <c r="B170" s="245"/>
      <c r="C170" s="245"/>
      <c r="D170" s="245"/>
      <c r="E170" s="245"/>
      <c r="F170" s="247" t="n">
        <f aca="false">IFERROR(INDEX(PROJETS!$AH$56:$AH$95,MATCH($G$6,PROJETS!$A$56:$A$95,0)),"")</f>
        <v>6000000</v>
      </c>
      <c r="G170" s="247"/>
      <c r="H170" s="247"/>
      <c r="I170" s="247"/>
      <c r="J170" s="247"/>
      <c r="K170" s="247"/>
      <c r="L170" s="247"/>
      <c r="M170" s="247"/>
      <c r="N170" s="247"/>
    </row>
    <row r="171" customFormat="false" ht="15" hidden="false" customHeight="true" outlineLevel="0" collapsed="false">
      <c r="A171" s="245" t="s">
        <v>1597</v>
      </c>
      <c r="B171" s="245"/>
      <c r="C171" s="245"/>
      <c r="D171" s="245"/>
      <c r="E171" s="245"/>
      <c r="F171" s="247" t="n">
        <f aca="false">IFERROR(INDEX(PROJETS!$AI$56:$AI$95,MATCH($G$6,PROJETS!$A$56:$A$95,0)),"")</f>
        <v>4000000</v>
      </c>
      <c r="G171" s="247"/>
      <c r="H171" s="247"/>
      <c r="I171" s="247"/>
      <c r="J171" s="247"/>
      <c r="K171" s="247"/>
      <c r="L171" s="247"/>
      <c r="M171" s="247"/>
      <c r="N171" s="247"/>
    </row>
    <row r="172" customFormat="false" ht="15" hidden="false" customHeight="true" outlineLevel="0" collapsed="false">
      <c r="A172" s="245" t="s">
        <v>1599</v>
      </c>
      <c r="B172" s="245"/>
      <c r="C172" s="245"/>
      <c r="D172" s="245"/>
      <c r="E172" s="245"/>
      <c r="F172" s="247" t="n">
        <f aca="false">IFERROR(INDEX(PROJETS!$AK$56:$AK$95,MATCH($G$6,PROJETS!$A$56:$A$95,0)),"")</f>
        <v>2000000</v>
      </c>
      <c r="G172" s="247"/>
      <c r="H172" s="247"/>
      <c r="I172" s="247"/>
      <c r="J172" s="247"/>
      <c r="K172" s="247"/>
      <c r="L172" s="247"/>
      <c r="M172" s="247"/>
      <c r="N172" s="247"/>
    </row>
    <row r="173" customFormat="false" ht="15" hidden="false" customHeight="true" outlineLevel="0" collapsed="false">
      <c r="A173" s="245" t="s">
        <v>1730</v>
      </c>
      <c r="B173" s="245"/>
      <c r="C173" s="245"/>
      <c r="D173" s="245"/>
      <c r="E173" s="245"/>
      <c r="F173" s="248" t="n">
        <f aca="false">IFERROR(INDEX(PROJETS!$AL$56:$AL$95,MATCH($G$6,PROJETS!$A$56:$A$95,0)),"")</f>
        <v>0.363636363636364</v>
      </c>
      <c r="G173" s="248"/>
      <c r="H173" s="248"/>
      <c r="I173" s="248"/>
      <c r="J173" s="248"/>
      <c r="K173" s="248"/>
      <c r="L173" s="248"/>
      <c r="M173" s="248"/>
      <c r="N173" s="248"/>
    </row>
    <row r="174" customFormat="false" ht="15" hidden="false" customHeight="true" outlineLevel="0" collapsed="false">
      <c r="A174" s="245" t="s">
        <v>2349</v>
      </c>
      <c r="B174" s="245"/>
      <c r="C174" s="245"/>
      <c r="D174" s="245"/>
      <c r="E174" s="245"/>
      <c r="F174" s="250" t="n">
        <f aca="false">IFERROR(INDEX(PROJETS!$AM$56:$AM$95,MATCH($G$6,PROJETS!$A$56:$A$95,0)),"")</f>
        <v>100</v>
      </c>
      <c r="G174" s="250"/>
      <c r="H174" s="250"/>
      <c r="I174" s="250"/>
      <c r="J174" s="250"/>
      <c r="K174" s="250"/>
      <c r="L174" s="250"/>
      <c r="M174" s="250"/>
      <c r="N174" s="250"/>
    </row>
    <row r="175" customFormat="false" ht="15" hidden="false" customHeight="true" outlineLevel="0" collapsed="false">
      <c r="A175" s="245" t="s">
        <v>2350</v>
      </c>
      <c r="B175" s="245"/>
      <c r="C175" s="245"/>
      <c r="D175" s="245"/>
      <c r="E175" s="245"/>
      <c r="F175" s="250" t="n">
        <f aca="false">IFERROR(INDEX(PROJETS!$AS$56:$AS$95,MATCH($G$6,PROJETS!$A$56:$A$95,0)),"")</f>
        <v>1</v>
      </c>
      <c r="G175" s="250"/>
      <c r="H175" s="250"/>
      <c r="I175" s="250"/>
      <c r="J175" s="250"/>
      <c r="K175" s="250"/>
      <c r="L175" s="250"/>
      <c r="M175" s="250"/>
      <c r="N175" s="250"/>
    </row>
    <row r="176" customFormat="false" ht="15" hidden="false" customHeight="true" outlineLevel="0" collapsed="false">
      <c r="A176" s="245" t="s">
        <v>2376</v>
      </c>
      <c r="B176" s="245"/>
      <c r="C176" s="245"/>
      <c r="D176" s="245"/>
      <c r="E176" s="245"/>
      <c r="F176" s="250" t="n">
        <f aca="false">IFERROR(INDEX(PROJETS!$AT$56:$AT$95,MATCH($G$6,PROJETS!$A$56:$A$95,0)),"")</f>
        <v>1</v>
      </c>
      <c r="G176" s="250"/>
      <c r="H176" s="250"/>
      <c r="I176" s="250"/>
      <c r="J176" s="250"/>
      <c r="K176" s="250"/>
      <c r="L176" s="250"/>
      <c r="M176" s="250"/>
      <c r="N176" s="250"/>
    </row>
    <row r="177" customFormat="false" ht="15" hidden="false" customHeight="true" outlineLevel="0" collapsed="false">
      <c r="A177" s="245" t="s">
        <v>2375</v>
      </c>
      <c r="B177" s="245"/>
      <c r="C177" s="245"/>
      <c r="D177" s="245"/>
      <c r="E177" s="245"/>
      <c r="F177" s="250" t="n">
        <f aca="false">IFERROR(INDEX(PROJETS!$AU$56:$AU$95,MATCH($G$6,PROJETS!$A$56:$A$95,0)),"")</f>
        <v>0</v>
      </c>
      <c r="G177" s="250"/>
      <c r="H177" s="250"/>
      <c r="I177" s="250"/>
      <c r="J177" s="250"/>
      <c r="K177" s="250"/>
      <c r="L177" s="250"/>
      <c r="M177" s="250"/>
      <c r="N177" s="250"/>
    </row>
    <row r="178" customFormat="false" ht="15" hidden="false" customHeight="true" outlineLevel="0" collapsed="false">
      <c r="A178" s="245" t="s">
        <v>1771</v>
      </c>
      <c r="B178" s="245"/>
      <c r="C178" s="245"/>
      <c r="D178" s="245"/>
      <c r="E178" s="245"/>
      <c r="F178" s="250" t="n">
        <f aca="false">IFERROR(INDEX(PROJETS!$AX$56:$AX$95,MATCH($G$6,PROJETS!$A$56:$A$95,0)),"")</f>
        <v>10</v>
      </c>
      <c r="G178" s="250"/>
      <c r="H178" s="250"/>
      <c r="I178" s="250"/>
      <c r="J178" s="250"/>
      <c r="K178" s="250"/>
      <c r="L178" s="250"/>
      <c r="M178" s="250"/>
      <c r="N178" s="250"/>
    </row>
    <row r="179" customFormat="false" ht="15" hidden="false" customHeight="true" outlineLevel="0" collapsed="false">
      <c r="A179" s="245" t="s">
        <v>1615</v>
      </c>
      <c r="B179" s="245"/>
      <c r="C179" s="245"/>
      <c r="D179" s="245"/>
      <c r="E179" s="245"/>
      <c r="F179" s="250" t="n">
        <f aca="false">IFERROR(INDEX(PROJETS!$BA$56:$BA$95,MATCH($G$6,PROJETS!$A$56:$A$95,0)),"")</f>
        <v>3</v>
      </c>
      <c r="G179" s="250"/>
      <c r="H179" s="250"/>
      <c r="I179" s="250"/>
      <c r="J179" s="250"/>
      <c r="K179" s="250"/>
      <c r="L179" s="250"/>
      <c r="M179" s="250"/>
      <c r="N179" s="250"/>
    </row>
    <row r="180" customFormat="false" ht="15" hidden="false" customHeight="true" outlineLevel="0" collapsed="false">
      <c r="A180" s="245" t="s">
        <v>2454</v>
      </c>
      <c r="B180" s="245"/>
      <c r="C180" s="245"/>
      <c r="D180" s="245"/>
      <c r="E180" s="245"/>
      <c r="F180" s="248" t="n">
        <f aca="false">IFERROR(INDEX(PROJETS!$BC$56:$BC$95,MATCH($G$6,PROJETS!$A$56:$A$95,0)),"")</f>
        <v>0.3</v>
      </c>
      <c r="G180" s="248"/>
      <c r="H180" s="248"/>
      <c r="I180" s="248"/>
      <c r="J180" s="248"/>
      <c r="K180" s="248"/>
      <c r="L180" s="248"/>
      <c r="M180" s="248"/>
      <c r="N180" s="248"/>
    </row>
    <row r="181" customFormat="false" ht="15" hidden="false" customHeight="true" outlineLevel="0" collapsed="false">
      <c r="A181" s="245" t="s">
        <v>2455</v>
      </c>
      <c r="B181" s="245"/>
      <c r="C181" s="245"/>
      <c r="D181" s="245"/>
      <c r="E181" s="245"/>
      <c r="F181" s="248" t="n">
        <f aca="false">IFERROR(INDEX(PROJETS!$BD$56:$BD$95,MATCH($G$6,PROJETS!$A$56:$A$95,0)),"")</f>
        <v>0.45</v>
      </c>
      <c r="G181" s="248"/>
      <c r="H181" s="248"/>
      <c r="I181" s="248"/>
      <c r="J181" s="248"/>
      <c r="K181" s="248"/>
      <c r="L181" s="248"/>
      <c r="M181" s="248"/>
      <c r="N181" s="248"/>
    </row>
    <row r="183" customFormat="false" ht="19.5" hidden="false" customHeight="true" outlineLevel="0" collapsed="false">
      <c r="A183" s="219" t="s">
        <v>2456</v>
      </c>
      <c r="B183" s="219"/>
      <c r="C183" s="219"/>
      <c r="D183" s="219"/>
      <c r="E183" s="219"/>
      <c r="F183" s="219"/>
      <c r="G183" s="219"/>
      <c r="H183" s="219"/>
      <c r="I183" s="219"/>
      <c r="J183" s="219"/>
      <c r="K183" s="219"/>
      <c r="L183" s="219"/>
      <c r="M183" s="219"/>
      <c r="N183" s="219"/>
    </row>
    <row r="184" customFormat="false" ht="25.5" hidden="false" customHeight="true" outlineLevel="0" collapsed="false">
      <c r="A184" s="224" t="s">
        <v>1638</v>
      </c>
      <c r="B184" s="224"/>
      <c r="C184" s="224"/>
      <c r="D184" s="224"/>
      <c r="E184" s="224"/>
      <c r="F184" s="224"/>
      <c r="G184" s="224"/>
      <c r="H184" s="224"/>
      <c r="I184" s="224"/>
      <c r="J184" s="224" t="s">
        <v>1548</v>
      </c>
      <c r="K184" s="224"/>
      <c r="L184" s="224"/>
      <c r="M184" s="224"/>
      <c r="N184" s="224"/>
    </row>
    <row r="185" customFormat="false" ht="15" hidden="false" customHeight="true" outlineLevel="0" collapsed="false">
      <c r="A185" s="225" t="s">
        <v>1686</v>
      </c>
      <c r="B185" s="225"/>
      <c r="C185" s="225"/>
      <c r="D185" s="225"/>
      <c r="E185" s="225"/>
      <c r="F185" s="225"/>
      <c r="G185" s="225"/>
      <c r="H185" s="225"/>
      <c r="I185" s="225"/>
      <c r="J185" s="226" t="n">
        <f aca="false">IF($C$6="Total",COUNTIF(ACTIVITES!$A$56:$A$105,"ACT*"),COUNTIFS(ACTIVITES!$A$56:$A$105,"ACT*",ACTIVITES!$S$56:$S$105,$C$6))</f>
        <v>0</v>
      </c>
    </row>
    <row r="186" customFormat="false" ht="15" hidden="false" customHeight="true" outlineLevel="0" collapsed="false">
      <c r="A186" s="227" t="s">
        <v>1687</v>
      </c>
      <c r="B186" s="227"/>
      <c r="C186" s="227"/>
      <c r="D186" s="227"/>
      <c r="E186" s="227"/>
      <c r="F186" s="227"/>
      <c r="G186" s="227"/>
      <c r="H186" s="227"/>
      <c r="I186" s="227"/>
      <c r="J186" s="228" t="n">
        <f aca="false">IF($C$6="Total",COUNTIFS(ACTIVITES!$A$56:$A$105,"ACT*",ACTIVITES!$Z$56:$Z$105,"Planifiee"),COUNTIFS(ACTIVITES!$A$56:$A$105,"ACT*",ACTIVITES!$Z$56:$Z$105,"Planifiee",ACTIVITES!$S$56:$S$105,$C$6))</f>
        <v>0</v>
      </c>
      <c r="K186" s="229"/>
      <c r="L186" s="229"/>
      <c r="M186" s="229"/>
      <c r="N186" s="229"/>
    </row>
    <row r="187" customFormat="false" ht="15" hidden="false" customHeight="true" outlineLevel="0" collapsed="false">
      <c r="A187" s="225" t="s">
        <v>114</v>
      </c>
      <c r="B187" s="225"/>
      <c r="C187" s="225"/>
      <c r="D187" s="225"/>
      <c r="E187" s="225"/>
      <c r="F187" s="225"/>
      <c r="G187" s="225"/>
      <c r="H187" s="225"/>
      <c r="I187" s="225"/>
      <c r="J187" s="226" t="n">
        <f aca="false">IF($C$6="Total",COUNTIFS(ACTIVITES!$A$56:$A$105,"ACT*",ACTIVITES!$Z$56:$Z$105,"En cours"),COUNTIFS(ACTIVITES!$A$56:$A$105,"ACT*",ACTIVITES!$Z$56:$Z$105,"En cours",ACTIVITES!$S$56:$S$105,$C$6))</f>
        <v>0</v>
      </c>
    </row>
    <row r="188" customFormat="false" ht="15" hidden="false" customHeight="true" outlineLevel="0" collapsed="false">
      <c r="A188" s="227" t="s">
        <v>1688</v>
      </c>
      <c r="B188" s="227"/>
      <c r="C188" s="227"/>
      <c r="D188" s="227"/>
      <c r="E188" s="227"/>
      <c r="F188" s="227"/>
      <c r="G188" s="227"/>
      <c r="H188" s="227"/>
      <c r="I188" s="227"/>
      <c r="J188" s="228" t="n">
        <f aca="false">IF($C$6="Total",COUNTIFS(ACTIVITES!$A$56:$A$105,"ACT*",ACTIVITES!$Z$56:$Z$105,"Realisee"),COUNTIFS(ACTIVITES!$A$56:$A$105,"ACT*",ACTIVITES!$Z$56:$Z$105,"Realisee",ACTIVITES!$S$56:$S$105,$C$6))</f>
        <v>0</v>
      </c>
      <c r="K188" s="229"/>
      <c r="L188" s="229"/>
      <c r="M188" s="229"/>
      <c r="N188" s="229"/>
    </row>
    <row r="189" customFormat="false" ht="15" hidden="false" customHeight="true" outlineLevel="0" collapsed="false">
      <c r="A189" s="225" t="s">
        <v>1689</v>
      </c>
      <c r="B189" s="225"/>
      <c r="C189" s="225"/>
      <c r="D189" s="225"/>
      <c r="E189" s="225"/>
      <c r="F189" s="225"/>
      <c r="G189" s="225"/>
      <c r="H189" s="225"/>
      <c r="I189" s="225"/>
      <c r="J189" s="226" t="n">
        <f aca="false">IF($C$6="Total",COUNTIFS(ACTIVITES!$A$56:$A$105,"ACT*",ACTIVITES!$Z$56:$Z$105,"Reportee"),COUNTIFS(ACTIVITES!$A$56:$A$105,"ACT*",ACTIVITES!$Z$56:$Z$105,"Reportee",ACTIVITES!$S$56:$S$105,$C$6))</f>
        <v>0</v>
      </c>
    </row>
    <row r="190" customFormat="false" ht="15" hidden="false" customHeight="true" outlineLevel="0" collapsed="false">
      <c r="A190" s="227" t="s">
        <v>1690</v>
      </c>
      <c r="B190" s="227"/>
      <c r="C190" s="227"/>
      <c r="D190" s="227"/>
      <c r="E190" s="227"/>
      <c r="F190" s="227"/>
      <c r="G190" s="227"/>
      <c r="H190" s="227"/>
      <c r="I190" s="227"/>
      <c r="J190" s="228" t="n">
        <f aca="false">IF($C$6="Total",COUNTIFS(ACTIVITES!$A$56:$A$105,"ACT*",ACTIVITES!$Z$56:$Z$105,"Annulee"),COUNTIFS(ACTIVITES!$A$56:$A$105,"ACT*",ACTIVITES!$Z$56:$Z$105,"Annulee",ACTIVITES!$S$56:$S$105,$C$6))</f>
        <v>0</v>
      </c>
      <c r="K190" s="229"/>
      <c r="L190" s="229"/>
      <c r="M190" s="229"/>
      <c r="N190" s="229"/>
    </row>
    <row r="191" customFormat="false" ht="15" hidden="false" customHeight="true" outlineLevel="0" collapsed="false">
      <c r="A191" s="225" t="s">
        <v>1691</v>
      </c>
      <c r="B191" s="225"/>
      <c r="C191" s="225"/>
      <c r="D191" s="225"/>
      <c r="E191" s="225"/>
      <c r="F191" s="225"/>
      <c r="G191" s="225"/>
      <c r="H191" s="225"/>
      <c r="I191" s="225"/>
      <c r="J191" s="236" t="n">
        <f aca="false">IFERROR($J$188/$J$185,0)</f>
        <v>0</v>
      </c>
    </row>
    <row r="192" customFormat="false" ht="15" hidden="false" customHeight="true" outlineLevel="0" collapsed="false">
      <c r="A192" s="227" t="s">
        <v>1692</v>
      </c>
      <c r="B192" s="227"/>
      <c r="C192" s="227"/>
      <c r="D192" s="227"/>
      <c r="E192" s="227"/>
      <c r="F192" s="227"/>
      <c r="G192" s="227"/>
      <c r="H192" s="227"/>
      <c r="I192" s="227"/>
      <c r="J192" s="228" t="n">
        <f aca="false">ACTIVITES!$H$8</f>
        <v>1</v>
      </c>
      <c r="K192" s="230" t="s">
        <v>2417</v>
      </c>
      <c r="L192" s="229"/>
      <c r="M192" s="229"/>
      <c r="N192" s="229"/>
    </row>
    <row r="194" customFormat="false" ht="19.5" hidden="false" customHeight="true" outlineLevel="0" collapsed="false">
      <c r="A194" s="219" t="s">
        <v>2457</v>
      </c>
      <c r="B194" s="219"/>
      <c r="C194" s="219"/>
      <c r="D194" s="219"/>
      <c r="E194" s="219"/>
      <c r="F194" s="219"/>
      <c r="G194" s="219"/>
      <c r="H194" s="219"/>
      <c r="I194" s="219"/>
      <c r="J194" s="219"/>
      <c r="K194" s="219"/>
      <c r="L194" s="219"/>
      <c r="M194" s="219"/>
      <c r="N194" s="219"/>
    </row>
    <row r="195" customFormat="false" ht="25.5" hidden="false" customHeight="true" outlineLevel="0" collapsed="false">
      <c r="A195" s="224" t="s">
        <v>1638</v>
      </c>
      <c r="B195" s="224"/>
      <c r="C195" s="224"/>
      <c r="D195" s="224"/>
      <c r="E195" s="224"/>
      <c r="F195" s="224"/>
      <c r="G195" s="224"/>
      <c r="H195" s="224"/>
      <c r="I195" s="224"/>
      <c r="J195" s="224" t="s">
        <v>1548</v>
      </c>
      <c r="K195" s="224"/>
      <c r="L195" s="224"/>
      <c r="M195" s="224"/>
      <c r="N195" s="224"/>
    </row>
    <row r="196" customFormat="false" ht="15" hidden="false" customHeight="true" outlineLevel="0" collapsed="false">
      <c r="A196" s="227" t="s">
        <v>2458</v>
      </c>
      <c r="B196" s="227"/>
      <c r="C196" s="227"/>
      <c r="D196" s="227"/>
      <c r="E196" s="227"/>
      <c r="F196" s="227"/>
      <c r="G196" s="227"/>
      <c r="H196" s="227"/>
      <c r="I196" s="227"/>
      <c r="J196" s="228" t="n">
        <f aca="false">SUM(PROJETS!$AM$56:$AM$95)</f>
        <v>100</v>
      </c>
      <c r="K196" s="230" t="s">
        <v>2417</v>
      </c>
      <c r="L196" s="229"/>
      <c r="M196" s="229"/>
      <c r="N196" s="229"/>
    </row>
    <row r="197" customFormat="false" ht="15" hidden="false" customHeight="true" outlineLevel="0" collapsed="false">
      <c r="A197" s="225" t="s">
        <v>2459</v>
      </c>
      <c r="B197" s="225"/>
      <c r="C197" s="225"/>
      <c r="D197" s="225"/>
      <c r="E197" s="225"/>
      <c r="F197" s="225"/>
      <c r="G197" s="225"/>
      <c r="H197" s="225"/>
      <c r="I197" s="225"/>
      <c r="J197" s="226" t="n">
        <f aca="false">IF($C$6="Total",COUNTIF(BENEFICIAIRES!$A$56:$A$115,"BEN*"),COUNTIFS(BENEFICIAIRES!$A$56:$A$115,"BEN*",BENEFICIAIRES!$BB$56:$BB$115,"&gt;="&amp;DATE(VALUE($C$6),1,1),BENEFICIAIRES!$BB$56:$BB$115,"&lt;"&amp;DATE(VALUE($C$6)+1,1,1)))</f>
        <v>0</v>
      </c>
    </row>
    <row r="198" customFormat="false" ht="15" hidden="false" customHeight="true" outlineLevel="0" collapsed="false">
      <c r="A198" s="227" t="s">
        <v>2460</v>
      </c>
      <c r="B198" s="227"/>
      <c r="C198" s="227"/>
      <c r="D198" s="227"/>
      <c r="E198" s="227"/>
      <c r="F198" s="227"/>
      <c r="G198" s="227"/>
      <c r="H198" s="227"/>
      <c r="I198" s="227"/>
      <c r="J198" s="228" t="n">
        <f aca="false">IF($C$6="Total",COUNTIFS(BENEFICIAIRES!$A$56:$A$115,"BEN*",BENEFICIAIRES!$H$56:$H$115,"Masculin"),COUNTIFS(BENEFICIAIRES!$A$56:$A$115,"BEN*",BENEFICIAIRES!$H$56:$H$115,"Masculin",BENEFICIAIRES!$BB$56:$BB$115,"&gt;="&amp;DATE(VALUE($C$6),1,1),BENEFICIAIRES!$BB$56:$BB$115,"&lt;"&amp;DATE(VALUE($C$6)+1,1,1)))</f>
        <v>0</v>
      </c>
      <c r="K198" s="229"/>
      <c r="L198" s="229"/>
      <c r="M198" s="229"/>
      <c r="N198" s="229"/>
    </row>
    <row r="199" customFormat="false" ht="15" hidden="false" customHeight="true" outlineLevel="0" collapsed="false">
      <c r="A199" s="225" t="s">
        <v>2461</v>
      </c>
      <c r="B199" s="225"/>
      <c r="C199" s="225"/>
      <c r="D199" s="225"/>
      <c r="E199" s="225"/>
      <c r="F199" s="225"/>
      <c r="G199" s="225"/>
      <c r="H199" s="225"/>
      <c r="I199" s="225"/>
      <c r="J199" s="226" t="n">
        <f aca="false">IF($C$6="Total",COUNTIFS(BENEFICIAIRES!$A$56:$A$115,"BEN*",BENEFICIAIRES!$H$56:$H$115,"Feminin"),COUNTIFS(BENEFICIAIRES!$A$56:$A$115,"BEN*",BENEFICIAIRES!$H$56:$H$115,"Feminin",BENEFICIAIRES!$BB$56:$BB$115,"&gt;="&amp;DATE(VALUE($C$6),1,1),BENEFICIAIRES!$BB$56:$BB$115,"&lt;"&amp;DATE(VALUE($C$6)+1,1,1)))</f>
        <v>0</v>
      </c>
    </row>
    <row r="200" customFormat="false" ht="15" hidden="false" customHeight="true" outlineLevel="0" collapsed="false">
      <c r="A200" s="227" t="s">
        <v>2462</v>
      </c>
      <c r="B200" s="227"/>
      <c r="C200" s="227"/>
      <c r="D200" s="227"/>
      <c r="E200" s="227"/>
      <c r="F200" s="227"/>
      <c r="G200" s="227"/>
      <c r="H200" s="227"/>
      <c r="I200" s="227"/>
      <c r="J200" s="228" t="n">
        <f aca="false">IF($C$6="Total",COUNTIFS(BENEFICIAIRES!$A$56:$A$115,"BEN*",BENEFICIAIRES!$J$56:$J$115,"&gt;=18",BENEFICIAIRES!$J$56:$J$115,"&lt;=24"),COUNTIFS(BENEFICIAIRES!$A$56:$A$115,"BEN*",BENEFICIAIRES!$J$56:$J$115,"&gt;=18",BENEFICIAIRES!$J$56:$J$115,"&lt;=24",BENEFICIAIRES!$BB$56:$BB$115,"&gt;="&amp;DATE(VALUE($C$6),1,1),BENEFICIAIRES!$BB$56:$BB$115,"&lt;"&amp;DATE(VALUE($C$6)+1,1,1)))</f>
        <v>0</v>
      </c>
      <c r="K200" s="229"/>
      <c r="L200" s="229"/>
      <c r="M200" s="229"/>
      <c r="N200" s="229"/>
    </row>
    <row r="201" customFormat="false" ht="15" hidden="false" customHeight="true" outlineLevel="0" collapsed="false">
      <c r="A201" s="225" t="s">
        <v>2463</v>
      </c>
      <c r="B201" s="225"/>
      <c r="C201" s="225"/>
      <c r="D201" s="225"/>
      <c r="E201" s="225"/>
      <c r="F201" s="225"/>
      <c r="G201" s="225"/>
      <c r="H201" s="225"/>
      <c r="I201" s="225"/>
      <c r="J201" s="226" t="n">
        <f aca="false">IF($C$6="Total",COUNTIFS(BENEFICIAIRES!$A$56:$A$115,"BEN*",BENEFICIAIRES!$J$56:$J$115,"&lt;18"),COUNTIFS(BENEFICIAIRES!$A$56:$A$115,"BEN*",BENEFICIAIRES!$J$56:$J$115,"&lt;18",BENEFICIAIRES!$BB$56:$BB$115,"&gt;="&amp;DATE(VALUE($C$6),1,1),BENEFICIAIRES!$BB$56:$BB$115,"&lt;"&amp;DATE(VALUE($C$6)+1,1,1)))</f>
        <v>0</v>
      </c>
    </row>
    <row r="202" customFormat="false" ht="15" hidden="false" customHeight="true" outlineLevel="0" collapsed="false">
      <c r="A202" s="227" t="s">
        <v>2464</v>
      </c>
      <c r="B202" s="227"/>
      <c r="C202" s="227"/>
      <c r="D202" s="227"/>
      <c r="E202" s="227"/>
      <c r="F202" s="227"/>
      <c r="G202" s="227"/>
      <c r="H202" s="227"/>
      <c r="I202" s="227"/>
      <c r="J202" s="228" t="n">
        <f aca="false">IF($C$6="Total",COUNTIFS(BENEFICIAIRES!$A$56:$A$115,"BEN*",BENEFICIAIRES!$V$56:$V$115,"Oui"),COUNTIFS(BENEFICIAIRES!$A$56:$A$115,"BEN*",BENEFICIAIRES!$V$56:$V$115,"Oui",BENEFICIAIRES!$BB$56:$BB$115,"&gt;="&amp;DATE(VALUE($C$6),1,1),BENEFICIAIRES!$BB$56:$BB$115,"&lt;"&amp;DATE(VALUE($C$6)+1,1,1)))</f>
        <v>0</v>
      </c>
      <c r="K202" s="229"/>
      <c r="L202" s="229"/>
      <c r="M202" s="229"/>
      <c r="N202" s="229"/>
    </row>
    <row r="203" customFormat="false" ht="15" hidden="false" customHeight="true" outlineLevel="0" collapsed="false">
      <c r="A203" s="225" t="s">
        <v>2465</v>
      </c>
      <c r="B203" s="225"/>
      <c r="C203" s="225"/>
      <c r="D203" s="225"/>
      <c r="E203" s="225"/>
      <c r="F203" s="225"/>
      <c r="G203" s="225"/>
      <c r="H203" s="225"/>
      <c r="I203" s="225"/>
      <c r="J203" s="236" t="n">
        <f aca="false">IFERROR($J$197/$J$196,0)</f>
        <v>0</v>
      </c>
    </row>
    <row r="205" customFormat="false" ht="25.5" hidden="false" customHeight="true" outlineLevel="0" collapsed="false">
      <c r="A205" s="224" t="s">
        <v>2070</v>
      </c>
      <c r="B205" s="224" t="s">
        <v>1338</v>
      </c>
      <c r="C205" s="224" t="s">
        <v>1340</v>
      </c>
      <c r="D205" s="224" t="s">
        <v>1216</v>
      </c>
    </row>
    <row r="206" customFormat="false" ht="15" hidden="false" customHeight="true" outlineLevel="0" collapsed="false">
      <c r="A206" s="251" t="s">
        <v>2466</v>
      </c>
      <c r="B206" s="252" t="n">
        <f aca="false">IF($C$6="Total",COUNTIFS(BENEFICIAIRES!$A$56:$A$115,"BEN*",BENEFICIAIRES!$H$56:$H$115,"Masculin"),COUNTIFS(BENEFICIAIRES!$A$56:$A$115,"BEN*",BENEFICIAIRES!$H$56:$H$115,"Masculin",BENEFICIAIRES!$BB$56:$BB$115,"&gt;="&amp;DATE(VALUE($C$6),1,1),BENEFICIAIRES!$BB$56:$BB$115,"&lt;"&amp;DATE(VALUE($C$6)+1,1,1)))</f>
        <v>0</v>
      </c>
      <c r="C206" s="252" t="n">
        <f aca="false">IF($C$6="Total",COUNTIFS(BENEFICIAIRES!$A$56:$A$115,"BEN*",BENEFICIAIRES!$H$56:$H$115,"Feminin"),COUNTIFS(BENEFICIAIRES!$A$56:$A$115,"BEN*",BENEFICIAIRES!$H$56:$H$115,"Feminin",BENEFICIAIRES!$BB$56:$BB$115,"&gt;="&amp;DATE(VALUE($C$6),1,1),BENEFICIAIRES!$BB$56:$BB$115,"&lt;"&amp;DATE(VALUE($C$6)+1,1,1)))</f>
        <v>0</v>
      </c>
      <c r="D206" s="252" t="n">
        <f aca="false">B206+C206</f>
        <v>0</v>
      </c>
    </row>
    <row r="207" customFormat="false" ht="15" hidden="false" customHeight="true" outlineLevel="0" collapsed="false">
      <c r="A207" s="253" t="s">
        <v>2467</v>
      </c>
      <c r="B207" s="254" t="n">
        <f aca="false">COUNTIFS('RESSOURCES HUMAINES'!$A$27:$A$76,"RH*",'RESSOURCES HUMAINES'!$F$27:$F$76,"Masculin")</f>
        <v>0</v>
      </c>
      <c r="C207" s="254" t="n">
        <f aca="false">COUNTIFS('RESSOURCES HUMAINES'!$A$27:$A$76,"RH*",'RESSOURCES HUMAINES'!$F$27:$F$76,"Feminin")</f>
        <v>0</v>
      </c>
      <c r="D207" s="254" t="n">
        <f aca="false">B207+C207</f>
        <v>0</v>
      </c>
    </row>
    <row r="209" customFormat="false" ht="19.5" hidden="false" customHeight="true" outlineLevel="0" collapsed="false">
      <c r="A209" s="219" t="s">
        <v>2468</v>
      </c>
      <c r="B209" s="219"/>
      <c r="C209" s="219"/>
      <c r="D209" s="219"/>
      <c r="E209" s="219"/>
      <c r="F209" s="219"/>
      <c r="G209" s="219"/>
      <c r="H209" s="219"/>
      <c r="I209" s="219"/>
      <c r="J209" s="219"/>
      <c r="K209" s="219"/>
      <c r="L209" s="219"/>
      <c r="M209" s="219"/>
      <c r="N209" s="219"/>
    </row>
    <row r="210" customFormat="false" ht="25.5" hidden="false" customHeight="true" outlineLevel="0" collapsed="false">
      <c r="A210" s="224" t="s">
        <v>1638</v>
      </c>
      <c r="B210" s="224"/>
      <c r="C210" s="224"/>
      <c r="D210" s="224"/>
      <c r="E210" s="224"/>
      <c r="F210" s="224"/>
      <c r="G210" s="224"/>
      <c r="H210" s="224"/>
      <c r="I210" s="224"/>
      <c r="J210" s="224" t="s">
        <v>1548</v>
      </c>
      <c r="K210" s="224"/>
      <c r="L210" s="224"/>
      <c r="M210" s="224"/>
      <c r="N210" s="224"/>
    </row>
    <row r="211" customFormat="false" ht="15" hidden="false" customHeight="true" outlineLevel="0" collapsed="false">
      <c r="A211" s="225" t="s">
        <v>2246</v>
      </c>
      <c r="B211" s="225"/>
      <c r="C211" s="225"/>
      <c r="D211" s="225"/>
      <c r="E211" s="225"/>
      <c r="F211" s="225"/>
      <c r="G211" s="225"/>
      <c r="H211" s="225"/>
      <c r="I211" s="225"/>
      <c r="J211" s="226" t="n">
        <f aca="false">IF($C$6="Total",COUNTIF('RESSOURCES HUMAINES'!$A$27:$A$76,"RH*"),COUNTIFS('RESSOURCES HUMAINES'!$A$27:$A$76,"RH*",'RESSOURCES HUMAINES'!$W$27:$W$76,VALUE($C$6)))</f>
        <v>0</v>
      </c>
    </row>
    <row r="212" customFormat="false" ht="15" hidden="false" customHeight="true" outlineLevel="0" collapsed="false">
      <c r="A212" s="227" t="s">
        <v>2415</v>
      </c>
      <c r="B212" s="227"/>
      <c r="C212" s="227"/>
      <c r="D212" s="227"/>
      <c r="E212" s="227"/>
      <c r="F212" s="227"/>
      <c r="G212" s="227"/>
      <c r="H212" s="227"/>
      <c r="I212" s="227"/>
      <c r="J212" s="228" t="n">
        <f aca="false">IF($C$6="Total",COUNTIFS('RESSOURCES HUMAINES'!$A$27:$A$76,"RH*",'RESSOURCES HUMAINES'!$P$27:$P$76,"Actif"),COUNTIFS('RESSOURCES HUMAINES'!$A$27:$A$76,"RH*",'RESSOURCES HUMAINES'!$P$27:$P$76,"Actif",'RESSOURCES HUMAINES'!$W$27:$W$76,VALUE($C$6)))</f>
        <v>0</v>
      </c>
      <c r="K212" s="229"/>
      <c r="L212" s="229"/>
      <c r="M212" s="229"/>
      <c r="N212" s="229"/>
    </row>
    <row r="213" customFormat="false" ht="15" hidden="false" customHeight="true" outlineLevel="0" collapsed="false">
      <c r="A213" s="225" t="s">
        <v>2247</v>
      </c>
      <c r="B213" s="225"/>
      <c r="C213" s="225"/>
      <c r="D213" s="225"/>
      <c r="E213" s="225"/>
      <c r="F213" s="225"/>
      <c r="G213" s="225"/>
      <c r="H213" s="225"/>
      <c r="I213" s="225"/>
      <c r="J213" s="226" t="n">
        <f aca="false">IF($C$6="Total",COUNTIFS('RESSOURCES HUMAINES'!$Y$27:$Y$76,"CDI"),COUNTIFS('RESSOURCES HUMAINES'!$Y$27:$Y$76,"CDI",'RESSOURCES HUMAINES'!$W$27:$W$76,VALUE($C$6)))</f>
        <v>0</v>
      </c>
    </row>
    <row r="214" customFormat="false" ht="15" hidden="false" customHeight="true" outlineLevel="0" collapsed="false">
      <c r="A214" s="227" t="s">
        <v>2248</v>
      </c>
      <c r="B214" s="227"/>
      <c r="C214" s="227"/>
      <c r="D214" s="227"/>
      <c r="E214" s="227"/>
      <c r="F214" s="227"/>
      <c r="G214" s="227"/>
      <c r="H214" s="227"/>
      <c r="I214" s="227"/>
      <c r="J214" s="228" t="n">
        <f aca="false">IF($C$6="Total",COUNTIFS('RESSOURCES HUMAINES'!$Y$27:$Y$76,"CDD"),COUNTIFS('RESSOURCES HUMAINES'!$Y$27:$Y$76,"CDD",'RESSOURCES HUMAINES'!$W$27:$W$76,VALUE($C$6)))</f>
        <v>0</v>
      </c>
      <c r="K214" s="229"/>
      <c r="L214" s="229"/>
      <c r="M214" s="229"/>
      <c r="N214" s="229"/>
    </row>
    <row r="215" customFormat="false" ht="15" hidden="false" customHeight="true" outlineLevel="0" collapsed="false">
      <c r="A215" s="225" t="s">
        <v>2249</v>
      </c>
      <c r="B215" s="225"/>
      <c r="C215" s="225"/>
      <c r="D215" s="225"/>
      <c r="E215" s="225"/>
      <c r="F215" s="225"/>
      <c r="G215" s="225"/>
      <c r="H215" s="225"/>
      <c r="I215" s="225"/>
      <c r="J215" s="226" t="n">
        <f aca="false">IF($C$6="Total",COUNTIFS('RESSOURCES HUMAINES'!$Y$27:$Y$76,"Consultant")+COUNTIFS('RESSOURCES HUMAINES'!$Y$27:$Y$76,"Prestataire"),COUNTIFS('RESSOURCES HUMAINES'!$Y$27:$Y$76,"Consultant",'RESSOURCES HUMAINES'!$W$27:$W$76,VALUE($C$6))+COUNTIFS('RESSOURCES HUMAINES'!$Y$27:$Y$76,"Prestataire",'RESSOURCES HUMAINES'!$W$27:$W$76,VALUE($C$6)))</f>
        <v>0</v>
      </c>
    </row>
    <row r="216" customFormat="false" ht="15" hidden="false" customHeight="true" outlineLevel="0" collapsed="false">
      <c r="A216" s="227" t="s">
        <v>2250</v>
      </c>
      <c r="B216" s="227"/>
      <c r="C216" s="227"/>
      <c r="D216" s="227"/>
      <c r="E216" s="227"/>
      <c r="F216" s="227"/>
      <c r="G216" s="227"/>
      <c r="H216" s="227"/>
      <c r="I216" s="227"/>
      <c r="J216" s="228" t="n">
        <f aca="false">IF($C$6="Total",COUNTIFS('RESSOURCES HUMAINES'!$Y$27:$Y$76,"Benevolat")+COUNTIFS('RESSOURCES HUMAINES'!$Y$27:$Y$76,"Volontariat"),COUNTIFS('RESSOURCES HUMAINES'!$Y$27:$Y$76,"Benevolat",'RESSOURCES HUMAINES'!$W$27:$W$76,VALUE($C$6))+COUNTIFS('RESSOURCES HUMAINES'!$Y$27:$Y$76,"Volontariat",'RESSOURCES HUMAINES'!$W$27:$W$76,VALUE($C$6)))</f>
        <v>0</v>
      </c>
      <c r="K216" s="229"/>
      <c r="L216" s="229"/>
      <c r="M216" s="229"/>
      <c r="N216" s="229"/>
    </row>
    <row r="217" customFormat="false" ht="15" hidden="false" customHeight="true" outlineLevel="0" collapsed="false">
      <c r="A217" s="225" t="s">
        <v>1344</v>
      </c>
      <c r="B217" s="225"/>
      <c r="C217" s="225"/>
      <c r="D217" s="225"/>
      <c r="E217" s="225"/>
      <c r="F217" s="225"/>
      <c r="G217" s="225"/>
      <c r="H217" s="225"/>
      <c r="I217" s="225"/>
      <c r="J217" s="226" t="n">
        <f aca="false">IF($C$6="Total",COUNTIFS('RESSOURCES HUMAINES'!$Y$27:$Y$76,"Stage"),COUNTIFS('RESSOURCES HUMAINES'!$Y$27:$Y$76,"Stage",'RESSOURCES HUMAINES'!$W$27:$W$76,VALUE($C$6)))</f>
        <v>0</v>
      </c>
    </row>
    <row r="218" customFormat="false" ht="15" hidden="false" customHeight="true" outlineLevel="0" collapsed="false">
      <c r="A218" s="227" t="s">
        <v>1338</v>
      </c>
      <c r="B218" s="227"/>
      <c r="C218" s="227"/>
      <c r="D218" s="227"/>
      <c r="E218" s="227"/>
      <c r="F218" s="227"/>
      <c r="G218" s="227"/>
      <c r="H218" s="227"/>
      <c r="I218" s="227"/>
      <c r="J218" s="228" t="n">
        <f aca="false">IF($C$6="Total",COUNTIFS('RESSOURCES HUMAINES'!$F$27:$F$76,"Masculin"),COUNTIFS('RESSOURCES HUMAINES'!$F$27:$F$76,"Masculin",'RESSOURCES HUMAINES'!$W$27:$W$76,VALUE($C$6)))</f>
        <v>0</v>
      </c>
      <c r="K218" s="229"/>
      <c r="L218" s="229"/>
      <c r="M218" s="229"/>
      <c r="N218" s="229"/>
    </row>
    <row r="219" customFormat="false" ht="15" hidden="false" customHeight="true" outlineLevel="0" collapsed="false">
      <c r="A219" s="225" t="s">
        <v>1340</v>
      </c>
      <c r="B219" s="225"/>
      <c r="C219" s="225"/>
      <c r="D219" s="225"/>
      <c r="E219" s="225"/>
      <c r="F219" s="225"/>
      <c r="G219" s="225"/>
      <c r="H219" s="225"/>
      <c r="I219" s="225"/>
      <c r="J219" s="226" t="n">
        <f aca="false">IF($C$6="Total",COUNTIFS('RESSOURCES HUMAINES'!$F$27:$F$76,"Feminin"),COUNTIFS('RESSOURCES HUMAINES'!$F$27:$F$76,"Feminin",'RESSOURCES HUMAINES'!$W$27:$W$76,VALUE($C$6)))</f>
        <v>0</v>
      </c>
    </row>
    <row r="220" customFormat="false" ht="15" hidden="false" customHeight="true" outlineLevel="0" collapsed="false">
      <c r="A220" s="227" t="s">
        <v>2251</v>
      </c>
      <c r="B220" s="227"/>
      <c r="C220" s="227"/>
      <c r="D220" s="227"/>
      <c r="E220" s="227"/>
      <c r="F220" s="227"/>
      <c r="G220" s="227"/>
      <c r="H220" s="227"/>
      <c r="I220" s="227"/>
      <c r="J220" s="228" t="n">
        <f aca="false">'RESSOURCES HUMAINES'!$J$8</f>
        <v>0</v>
      </c>
      <c r="K220" s="230" t="s">
        <v>2417</v>
      </c>
      <c r="L220" s="229"/>
      <c r="M220" s="229"/>
      <c r="N220" s="229"/>
    </row>
    <row r="221" customFormat="false" ht="15" hidden="false" customHeight="true" outlineLevel="0" collapsed="false">
      <c r="A221" s="225" t="s">
        <v>2252</v>
      </c>
      <c r="B221" s="225"/>
      <c r="C221" s="225"/>
      <c r="D221" s="225"/>
      <c r="E221" s="225"/>
      <c r="F221" s="225"/>
      <c r="G221" s="225"/>
      <c r="H221" s="225"/>
      <c r="I221" s="225"/>
      <c r="J221" s="226" t="n">
        <f aca="false">'RESSOURCES HUMAINES'!$K$8</f>
        <v>0</v>
      </c>
      <c r="K221" s="223" t="s">
        <v>2417</v>
      </c>
    </row>
    <row r="223" customFormat="false" ht="15" hidden="false" customHeight="true" outlineLevel="0" collapsed="false">
      <c r="A223" s="203" t="s">
        <v>2469</v>
      </c>
      <c r="B223" s="203"/>
      <c r="C223" s="203"/>
      <c r="D223" s="203"/>
      <c r="E223" s="203"/>
      <c r="F223" s="203"/>
      <c r="G223" s="203"/>
      <c r="H223" s="203"/>
      <c r="I223" s="203"/>
      <c r="J223" s="203"/>
      <c r="K223" s="203"/>
      <c r="L223" s="203"/>
      <c r="M223" s="203"/>
      <c r="N223" s="203"/>
    </row>
    <row r="225" customFormat="false" ht="19.5" hidden="false" customHeight="true" outlineLevel="0" collapsed="false">
      <c r="A225" s="219" t="s">
        <v>2470</v>
      </c>
      <c r="B225" s="219"/>
      <c r="C225" s="219"/>
      <c r="D225" s="219"/>
      <c r="E225" s="219"/>
      <c r="F225" s="219"/>
      <c r="G225" s="219"/>
      <c r="H225" s="219"/>
      <c r="I225" s="219"/>
      <c r="J225" s="219"/>
      <c r="K225" s="219"/>
      <c r="L225" s="219"/>
      <c r="M225" s="219"/>
      <c r="N225" s="219"/>
    </row>
    <row r="226" customFormat="false" ht="25.5" hidden="false" customHeight="true" outlineLevel="0" collapsed="false">
      <c r="A226" s="224" t="s">
        <v>1638</v>
      </c>
      <c r="B226" s="224"/>
      <c r="C226" s="224"/>
      <c r="D226" s="224"/>
      <c r="E226" s="224"/>
      <c r="F226" s="224"/>
      <c r="G226" s="224"/>
      <c r="H226" s="224"/>
      <c r="I226" s="224"/>
      <c r="J226" s="224" t="s">
        <v>1548</v>
      </c>
      <c r="K226" s="224"/>
      <c r="L226" s="224"/>
      <c r="M226" s="224"/>
      <c r="N226" s="224"/>
    </row>
    <row r="227" customFormat="false" ht="15" hidden="false" customHeight="true" outlineLevel="0" collapsed="false">
      <c r="A227" s="225" t="s">
        <v>1781</v>
      </c>
      <c r="B227" s="225"/>
      <c r="C227" s="225"/>
      <c r="D227" s="225"/>
      <c r="E227" s="225"/>
      <c r="F227" s="225"/>
      <c r="G227" s="225"/>
      <c r="H227" s="225"/>
      <c r="I227" s="225"/>
      <c r="J227" s="226" t="n">
        <f aca="false">PARTENAIRES!$A$8</f>
        <v>0</v>
      </c>
      <c r="K227" s="223" t="s">
        <v>2417</v>
      </c>
    </row>
    <row r="228" customFormat="false" ht="15" hidden="false" customHeight="true" outlineLevel="0" collapsed="false">
      <c r="A228" s="227" t="s">
        <v>2471</v>
      </c>
      <c r="B228" s="227"/>
      <c r="C228" s="227"/>
      <c r="D228" s="227"/>
      <c r="E228" s="227"/>
      <c r="F228" s="227"/>
      <c r="G228" s="227"/>
      <c r="H228" s="227"/>
      <c r="I228" s="227"/>
      <c r="J228" s="228" t="n">
        <f aca="false">PARTENAIRES!$B$8</f>
        <v>0</v>
      </c>
      <c r="K228" s="230" t="s">
        <v>2417</v>
      </c>
      <c r="L228" s="229"/>
      <c r="M228" s="229"/>
      <c r="N228" s="229"/>
    </row>
    <row r="229" customFormat="false" ht="15" hidden="false" customHeight="true" outlineLevel="0" collapsed="false">
      <c r="A229" s="225" t="s">
        <v>1782</v>
      </c>
      <c r="B229" s="225"/>
      <c r="C229" s="225"/>
      <c r="D229" s="225"/>
      <c r="E229" s="225"/>
      <c r="F229" s="225"/>
      <c r="G229" s="225"/>
      <c r="H229" s="225"/>
      <c r="I229" s="225"/>
      <c r="J229" s="226" t="n">
        <f aca="false">PARTENAIRES!$C$8</f>
        <v>0</v>
      </c>
      <c r="K229" s="223" t="s">
        <v>2417</v>
      </c>
    </row>
    <row r="230" customFormat="false" ht="15" hidden="false" customHeight="true" outlineLevel="0" collapsed="false">
      <c r="A230" s="227" t="s">
        <v>1783</v>
      </c>
      <c r="B230" s="227"/>
      <c r="C230" s="227"/>
      <c r="D230" s="227"/>
      <c r="E230" s="227"/>
      <c r="F230" s="227"/>
      <c r="G230" s="227"/>
      <c r="H230" s="227"/>
      <c r="I230" s="227"/>
      <c r="J230" s="228" t="n">
        <f aca="false">PARTENAIRES!$D$8</f>
        <v>0</v>
      </c>
      <c r="K230" s="230" t="s">
        <v>2417</v>
      </c>
      <c r="L230" s="229"/>
      <c r="M230" s="229"/>
      <c r="N230" s="229"/>
    </row>
    <row r="231" customFormat="false" ht="15" hidden="false" customHeight="true" outlineLevel="0" collapsed="false">
      <c r="A231" s="225" t="s">
        <v>2472</v>
      </c>
      <c r="B231" s="225"/>
      <c r="C231" s="225"/>
      <c r="D231" s="225"/>
      <c r="E231" s="225"/>
      <c r="F231" s="225"/>
      <c r="G231" s="225"/>
      <c r="H231" s="225"/>
      <c r="I231" s="225"/>
      <c r="J231" s="226" t="n">
        <f aca="false">PARTENAIRES!$E$8</f>
        <v>0</v>
      </c>
      <c r="K231" s="223" t="s">
        <v>2417</v>
      </c>
    </row>
    <row r="232" customFormat="false" ht="15" hidden="false" customHeight="true" outlineLevel="0" collapsed="false">
      <c r="A232" s="227" t="s">
        <v>2473</v>
      </c>
      <c r="B232" s="227"/>
      <c r="C232" s="227"/>
      <c r="D232" s="227"/>
      <c r="E232" s="227"/>
      <c r="F232" s="227"/>
      <c r="G232" s="227"/>
      <c r="H232" s="227"/>
      <c r="I232" s="227"/>
      <c r="J232" s="228" t="n">
        <f aca="false">PARTENAIRES!$F$8</f>
        <v>0</v>
      </c>
      <c r="K232" s="230" t="s">
        <v>2417</v>
      </c>
      <c r="L232" s="229"/>
      <c r="M232" s="229"/>
      <c r="N232" s="229"/>
    </row>
    <row r="233" customFormat="false" ht="15" hidden="false" customHeight="true" outlineLevel="0" collapsed="false">
      <c r="A233" s="225" t="s">
        <v>2474</v>
      </c>
      <c r="B233" s="225"/>
      <c r="C233" s="225"/>
      <c r="D233" s="225"/>
      <c r="E233" s="225"/>
      <c r="F233" s="225"/>
      <c r="G233" s="225"/>
      <c r="H233" s="225"/>
      <c r="I233" s="225"/>
      <c r="J233" s="226" t="n">
        <f aca="false">PARTENAIRES!$G$8</f>
        <v>0</v>
      </c>
      <c r="K233" s="223" t="s">
        <v>2417</v>
      </c>
    </row>
    <row r="234" customFormat="false" ht="15" hidden="false" customHeight="true" outlineLevel="0" collapsed="false">
      <c r="A234" s="227" t="s">
        <v>1787</v>
      </c>
      <c r="B234" s="227"/>
      <c r="C234" s="227"/>
      <c r="D234" s="227"/>
      <c r="E234" s="227"/>
      <c r="F234" s="227"/>
      <c r="G234" s="227"/>
      <c r="H234" s="227"/>
      <c r="I234" s="227"/>
      <c r="J234" s="228" t="n">
        <f aca="false">PARTENAIRES!$H$8</f>
        <v>0</v>
      </c>
      <c r="K234" s="230" t="s">
        <v>2417</v>
      </c>
      <c r="L234" s="229"/>
      <c r="M234" s="229"/>
      <c r="N234" s="229"/>
    </row>
    <row r="235" customFormat="false" ht="15" hidden="false" customHeight="true" outlineLevel="0" collapsed="false">
      <c r="A235" s="225" t="s">
        <v>1788</v>
      </c>
      <c r="B235" s="225"/>
      <c r="C235" s="225"/>
      <c r="D235" s="225"/>
      <c r="E235" s="225"/>
      <c r="F235" s="225"/>
      <c r="G235" s="225"/>
      <c r="H235" s="225"/>
      <c r="I235" s="225"/>
      <c r="J235" s="226" t="n">
        <f aca="false">PARTENAIRES!$I$8</f>
        <v>0</v>
      </c>
      <c r="K235" s="223" t="s">
        <v>2417</v>
      </c>
    </row>
    <row r="237" customFormat="false" ht="19.5" hidden="false" customHeight="true" outlineLevel="0" collapsed="false">
      <c r="A237" s="219" t="s">
        <v>2475</v>
      </c>
      <c r="B237" s="219"/>
      <c r="C237" s="219"/>
      <c r="D237" s="219"/>
      <c r="E237" s="219"/>
      <c r="F237" s="219"/>
      <c r="G237" s="219"/>
      <c r="H237" s="219"/>
      <c r="I237" s="219"/>
      <c r="J237" s="219"/>
      <c r="K237" s="219"/>
      <c r="L237" s="219"/>
      <c r="M237" s="219"/>
      <c r="N237" s="219"/>
    </row>
    <row r="238" customFormat="false" ht="25.5" hidden="false" customHeight="true" outlineLevel="0" collapsed="false">
      <c r="A238" s="224" t="s">
        <v>1638</v>
      </c>
      <c r="B238" s="224"/>
      <c r="C238" s="224"/>
      <c r="D238" s="224"/>
      <c r="E238" s="224"/>
      <c r="F238" s="224"/>
      <c r="G238" s="224"/>
      <c r="H238" s="224"/>
      <c r="I238" s="224"/>
      <c r="J238" s="224" t="s">
        <v>1548</v>
      </c>
      <c r="K238" s="224"/>
      <c r="L238" s="224"/>
      <c r="M238" s="224"/>
      <c r="N238" s="224"/>
    </row>
    <row r="239" customFormat="false" ht="15" hidden="false" customHeight="true" outlineLevel="0" collapsed="false">
      <c r="A239" s="225" t="s">
        <v>2343</v>
      </c>
      <c r="B239" s="225"/>
      <c r="C239" s="225"/>
      <c r="D239" s="225"/>
      <c r="E239" s="225"/>
      <c r="F239" s="225"/>
      <c r="G239" s="225"/>
      <c r="H239" s="225"/>
      <c r="I239" s="225"/>
      <c r="J239" s="226" t="n">
        <f aca="false">'SUIVI-EVALUATION'!$A$8</f>
        <v>0</v>
      </c>
      <c r="K239" s="223" t="s">
        <v>2417</v>
      </c>
    </row>
    <row r="240" customFormat="false" ht="15" hidden="false" customHeight="true" outlineLevel="0" collapsed="false">
      <c r="A240" s="227" t="s">
        <v>2344</v>
      </c>
      <c r="B240" s="227"/>
      <c r="C240" s="227"/>
      <c r="D240" s="227"/>
      <c r="E240" s="227"/>
      <c r="F240" s="227"/>
      <c r="G240" s="227"/>
      <c r="H240" s="227"/>
      <c r="I240" s="227"/>
      <c r="J240" s="228" t="n">
        <f aca="false">'SUIVI-EVALUATION'!$B$8</f>
        <v>0</v>
      </c>
      <c r="K240" s="230" t="s">
        <v>2417</v>
      </c>
      <c r="L240" s="229"/>
      <c r="M240" s="229"/>
      <c r="N240" s="229"/>
    </row>
    <row r="241" customFormat="false" ht="15" hidden="false" customHeight="true" outlineLevel="0" collapsed="false">
      <c r="A241" s="225" t="s">
        <v>2345</v>
      </c>
      <c r="B241" s="225"/>
      <c r="C241" s="225"/>
      <c r="D241" s="225"/>
      <c r="E241" s="225"/>
      <c r="F241" s="225"/>
      <c r="G241" s="225"/>
      <c r="H241" s="225"/>
      <c r="I241" s="225"/>
      <c r="J241" s="226" t="n">
        <f aca="false">'SUIVI-EVALUATION'!$C$8</f>
        <v>0</v>
      </c>
      <c r="K241" s="223" t="s">
        <v>2417</v>
      </c>
    </row>
    <row r="242" customFormat="false" ht="15" hidden="false" customHeight="true" outlineLevel="0" collapsed="false">
      <c r="A242" s="227" t="s">
        <v>2346</v>
      </c>
      <c r="B242" s="227"/>
      <c r="C242" s="227"/>
      <c r="D242" s="227"/>
      <c r="E242" s="227"/>
      <c r="F242" s="227"/>
      <c r="G242" s="227"/>
      <c r="H242" s="227"/>
      <c r="I242" s="227"/>
      <c r="J242" s="228" t="n">
        <f aca="false">IF($C$6="Total",COUNTIFS('SUIVI-EVALUATION'!$A$55:$A$104,"IND*",'SUIVI-EVALUATION'!$AD$55:$AD$104,"&gt;=1"),COUNTIFS('SUIVI-EVALUATION'!$A$55:$A$104,"IND*",'SUIVI-EVALUATION'!$AD$55:$AD$104,"&gt;=1",'SUIVI-EVALUATION'!$AB$55:$AB$104,"&gt;="&amp;DATE(VALUE($C$6),1,1),'SUIVI-EVALUATION'!$AB$55:$AB$104,"&lt;"&amp;DATE(VALUE($C$6)+1,1,1)))</f>
        <v>0</v>
      </c>
      <c r="K242" s="229"/>
      <c r="L242" s="229"/>
      <c r="M242" s="229"/>
      <c r="N242" s="229"/>
    </row>
    <row r="243" customFormat="false" ht="15" hidden="false" customHeight="true" outlineLevel="0" collapsed="false">
      <c r="A243" s="225" t="s">
        <v>2347</v>
      </c>
      <c r="B243" s="225"/>
      <c r="C243" s="225"/>
      <c r="D243" s="225"/>
      <c r="E243" s="225"/>
      <c r="F243" s="225"/>
      <c r="G243" s="225"/>
      <c r="H243" s="225"/>
      <c r="I243" s="225"/>
      <c r="J243" s="226" t="n">
        <f aca="false">IF($C$6="Total",COUNTIFS('SUIVI-EVALUATION'!$A$55:$A$104,"IND*",'SUIVI-EVALUATION'!$AD$55:$AD$104,"&lt;1",'SUIVI-EVALUATION'!$AD$55:$AD$104,"&lt;&gt;"),COUNTIFS('SUIVI-EVALUATION'!$A$55:$A$104,"IND*",'SUIVI-EVALUATION'!$AD$55:$AD$104,"&lt;1",'SUIVI-EVALUATION'!$AD$55:$AD$104,"&lt;&gt;",'SUIVI-EVALUATION'!$AB$55:$AB$104,"&gt;="&amp;DATE(VALUE($C$6),1,1),'SUIVI-EVALUATION'!$AB$55:$AB$104,"&lt;"&amp;DATE(VALUE($C$6)+1,1,1)))</f>
        <v>0</v>
      </c>
    </row>
    <row r="244" customFormat="false" ht="15" hidden="false" customHeight="true" outlineLevel="0" collapsed="false">
      <c r="A244" s="227" t="s">
        <v>2348</v>
      </c>
      <c r="B244" s="227"/>
      <c r="C244" s="227"/>
      <c r="D244" s="227"/>
      <c r="E244" s="227"/>
      <c r="F244" s="227"/>
      <c r="G244" s="227"/>
      <c r="H244" s="227"/>
      <c r="I244" s="227"/>
      <c r="J244" s="233" t="n">
        <f aca="false">'SUIVI-EVALUATION'!$F$8</f>
        <v>0</v>
      </c>
      <c r="K244" s="230" t="s">
        <v>2417</v>
      </c>
      <c r="L244" s="229"/>
      <c r="M244" s="229"/>
      <c r="N244" s="229"/>
    </row>
    <row r="245" customFormat="false" ht="15" hidden="false" customHeight="true" outlineLevel="0" collapsed="false">
      <c r="A245" s="225" t="s">
        <v>2349</v>
      </c>
      <c r="B245" s="225"/>
      <c r="C245" s="225"/>
      <c r="D245" s="225"/>
      <c r="E245" s="225"/>
      <c r="F245" s="225"/>
      <c r="G245" s="225"/>
      <c r="H245" s="225"/>
      <c r="I245" s="225"/>
      <c r="J245" s="226" t="n">
        <f aca="false">'SUIVI-EVALUATION'!$G$8</f>
        <v>0</v>
      </c>
      <c r="K245" s="223" t="s">
        <v>2417</v>
      </c>
    </row>
    <row r="246" customFormat="false" ht="15" hidden="false" customHeight="true" outlineLevel="0" collapsed="false">
      <c r="A246" s="227" t="s">
        <v>2350</v>
      </c>
      <c r="B246" s="227"/>
      <c r="C246" s="227"/>
      <c r="D246" s="227"/>
      <c r="E246" s="227"/>
      <c r="F246" s="227"/>
      <c r="G246" s="227"/>
      <c r="H246" s="227"/>
      <c r="I246" s="227"/>
      <c r="J246" s="228" t="n">
        <f aca="false">'SUIVI-EVALUATION'!$H$8</f>
        <v>0</v>
      </c>
      <c r="K246" s="230" t="s">
        <v>2417</v>
      </c>
      <c r="L246" s="229"/>
      <c r="M246" s="229"/>
      <c r="N246" s="229"/>
    </row>
    <row r="247" customFormat="false" ht="15" hidden="false" customHeight="true" outlineLevel="0" collapsed="false">
      <c r="A247" s="225" t="s">
        <v>2351</v>
      </c>
      <c r="B247" s="225"/>
      <c r="C247" s="225"/>
      <c r="D247" s="225"/>
      <c r="E247" s="225"/>
      <c r="F247" s="225"/>
      <c r="G247" s="225"/>
      <c r="H247" s="225"/>
      <c r="I247" s="225"/>
      <c r="J247" s="236" t="n">
        <f aca="false">'SUIVI-EVALUATION'!$I$8</f>
        <v>0</v>
      </c>
      <c r="K247" s="223" t="s">
        <v>2417</v>
      </c>
    </row>
    <row r="248" customFormat="false" ht="15" hidden="false" customHeight="true" outlineLevel="0" collapsed="false">
      <c r="A248" s="227" t="s">
        <v>2476</v>
      </c>
      <c r="B248" s="227"/>
      <c r="C248" s="227"/>
      <c r="D248" s="227"/>
      <c r="E248" s="227"/>
      <c r="F248" s="227"/>
      <c r="G248" s="227"/>
      <c r="H248" s="227"/>
      <c r="I248" s="227"/>
      <c r="J248" s="228" t="n">
        <f aca="false">'SUIVI-EVALUATION'!$J$8</f>
        <v>0</v>
      </c>
      <c r="K248" s="230" t="s">
        <v>2417</v>
      </c>
      <c r="L248" s="229"/>
      <c r="M248" s="229"/>
      <c r="N248" s="229"/>
    </row>
    <row r="249" customFormat="false" ht="15" hidden="false" customHeight="true" outlineLevel="0" collapsed="false">
      <c r="A249" s="225" t="s">
        <v>2353</v>
      </c>
      <c r="B249" s="225"/>
      <c r="C249" s="225"/>
      <c r="D249" s="225"/>
      <c r="E249" s="225"/>
      <c r="F249" s="225"/>
      <c r="G249" s="225"/>
      <c r="H249" s="225"/>
      <c r="I249" s="225"/>
      <c r="J249" s="226" t="n">
        <f aca="false">'SUIVI-EVALUATION'!$K$8</f>
        <v>0</v>
      </c>
      <c r="K249" s="223" t="s">
        <v>2417</v>
      </c>
    </row>
    <row r="251" customFormat="false" ht="19.5" hidden="false" customHeight="true" outlineLevel="0" collapsed="false">
      <c r="A251" s="219" t="s">
        <v>2477</v>
      </c>
      <c r="B251" s="219"/>
      <c r="C251" s="219"/>
      <c r="D251" s="219"/>
      <c r="E251" s="219"/>
      <c r="F251" s="219"/>
      <c r="G251" s="219"/>
      <c r="H251" s="219"/>
      <c r="I251" s="219"/>
      <c r="J251" s="219"/>
      <c r="K251" s="219"/>
      <c r="L251" s="219"/>
      <c r="M251" s="219"/>
      <c r="N251" s="219"/>
    </row>
    <row r="252" customFormat="false" ht="25.5" hidden="false" customHeight="true" outlineLevel="0" collapsed="false">
      <c r="A252" s="224" t="s">
        <v>1327</v>
      </c>
      <c r="B252" s="224" t="s">
        <v>2478</v>
      </c>
      <c r="C252" s="224" t="s">
        <v>2479</v>
      </c>
      <c r="D252" s="224" t="s">
        <v>2466</v>
      </c>
      <c r="E252" s="224" t="s">
        <v>1595</v>
      </c>
      <c r="F252" s="224" t="s">
        <v>2191</v>
      </c>
    </row>
    <row r="253" customFormat="false" ht="15" hidden="false" customHeight="true" outlineLevel="0" collapsed="false">
      <c r="A253" s="240" t="str">
        <f aca="false">IFERROR(INDEX(tbl_Domaines[Libelle],1),"")</f>
        <v>Education</v>
      </c>
      <c r="B253" s="254" t="n">
        <f aca="false">IF($A$253="","",COUNTIFS(PROJETS!$A$56:$A$95,"PROJ*",PROJETS!$J$56:$J$95,$A$253))</f>
        <v>1</v>
      </c>
      <c r="C253" s="254" t="n">
        <f aca="false">IF($A$253="","",COUNTIFS(ACTIVITES!$A$56:$A$105,"ACT*",ACTIVITES!$E$56:$E$105,$A$253))</f>
        <v>1</v>
      </c>
      <c r="D253" s="254" t="n">
        <f aca="false">IF($A$253="","",COUNTIFS(BENEFICIAIRES!$A$56:$A$115,"BEN*",BENEFICIAIRES!$BA$56:$BA$115,$A$253))</f>
        <v>1</v>
      </c>
      <c r="E253" s="241" t="n">
        <f aca="false">IF($A$253="","",SUMIFS(tbl_Budget[Budget de reference (FCFA)],tbl_Budget[Domaine],$A$253))</f>
        <v>0</v>
      </c>
      <c r="F253" s="241" t="n">
        <f aca="false">IF($A$253="","",SUMIFS(DEPENSES!$AG$119:$AG$168,DEPENSES!$G$119:$G$168,$A$253))</f>
        <v>29999</v>
      </c>
    </row>
    <row r="254" customFormat="false" ht="15" hidden="false" customHeight="true" outlineLevel="0" collapsed="false">
      <c r="A254" s="237" t="str">
        <f aca="false">IFERROR(INDEX(tbl_Domaines[Libelle],2),"")</f>
        <v>Formation professionnelle</v>
      </c>
      <c r="B254" s="252" t="n">
        <f aca="false">IF($A$254="","",COUNTIFS(PROJETS!$A$56:$A$95,"PROJ*",PROJETS!$J$56:$J$95,$A$254))</f>
        <v>0</v>
      </c>
      <c r="C254" s="252" t="n">
        <f aca="false">IF($A$254="","",COUNTIFS(ACTIVITES!$A$56:$A$105,"ACT*",ACTIVITES!$E$56:$E$105,$A$254))</f>
        <v>0</v>
      </c>
      <c r="D254" s="252" t="n">
        <f aca="false">IF($A$254="","",COUNTIFS(BENEFICIAIRES!$A$56:$A$115,"BEN*",BENEFICIAIRES!$BA$56:$BA$115,$A$254))</f>
        <v>0</v>
      </c>
      <c r="E254" s="238" t="n">
        <f aca="false">IF($A$254="","",SUMIFS(tbl_Budget[Budget de reference (FCFA)],tbl_Budget[Domaine],$A$254))</f>
        <v>0</v>
      </c>
      <c r="F254" s="238" t="n">
        <f aca="false">IF($A$254="","",SUMIFS(DEPENSES!$AG$119:$AG$168,DEPENSES!$G$119:$G$168,$A$254))</f>
        <v>0</v>
      </c>
    </row>
    <row r="255" customFormat="false" ht="15" hidden="false" customHeight="true" outlineLevel="0" collapsed="false">
      <c r="A255" s="240" t="str">
        <f aca="false">IFERROR(INDEX(tbl_Domaines[Libelle],3),"")</f>
        <v>Entrepreneuriat</v>
      </c>
      <c r="B255" s="254" t="n">
        <f aca="false">IF($A$255="","",COUNTIFS(PROJETS!$A$56:$A$95,"PROJ*",PROJETS!$J$56:$J$95,$A$255))</f>
        <v>0</v>
      </c>
      <c r="C255" s="254" t="n">
        <f aca="false">IF($A$255="","",COUNTIFS(ACTIVITES!$A$56:$A$105,"ACT*",ACTIVITES!$E$56:$E$105,$A$255))</f>
        <v>0</v>
      </c>
      <c r="D255" s="254" t="n">
        <f aca="false">IF($A$255="","",COUNTIFS(BENEFICIAIRES!$A$56:$A$115,"BEN*",BENEFICIAIRES!$BA$56:$BA$115,$A$255))</f>
        <v>0</v>
      </c>
      <c r="E255" s="241" t="n">
        <f aca="false">IF($A$255="","",SUMIFS(tbl_Budget[Budget de reference (FCFA)],tbl_Budget[Domaine],$A$255))</f>
        <v>0</v>
      </c>
      <c r="F255" s="241" t="n">
        <f aca="false">IF($A$255="","",SUMIFS(DEPENSES!$AG$119:$AG$168,DEPENSES!$G$119:$G$168,$A$255))</f>
        <v>0</v>
      </c>
    </row>
    <row r="256" customFormat="false" ht="15" hidden="false" customHeight="true" outlineLevel="0" collapsed="false">
      <c r="A256" s="237" t="str">
        <f aca="false">IFERROR(INDEX(tbl_Domaines[Libelle],4),"")</f>
        <v>Culture</v>
      </c>
      <c r="B256" s="252" t="n">
        <f aca="false">IF($A$256="","",COUNTIFS(PROJETS!$A$56:$A$95,"PROJ*",PROJETS!$J$56:$J$95,$A$256))</f>
        <v>0</v>
      </c>
      <c r="C256" s="252" t="n">
        <f aca="false">IF($A$256="","",COUNTIFS(ACTIVITES!$A$56:$A$105,"ACT*",ACTIVITES!$E$56:$E$105,$A$256))</f>
        <v>0</v>
      </c>
      <c r="D256" s="252" t="n">
        <f aca="false">IF($A$256="","",COUNTIFS(BENEFICIAIRES!$A$56:$A$115,"BEN*",BENEFICIAIRES!$BA$56:$BA$115,$A$256))</f>
        <v>0</v>
      </c>
      <c r="E256" s="238" t="n">
        <f aca="false">IF($A$256="","",SUMIFS(tbl_Budget[Budget de reference (FCFA)],tbl_Budget[Domaine],$A$256))</f>
        <v>0</v>
      </c>
      <c r="F256" s="238" t="n">
        <f aca="false">IF($A$256="","",SUMIFS(DEPENSES!$AG$119:$AG$168,DEPENSES!$G$119:$G$168,$A$256))</f>
        <v>0</v>
      </c>
    </row>
    <row r="257" customFormat="false" ht="15" hidden="false" customHeight="true" outlineLevel="0" collapsed="false">
      <c r="A257" s="240" t="str">
        <f aca="false">IFERROR(INDEX(tbl_Domaines[Libelle],5),"")</f>
        <v>Environnement</v>
      </c>
      <c r="B257" s="254" t="n">
        <f aca="false">IF($A$257="","",COUNTIFS(PROJETS!$A$56:$A$95,"PROJ*",PROJETS!$J$56:$J$95,$A$257))</f>
        <v>0</v>
      </c>
      <c r="C257" s="254" t="n">
        <f aca="false">IF($A$257="","",COUNTIFS(ACTIVITES!$A$56:$A$105,"ACT*",ACTIVITES!$E$56:$E$105,$A$257))</f>
        <v>0</v>
      </c>
      <c r="D257" s="254" t="n">
        <f aca="false">IF($A$257="","",COUNTIFS(BENEFICIAIRES!$A$56:$A$115,"BEN*",BENEFICIAIRES!$BA$56:$BA$115,$A$257))</f>
        <v>0</v>
      </c>
      <c r="E257" s="241" t="n">
        <f aca="false">IF($A$257="","",SUMIFS(tbl_Budget[Budget de reference (FCFA)],tbl_Budget[Domaine],$A$257))</f>
        <v>0</v>
      </c>
      <c r="F257" s="241" t="n">
        <f aca="false">IF($A$257="","",SUMIFS(DEPENSES!$AG$119:$AG$168,DEPENSES!$G$119:$G$168,$A$257))</f>
        <v>0</v>
      </c>
    </row>
    <row r="258" customFormat="false" ht="15" hidden="false" customHeight="true" outlineLevel="0" collapsed="false">
      <c r="A258" s="237" t="str">
        <f aca="false">IFERROR(INDEX(tbl_Domaines[Libelle],6),"")</f>
        <v>Sante</v>
      </c>
      <c r="B258" s="252" t="n">
        <f aca="false">IF($A$258="","",COUNTIFS(PROJETS!$A$56:$A$95,"PROJ*",PROJETS!$J$56:$J$95,$A$258))</f>
        <v>0</v>
      </c>
      <c r="C258" s="252" t="n">
        <f aca="false">IF($A$258="","",COUNTIFS(ACTIVITES!$A$56:$A$105,"ACT*",ACTIVITES!$E$56:$E$105,$A$258))</f>
        <v>0</v>
      </c>
      <c r="D258" s="252" t="n">
        <f aca="false">IF($A$258="","",COUNTIFS(BENEFICIAIRES!$A$56:$A$115,"BEN*",BENEFICIAIRES!$BA$56:$BA$115,$A$258))</f>
        <v>0</v>
      </c>
      <c r="E258" s="238" t="n">
        <f aca="false">IF($A$258="","",SUMIFS(tbl_Budget[Budget de reference (FCFA)],tbl_Budget[Domaine],$A$258))</f>
        <v>0</v>
      </c>
      <c r="F258" s="238" t="n">
        <f aca="false">IF($A$258="","",SUMIFS(DEPENSES!$AG$119:$AG$168,DEPENSES!$G$119:$G$168,$A$258))</f>
        <v>0</v>
      </c>
    </row>
    <row r="259" customFormat="false" ht="15" hidden="false" customHeight="true" outlineLevel="0" collapsed="false">
      <c r="A259" s="240" t="str">
        <f aca="false">IFERROR(INDEX(tbl_Domaines[Libelle],7),"")</f>
        <v>Genre</v>
      </c>
      <c r="B259" s="254" t="n">
        <f aca="false">IF($A$259="","",COUNTIFS(PROJETS!$A$56:$A$95,"PROJ*",PROJETS!$J$56:$J$95,$A$259))</f>
        <v>0</v>
      </c>
      <c r="C259" s="254" t="n">
        <f aca="false">IF($A$259="","",COUNTIFS(ACTIVITES!$A$56:$A$105,"ACT*",ACTIVITES!$E$56:$E$105,$A$259))</f>
        <v>0</v>
      </c>
      <c r="D259" s="254" t="n">
        <f aca="false">IF($A$259="","",COUNTIFS(BENEFICIAIRES!$A$56:$A$115,"BEN*",BENEFICIAIRES!$BA$56:$BA$115,$A$259))</f>
        <v>0</v>
      </c>
      <c r="E259" s="241" t="n">
        <f aca="false">IF($A$259="","",SUMIFS(tbl_Budget[Budget de reference (FCFA)],tbl_Budget[Domaine],$A$259))</f>
        <v>0</v>
      </c>
      <c r="F259" s="241" t="n">
        <f aca="false">IF($A$259="","",SUMIFS(DEPENSES!$AG$119:$AG$168,DEPENSES!$G$119:$G$168,$A$259))</f>
        <v>0</v>
      </c>
    </row>
    <row r="260" customFormat="false" ht="15" hidden="false" customHeight="true" outlineLevel="0" collapsed="false">
      <c r="A260" s="237" t="str">
        <f aca="false">IFERROR(INDEX(tbl_Domaines[Libelle],8),"")</f>
        <v>Tourisme</v>
      </c>
      <c r="B260" s="252" t="n">
        <f aca="false">IF($A$260="","",COUNTIFS(PROJETS!$A$56:$A$95,"PROJ*",PROJETS!$J$56:$J$95,$A$260))</f>
        <v>0</v>
      </c>
      <c r="C260" s="252" t="n">
        <f aca="false">IF($A$260="","",COUNTIFS(ACTIVITES!$A$56:$A$105,"ACT*",ACTIVITES!$E$56:$E$105,$A$260))</f>
        <v>0</v>
      </c>
      <c r="D260" s="252" t="n">
        <f aca="false">IF($A$260="","",COUNTIFS(BENEFICIAIRES!$A$56:$A$115,"BEN*",BENEFICIAIRES!$BA$56:$BA$115,$A$260))</f>
        <v>0</v>
      </c>
      <c r="E260" s="238" t="n">
        <f aca="false">IF($A$260="","",SUMIFS(tbl_Budget[Budget de reference (FCFA)],tbl_Budget[Domaine],$A$260))</f>
        <v>0</v>
      </c>
      <c r="F260" s="238" t="n">
        <f aca="false">IF($A$260="","",SUMIFS(DEPENSES!$AG$119:$AG$168,DEPENSES!$G$119:$G$168,$A$260))</f>
        <v>0</v>
      </c>
    </row>
    <row r="261" customFormat="false" ht="15" hidden="false" customHeight="true" outlineLevel="0" collapsed="false">
      <c r="A261" s="240" t="str">
        <f aca="false">IFERROR(INDEX(tbl_Domaines[Libelle],9),"")</f>
        <v>Sport</v>
      </c>
      <c r="B261" s="254" t="n">
        <f aca="false">IF($A$261="","",COUNTIFS(PROJETS!$A$56:$A$95,"PROJ*",PROJETS!$J$56:$J$95,$A$261))</f>
        <v>0</v>
      </c>
      <c r="C261" s="254" t="n">
        <f aca="false">IF($A$261="","",COUNTIFS(ACTIVITES!$A$56:$A$105,"ACT*",ACTIVITES!$E$56:$E$105,$A$261))</f>
        <v>0</v>
      </c>
      <c r="D261" s="254" t="n">
        <f aca="false">IF($A$261="","",COUNTIFS(BENEFICIAIRES!$A$56:$A$115,"BEN*",BENEFICIAIRES!$BA$56:$BA$115,$A$261))</f>
        <v>0</v>
      </c>
      <c r="E261" s="241" t="n">
        <f aca="false">IF($A$261="","",SUMIFS(tbl_Budget[Budget de reference (FCFA)],tbl_Budget[Domaine],$A$261))</f>
        <v>0</v>
      </c>
      <c r="F261" s="241" t="n">
        <f aca="false">IF($A$261="","",SUMIFS(DEPENSES!$AG$119:$AG$168,DEPENSES!$G$119:$G$168,$A$261))</f>
        <v>0</v>
      </c>
    </row>
    <row r="262" customFormat="false" ht="15" hidden="false" customHeight="true" outlineLevel="0" collapsed="false">
      <c r="A262" s="237" t="str">
        <f aca="false">IFERROR(INDEX(tbl_Domaines[Libelle],10),"")</f>
        <v>Agriculture et developpement rural</v>
      </c>
      <c r="B262" s="252" t="n">
        <f aca="false">IF($A$262="","",COUNTIFS(PROJETS!$A$56:$A$95,"PROJ*",PROJETS!$J$56:$J$95,$A$262))</f>
        <v>0</v>
      </c>
      <c r="C262" s="252" t="n">
        <f aca="false">IF($A$262="","",COUNTIFS(ACTIVITES!$A$56:$A$105,"ACT*",ACTIVITES!$E$56:$E$105,$A$262))</f>
        <v>0</v>
      </c>
      <c r="D262" s="252" t="n">
        <f aca="false">IF($A$262="","",COUNTIFS(BENEFICIAIRES!$A$56:$A$115,"BEN*",BENEFICIAIRES!$BA$56:$BA$115,$A$262))</f>
        <v>0</v>
      </c>
      <c r="E262" s="238" t="n">
        <f aca="false">IF($A$262="","",SUMIFS(tbl_Budget[Budget de reference (FCFA)],tbl_Budget[Domaine],$A$262))</f>
        <v>0</v>
      </c>
      <c r="F262" s="238" t="n">
        <f aca="false">IF($A$262="","",SUMIFS(DEPENSES!$AG$119:$AG$168,DEPENSES!$G$119:$G$168,$A$262))</f>
        <v>0</v>
      </c>
    </row>
    <row r="263" customFormat="false" ht="15" hidden="false" customHeight="true" outlineLevel="0" collapsed="false">
      <c r="A263" s="240" t="str">
        <f aca="false">IFERROR(INDEX(tbl_Domaines[Libelle],11),"")</f>
        <v>Elevage</v>
      </c>
      <c r="B263" s="254" t="n">
        <f aca="false">IF($A$263="","",COUNTIFS(PROJETS!$A$56:$A$95,"PROJ*",PROJETS!$J$56:$J$95,$A$263))</f>
        <v>0</v>
      </c>
      <c r="C263" s="254" t="n">
        <f aca="false">IF($A$263="","",COUNTIFS(ACTIVITES!$A$56:$A$105,"ACT*",ACTIVITES!$E$56:$E$105,$A$263))</f>
        <v>0</v>
      </c>
      <c r="D263" s="254" t="n">
        <f aca="false">IF($A$263="","",COUNTIFS(BENEFICIAIRES!$A$56:$A$115,"BEN*",BENEFICIAIRES!$BA$56:$BA$115,$A$263))</f>
        <v>0</v>
      </c>
      <c r="E263" s="241" t="n">
        <f aca="false">IF($A$263="","",SUMIFS(tbl_Budget[Budget de reference (FCFA)],tbl_Budget[Domaine],$A$263))</f>
        <v>0</v>
      </c>
      <c r="F263" s="241" t="n">
        <f aca="false">IF($A$263="","",SUMIFS(DEPENSES!$AG$119:$AG$168,DEPENSES!$G$119:$G$168,$A$263))</f>
        <v>0</v>
      </c>
    </row>
    <row r="264" customFormat="false" ht="15" hidden="false" customHeight="true" outlineLevel="0" collapsed="false">
      <c r="A264" s="237" t="str">
        <f aca="false">IFERROR(INDEX(tbl_Domaines[Libelle],12),"")</f>
        <v>Peche et aquaculture</v>
      </c>
      <c r="B264" s="252" t="n">
        <f aca="false">IF($A$264="","",COUNTIFS(PROJETS!$A$56:$A$95,"PROJ*",PROJETS!$J$56:$J$95,$A$264))</f>
        <v>0</v>
      </c>
      <c r="C264" s="252" t="n">
        <f aca="false">IF($A$264="","",COUNTIFS(ACTIVITES!$A$56:$A$105,"ACT*",ACTIVITES!$E$56:$E$105,$A$264))</f>
        <v>0</v>
      </c>
      <c r="D264" s="252" t="n">
        <f aca="false">IF($A$264="","",COUNTIFS(BENEFICIAIRES!$A$56:$A$115,"BEN*",BENEFICIAIRES!$BA$56:$BA$115,$A$264))</f>
        <v>0</v>
      </c>
      <c r="E264" s="238" t="n">
        <f aca="false">IF($A$264="","",SUMIFS(tbl_Budget[Budget de reference (FCFA)],tbl_Budget[Domaine],$A$264))</f>
        <v>0</v>
      </c>
      <c r="F264" s="238" t="n">
        <f aca="false">IF($A$264="","",SUMIFS(DEPENSES!$AG$119:$AG$168,DEPENSES!$G$119:$G$168,$A$264))</f>
        <v>0</v>
      </c>
    </row>
    <row r="265" customFormat="false" ht="15" hidden="false" customHeight="true" outlineLevel="0" collapsed="false">
      <c r="A265" s="240" t="str">
        <f aca="false">IFERROR(INDEX(tbl_Domaines[Libelle],13),"")</f>
        <v>Securite alimentaire et nutrition</v>
      </c>
      <c r="B265" s="254" t="n">
        <f aca="false">IF($A$265="","",COUNTIFS(PROJETS!$A$56:$A$95,"PROJ*",PROJETS!$J$56:$J$95,$A$265))</f>
        <v>0</v>
      </c>
      <c r="C265" s="254" t="n">
        <f aca="false">IF($A$265="","",COUNTIFS(ACTIVITES!$A$56:$A$105,"ACT*",ACTIVITES!$E$56:$E$105,$A$265))</f>
        <v>0</v>
      </c>
      <c r="D265" s="254" t="n">
        <f aca="false">IF($A$265="","",COUNTIFS(BENEFICIAIRES!$A$56:$A$115,"BEN*",BENEFICIAIRES!$BA$56:$BA$115,$A$265))</f>
        <v>0</v>
      </c>
      <c r="E265" s="241" t="n">
        <f aca="false">IF($A$265="","",SUMIFS(tbl_Budget[Budget de reference (FCFA)],tbl_Budget[Domaine],$A$265))</f>
        <v>0</v>
      </c>
      <c r="F265" s="241" t="n">
        <f aca="false">IF($A$265="","",SUMIFS(DEPENSES!$AG$119:$AG$168,DEPENSES!$G$119:$G$168,$A$265))</f>
        <v>0</v>
      </c>
    </row>
    <row r="266" customFormat="false" ht="15" hidden="false" customHeight="true" outlineLevel="0" collapsed="false">
      <c r="A266" s="237" t="str">
        <f aca="false">IFERROR(INDEX(tbl_Domaines[Libelle],14),"")</f>
        <v>Eau, hygiene et assainissement</v>
      </c>
      <c r="B266" s="252" t="n">
        <f aca="false">IF($A$266="","",COUNTIFS(PROJETS!$A$56:$A$95,"PROJ*",PROJETS!$J$56:$J$95,$A$266))</f>
        <v>0</v>
      </c>
      <c r="C266" s="252" t="n">
        <f aca="false">IF($A$266="","",COUNTIFS(ACTIVITES!$A$56:$A$105,"ACT*",ACTIVITES!$E$56:$E$105,$A$266))</f>
        <v>0</v>
      </c>
      <c r="D266" s="252" t="n">
        <f aca="false">IF($A$266="","",COUNTIFS(BENEFICIAIRES!$A$56:$A$115,"BEN*",BENEFICIAIRES!$BA$56:$BA$115,$A$266))</f>
        <v>0</v>
      </c>
      <c r="E266" s="238" t="n">
        <f aca="false">IF($A$266="","",SUMIFS(tbl_Budget[Budget de reference (FCFA)],tbl_Budget[Domaine],$A$266))</f>
        <v>0</v>
      </c>
      <c r="F266" s="238" t="n">
        <f aca="false">IF($A$266="","",SUMIFS(DEPENSES!$AG$119:$AG$168,DEPENSES!$G$119:$G$168,$A$266))</f>
        <v>0</v>
      </c>
    </row>
    <row r="267" customFormat="false" ht="15" hidden="false" customHeight="true" outlineLevel="0" collapsed="false">
      <c r="A267" s="240" t="str">
        <f aca="false">IFERROR(INDEX(tbl_Domaines[Libelle],15),"")</f>
        <v>Protection sociale</v>
      </c>
      <c r="B267" s="254" t="n">
        <f aca="false">IF($A$267="","",COUNTIFS(PROJETS!$A$56:$A$95,"PROJ*",PROJETS!$J$56:$J$95,$A$267))</f>
        <v>0</v>
      </c>
      <c r="C267" s="254" t="n">
        <f aca="false">IF($A$267="","",COUNTIFS(ACTIVITES!$A$56:$A$105,"ACT*",ACTIVITES!$E$56:$E$105,$A$267))</f>
        <v>0</v>
      </c>
      <c r="D267" s="254" t="n">
        <f aca="false">IF($A$267="","",COUNTIFS(BENEFICIAIRES!$A$56:$A$115,"BEN*",BENEFICIAIRES!$BA$56:$BA$115,$A$267))</f>
        <v>0</v>
      </c>
      <c r="E267" s="241" t="n">
        <f aca="false">IF($A$267="","",SUMIFS(tbl_Budget[Budget de reference (FCFA)],tbl_Budget[Domaine],$A$267))</f>
        <v>0</v>
      </c>
      <c r="F267" s="241" t="n">
        <f aca="false">IF($A$267="","",SUMIFS(DEPENSES!$AG$119:$AG$168,DEPENSES!$G$119:$G$168,$A$267))</f>
        <v>0</v>
      </c>
    </row>
    <row r="269" customFormat="false" ht="19.5" hidden="false" customHeight="true" outlineLevel="0" collapsed="false">
      <c r="A269" s="219" t="s">
        <v>2480</v>
      </c>
      <c r="B269" s="219"/>
      <c r="C269" s="219"/>
      <c r="D269" s="219"/>
      <c r="E269" s="219"/>
      <c r="F269" s="219"/>
      <c r="G269" s="219"/>
      <c r="H269" s="219"/>
      <c r="I269" s="219"/>
      <c r="J269" s="219"/>
      <c r="K269" s="219"/>
      <c r="L269" s="219"/>
      <c r="M269" s="219"/>
      <c r="N269" s="219"/>
    </row>
    <row r="270" customFormat="false" ht="25.5" hidden="false" customHeight="true" outlineLevel="0" collapsed="false">
      <c r="A270" s="224" t="s">
        <v>1638</v>
      </c>
      <c r="B270" s="224"/>
      <c r="C270" s="224"/>
      <c r="D270" s="224"/>
      <c r="E270" s="224"/>
      <c r="F270" s="224"/>
      <c r="G270" s="224"/>
      <c r="H270" s="224"/>
      <c r="I270" s="224"/>
      <c r="J270" s="224" t="s">
        <v>1548</v>
      </c>
      <c r="K270" s="224"/>
      <c r="L270" s="224"/>
      <c r="M270" s="224"/>
      <c r="N270" s="224"/>
    </row>
    <row r="271" customFormat="false" ht="15" hidden="false" customHeight="true" outlineLevel="0" collapsed="false">
      <c r="A271" s="225" t="s">
        <v>1730</v>
      </c>
      <c r="B271" s="225"/>
      <c r="C271" s="225"/>
      <c r="D271" s="225"/>
      <c r="E271" s="225"/>
      <c r="F271" s="225"/>
      <c r="G271" s="225"/>
      <c r="H271" s="225"/>
      <c r="I271" s="225"/>
      <c r="J271" s="236" t="n">
        <f aca="false">IFERROR(DEPENSES!$A$8/BUDGET!$B$8,0)</f>
        <v>0</v>
      </c>
    </row>
    <row r="272" customFormat="false" ht="15" hidden="false" customHeight="true" outlineLevel="0" collapsed="false">
      <c r="A272" s="227" t="s">
        <v>2454</v>
      </c>
      <c r="B272" s="227"/>
      <c r="C272" s="227"/>
      <c r="D272" s="227"/>
      <c r="E272" s="227"/>
      <c r="F272" s="227"/>
      <c r="G272" s="227"/>
      <c r="H272" s="227"/>
      <c r="I272" s="227"/>
      <c r="J272" s="233" t="n">
        <f aca="false">ACTIVITES!$G$8</f>
        <v>0</v>
      </c>
      <c r="K272" s="230" t="s">
        <v>2417</v>
      </c>
      <c r="L272" s="229"/>
      <c r="M272" s="229"/>
      <c r="N272" s="229"/>
    </row>
    <row r="273" customFormat="false" ht="15" hidden="false" customHeight="true" outlineLevel="0" collapsed="false">
      <c r="A273" s="225" t="s">
        <v>2481</v>
      </c>
      <c r="B273" s="225"/>
      <c r="C273" s="225"/>
      <c r="D273" s="225"/>
      <c r="E273" s="225"/>
      <c r="F273" s="225"/>
      <c r="G273" s="225"/>
      <c r="H273" s="225"/>
      <c r="I273" s="225"/>
      <c r="J273" s="236" t="n">
        <f aca="false">'SUIVI-EVALUATION'!$F$8</f>
        <v>0</v>
      </c>
      <c r="K273" s="223" t="s">
        <v>2417</v>
      </c>
    </row>
    <row r="274" customFormat="false" ht="15" hidden="false" customHeight="true" outlineLevel="0" collapsed="false">
      <c r="A274" s="227" t="s">
        <v>2482</v>
      </c>
      <c r="B274" s="227"/>
      <c r="C274" s="227"/>
      <c r="D274" s="227"/>
      <c r="E274" s="227"/>
      <c r="F274" s="227"/>
      <c r="G274" s="227"/>
      <c r="H274" s="227"/>
      <c r="I274" s="227"/>
      <c r="J274" s="233" t="n">
        <f aca="false">'SUIVI-EVALUATION'!$I$8</f>
        <v>0</v>
      </c>
      <c r="K274" s="230" t="s">
        <v>2417</v>
      </c>
      <c r="L274" s="229"/>
      <c r="M274" s="229"/>
      <c r="N274" s="229"/>
    </row>
    <row r="275" customFormat="false" ht="15" hidden="false" customHeight="true" outlineLevel="0" collapsed="false">
      <c r="A275" s="225" t="s">
        <v>2483</v>
      </c>
      <c r="B275" s="225"/>
      <c r="C275" s="225"/>
      <c r="D275" s="225"/>
      <c r="E275" s="225"/>
      <c r="F275" s="225"/>
      <c r="G275" s="225"/>
      <c r="H275" s="225"/>
      <c r="I275" s="225"/>
      <c r="J275" s="236" t="n">
        <f aca="false">DONATEURS!$J$8</f>
        <v>0</v>
      </c>
      <c r="K275" s="223" t="s">
        <v>2417</v>
      </c>
    </row>
    <row r="276" customFormat="false" ht="15" hidden="false" customHeight="true" outlineLevel="0" collapsed="false">
      <c r="A276" s="227" t="s">
        <v>2484</v>
      </c>
      <c r="B276" s="227"/>
      <c r="C276" s="227"/>
      <c r="D276" s="227"/>
      <c r="E276" s="227"/>
      <c r="F276" s="227"/>
      <c r="G276" s="227"/>
      <c r="H276" s="227"/>
      <c r="I276" s="227"/>
      <c r="J276" s="233" t="n">
        <f aca="false">BUDGET!$F$8</f>
        <v>0</v>
      </c>
      <c r="K276" s="230" t="s">
        <v>2417</v>
      </c>
      <c r="L276" s="229"/>
      <c r="M276" s="229"/>
      <c r="N276" s="229"/>
    </row>
    <row r="277" customFormat="false" ht="15" hidden="false" customHeight="true" outlineLevel="0" collapsed="false">
      <c r="A277" s="225" t="s">
        <v>2485</v>
      </c>
      <c r="B277" s="225"/>
      <c r="C277" s="225"/>
      <c r="D277" s="225"/>
      <c r="E277" s="225"/>
      <c r="F277" s="225"/>
      <c r="G277" s="225"/>
      <c r="H277" s="225"/>
      <c r="I277" s="225"/>
      <c r="J277" s="236" t="n">
        <f aca="false">RECETTES!$H$8</f>
        <v>0</v>
      </c>
      <c r="K277" s="223" t="s">
        <v>2417</v>
      </c>
    </row>
    <row r="279" customFormat="false" ht="19.5" hidden="false" customHeight="true" outlineLevel="0" collapsed="false">
      <c r="A279" s="219" t="s">
        <v>2486</v>
      </c>
      <c r="B279" s="219"/>
      <c r="C279" s="219"/>
      <c r="D279" s="219"/>
      <c r="E279" s="219"/>
      <c r="F279" s="219"/>
      <c r="G279" s="219"/>
      <c r="H279" s="219"/>
      <c r="I279" s="219"/>
      <c r="J279" s="219"/>
      <c r="K279" s="219"/>
      <c r="L279" s="219"/>
      <c r="M279" s="219"/>
      <c r="N279" s="219"/>
    </row>
    <row r="280" customFormat="false" ht="25.5" hidden="false" customHeight="true" outlineLevel="0" collapsed="false">
      <c r="A280" s="224" t="s">
        <v>2153</v>
      </c>
      <c r="B280" s="224"/>
      <c r="C280" s="224"/>
      <c r="D280" s="224"/>
      <c r="E280" s="224"/>
      <c r="F280" s="224"/>
      <c r="G280" s="224"/>
      <c r="H280" s="224"/>
      <c r="I280" s="224"/>
      <c r="J280" s="224" t="s">
        <v>2487</v>
      </c>
      <c r="K280" s="224"/>
      <c r="L280" s="224"/>
      <c r="M280" s="224"/>
      <c r="N280" s="224"/>
    </row>
    <row r="281" customFormat="false" ht="15" hidden="false" customHeight="true" outlineLevel="0" collapsed="false">
      <c r="A281" s="225" t="s">
        <v>2488</v>
      </c>
      <c r="B281" s="225"/>
      <c r="C281" s="225"/>
      <c r="D281" s="225"/>
      <c r="E281" s="225"/>
      <c r="F281" s="225"/>
      <c r="G281" s="225"/>
      <c r="H281" s="225"/>
      <c r="I281" s="225"/>
      <c r="J281" s="226" t="n">
        <f aca="false">COUNTIFS(PROJETS!$A$56:$A$95,"PROJ*",PROJETS!$AG$56:$AG$95,0)</f>
        <v>0</v>
      </c>
    </row>
    <row r="282" customFormat="false" ht="15" hidden="false" customHeight="true" outlineLevel="0" collapsed="false">
      <c r="A282" s="227" t="s">
        <v>2489</v>
      </c>
      <c r="B282" s="227"/>
      <c r="C282" s="227"/>
      <c r="D282" s="227"/>
      <c r="E282" s="227"/>
      <c r="F282" s="227"/>
      <c r="G282" s="227"/>
      <c r="H282" s="227"/>
      <c r="I282" s="227"/>
      <c r="J282" s="228" t="n">
        <f aca="false">COUNTIFS(PROJETS!$A$56:$A$95,"PROJ*",PROJETS!$BE$56:$BE$95,TRUE())</f>
        <v>0</v>
      </c>
      <c r="K282" s="229"/>
      <c r="L282" s="229"/>
      <c r="M282" s="229"/>
      <c r="N282" s="229"/>
    </row>
    <row r="283" customFormat="false" ht="15" hidden="false" customHeight="true" outlineLevel="0" collapsed="false">
      <c r="A283" s="225" t="s">
        <v>2490</v>
      </c>
      <c r="B283" s="225"/>
      <c r="C283" s="225"/>
      <c r="D283" s="225"/>
      <c r="E283" s="225"/>
      <c r="F283" s="225"/>
      <c r="G283" s="225"/>
      <c r="H283" s="225"/>
      <c r="I283" s="225"/>
      <c r="J283" s="226" t="n">
        <f aca="false">COUNTIFS(PROJETS!$A$56:$A$95,"PROJ*",PROJETS!$BG$56:$BG$95,TRUE())</f>
        <v>0</v>
      </c>
    </row>
    <row r="284" customFormat="false" ht="15" hidden="false" customHeight="true" outlineLevel="0" collapsed="false">
      <c r="A284" s="227" t="s">
        <v>2491</v>
      </c>
      <c r="B284" s="227"/>
      <c r="C284" s="227"/>
      <c r="D284" s="227"/>
      <c r="E284" s="227"/>
      <c r="F284" s="227"/>
      <c r="G284" s="227"/>
      <c r="H284" s="227"/>
      <c r="I284" s="227"/>
      <c r="J284" s="228" t="n">
        <f aca="false">COUNTIFS(PROJETS!$A$56:$A$95,"PROJ*",PROJETS!$BH$56:$BH$95,TRUE())</f>
        <v>0</v>
      </c>
      <c r="K284" s="229"/>
      <c r="L284" s="229"/>
      <c r="M284" s="229"/>
      <c r="N284" s="229"/>
    </row>
    <row r="285" customFormat="false" ht="15" hidden="false" customHeight="true" outlineLevel="0" collapsed="false">
      <c r="A285" s="225" t="s">
        <v>2492</v>
      </c>
      <c r="B285" s="225"/>
      <c r="C285" s="225"/>
      <c r="D285" s="225"/>
      <c r="E285" s="225"/>
      <c r="F285" s="225"/>
      <c r="G285" s="225"/>
      <c r="H285" s="225"/>
      <c r="I285" s="225"/>
      <c r="J285" s="226" t="n">
        <f aca="false">COUNTIFS(ACTIVITES!$A$56:$A$105,"ACT*",ACTIVITES!$AB$56:$AB$105,TRUE())</f>
        <v>0</v>
      </c>
    </row>
    <row r="286" customFormat="false" ht="15" hidden="false" customHeight="true" outlineLevel="0" collapsed="false">
      <c r="A286" s="227" t="s">
        <v>2493</v>
      </c>
      <c r="B286" s="227"/>
      <c r="C286" s="227"/>
      <c r="D286" s="227"/>
      <c r="E286" s="227"/>
      <c r="F286" s="227"/>
      <c r="G286" s="227"/>
      <c r="H286" s="227"/>
      <c r="I286" s="227"/>
      <c r="J286" s="228" t="n">
        <f aca="false">COUNTIFS(DEPENSES!$A$119:$A$168,"DEP*",DEPENSES!$BD$119:$BD$168,"Non")</f>
        <v>0</v>
      </c>
      <c r="K286" s="229"/>
      <c r="L286" s="229"/>
      <c r="M286" s="229"/>
      <c r="N286" s="229"/>
    </row>
    <row r="287" customFormat="false" ht="15" hidden="false" customHeight="true" outlineLevel="0" collapsed="false">
      <c r="A287" s="225" t="s">
        <v>2494</v>
      </c>
      <c r="B287" s="225"/>
      <c r="C287" s="225"/>
      <c r="D287" s="225"/>
      <c r="E287" s="225"/>
      <c r="F287" s="225"/>
      <c r="G287" s="225"/>
      <c r="H287" s="225"/>
      <c r="I287" s="225"/>
      <c r="J287" s="226" t="n">
        <f aca="false">COUNTIF(tbl_Budget[Statut alerte],"&lt;&gt;")-COUNTIF(tbl_Budget[Statut alerte],"Normal")</f>
        <v>40</v>
      </c>
    </row>
    <row r="288" customFormat="false" ht="15" hidden="false" customHeight="true" outlineLevel="0" collapsed="false">
      <c r="A288" s="227" t="s">
        <v>2495</v>
      </c>
      <c r="B288" s="227"/>
      <c r="C288" s="227"/>
      <c r="D288" s="227"/>
      <c r="E288" s="227"/>
      <c r="F288" s="227"/>
      <c r="G288" s="227"/>
      <c r="H288" s="227"/>
      <c r="I288" s="227"/>
      <c r="J288" s="228" t="n">
        <f aca="false">PARTENAIRES!$I$8</f>
        <v>0</v>
      </c>
      <c r="K288" s="229"/>
      <c r="L288" s="229"/>
      <c r="M288" s="229"/>
      <c r="N288" s="229"/>
    </row>
    <row r="289" customFormat="false" ht="15" hidden="false" customHeight="true" outlineLevel="0" collapsed="false">
      <c r="A289" s="225" t="s">
        <v>2496</v>
      </c>
      <c r="B289" s="225"/>
      <c r="C289" s="225"/>
      <c r="D289" s="225"/>
      <c r="E289" s="225"/>
      <c r="F289" s="225"/>
      <c r="G289" s="225"/>
      <c r="H289" s="225"/>
      <c r="I289" s="225"/>
      <c r="J289" s="226" t="n">
        <f aca="false">'RESSOURCES HUMAINES'!$K$8</f>
        <v>0</v>
      </c>
    </row>
    <row r="290" customFormat="false" ht="15" hidden="false" customHeight="true" outlineLevel="0" collapsed="false">
      <c r="A290" s="227" t="s">
        <v>2497</v>
      </c>
      <c r="B290" s="227"/>
      <c r="C290" s="227"/>
      <c r="D290" s="227"/>
      <c r="E290" s="227"/>
      <c r="F290" s="227"/>
      <c r="G290" s="227"/>
      <c r="H290" s="227"/>
      <c r="I290" s="227"/>
      <c r="J290" s="228" t="n">
        <f aca="false">COUNTIF(DONATEURS!$AV$56:$AV$205,"Oui")</f>
        <v>0</v>
      </c>
      <c r="K290" s="229"/>
      <c r="L290" s="229"/>
      <c r="M290" s="229"/>
      <c r="N290" s="229"/>
    </row>
    <row r="292" customFormat="false" ht="19.5" hidden="false" customHeight="true" outlineLevel="0" collapsed="false">
      <c r="A292" s="219" t="s">
        <v>2498</v>
      </c>
      <c r="B292" s="219"/>
      <c r="C292" s="219"/>
      <c r="D292" s="219"/>
      <c r="E292" s="219"/>
      <c r="F292" s="219"/>
      <c r="G292" s="219"/>
      <c r="H292" s="219"/>
      <c r="I292" s="219"/>
      <c r="J292" s="219"/>
      <c r="K292" s="219"/>
      <c r="L292" s="219"/>
      <c r="M292" s="219"/>
      <c r="N292" s="219"/>
    </row>
    <row r="293" customFormat="false" ht="15" hidden="false" customHeight="true" outlineLevel="0" collapsed="false">
      <c r="A293" s="203" t="s">
        <v>2499</v>
      </c>
      <c r="B293" s="203"/>
      <c r="C293" s="203"/>
      <c r="D293" s="203"/>
      <c r="E293" s="203"/>
      <c r="F293" s="203"/>
      <c r="G293" s="203"/>
      <c r="H293" s="203"/>
      <c r="I293" s="203"/>
      <c r="J293" s="203"/>
      <c r="K293" s="203"/>
      <c r="L293" s="203"/>
      <c r="M293" s="203"/>
      <c r="N293" s="203"/>
    </row>
    <row r="294" customFormat="false" ht="25.5" hidden="false" customHeight="true" outlineLevel="0" collapsed="false">
      <c r="A294" s="224" t="s">
        <v>53</v>
      </c>
      <c r="B294" s="224" t="s">
        <v>2500</v>
      </c>
      <c r="C294" s="224" t="s">
        <v>2191</v>
      </c>
      <c r="D294" s="224" t="s">
        <v>2501</v>
      </c>
      <c r="E294" s="224" t="s">
        <v>1327</v>
      </c>
      <c r="F294" s="224" t="s">
        <v>1568</v>
      </c>
    </row>
    <row r="295" customFormat="false" ht="15" hidden="false" customHeight="true" outlineLevel="0" collapsed="false">
      <c r="A295" s="255" t="n">
        <v>2024</v>
      </c>
      <c r="B295" s="256" t="n">
        <f aca="false">SUMIFS(RECETTES!$AB$39:$AB$88,RECETTES!$V$39:$V$88,2024)</f>
        <v>0</v>
      </c>
      <c r="C295" s="256" t="n">
        <f aca="false">SUMIFS(DEPENSES!$AG$119:$AG$168,DEPENSES!$BM$119:$BM$168,2024)</f>
        <v>0</v>
      </c>
    </row>
    <row r="296" customFormat="false" ht="15" hidden="false" customHeight="true" outlineLevel="0" collapsed="false">
      <c r="A296" s="255" t="n">
        <v>2025</v>
      </c>
      <c r="B296" s="256" t="n">
        <f aca="false">SUMIFS(RECETTES!$AB$39:$AB$88,RECETTES!$V$39:$V$88,2025)</f>
        <v>0</v>
      </c>
      <c r="C296" s="256" t="n">
        <f aca="false">SUMIFS(DEPENSES!$AG$119:$AG$168,DEPENSES!$BM$119:$BM$168,2025)</f>
        <v>0</v>
      </c>
    </row>
    <row r="297" customFormat="false" ht="15" hidden="false" customHeight="true" outlineLevel="0" collapsed="false">
      <c r="A297" s="255" t="n">
        <v>2026</v>
      </c>
      <c r="B297" s="256" t="n">
        <f aca="false">SUMIFS(RECETTES!$AB$39:$AB$88,RECETTES!$V$39:$V$88,2026)</f>
        <v>0</v>
      </c>
      <c r="C297" s="256" t="n">
        <f aca="false">SUMIFS(DEPENSES!$AG$119:$AG$168,DEPENSES!$BM$119:$BM$168,2026)</f>
        <v>0</v>
      </c>
    </row>
    <row r="298" customFormat="false" ht="15" hidden="false" customHeight="true" outlineLevel="0" collapsed="false">
      <c r="A298" s="255" t="n">
        <v>2027</v>
      </c>
      <c r="B298" s="256" t="n">
        <f aca="false">SUMIFS(RECETTES!$AB$39:$AB$88,RECETTES!$V$39:$V$88,2027)</f>
        <v>0</v>
      </c>
      <c r="C298" s="256" t="n">
        <f aca="false">SUMIFS(DEPENSES!$AG$119:$AG$168,DEPENSES!$BM$119:$BM$168,2027)</f>
        <v>0</v>
      </c>
    </row>
    <row r="299" customFormat="false" ht="15" hidden="false" customHeight="true" outlineLevel="0" collapsed="false">
      <c r="A299" s="255" t="n">
        <v>2028</v>
      </c>
      <c r="B299" s="256" t="n">
        <f aca="false">SUMIFS(RECETTES!$AB$39:$AB$88,RECETTES!$V$39:$V$88,2028)</f>
        <v>0</v>
      </c>
      <c r="C299" s="256" t="n">
        <f aca="false">SUMIFS(DEPENSES!$AG$119:$AG$168,DEPENSES!$BM$119:$BM$168,2028)</f>
        <v>0</v>
      </c>
    </row>
    <row r="318" customFormat="false" ht="19.5" hidden="false" customHeight="true" outlineLevel="0" collapsed="false">
      <c r="A318" s="219" t="s">
        <v>2502</v>
      </c>
      <c r="B318" s="219"/>
      <c r="C318" s="219"/>
      <c r="D318" s="219"/>
      <c r="E318" s="219"/>
      <c r="F318" s="219"/>
      <c r="G318" s="219"/>
      <c r="H318" s="219"/>
      <c r="I318" s="219"/>
      <c r="J318" s="219"/>
      <c r="K318" s="219"/>
      <c r="L318" s="219"/>
      <c r="M318" s="219"/>
      <c r="N318" s="219"/>
    </row>
    <row r="319" customFormat="false" ht="30" hidden="false" customHeight="true" outlineLevel="0" collapsed="false">
      <c r="A319" s="257" t="s">
        <v>2503</v>
      </c>
      <c r="B319" s="257"/>
      <c r="C319" s="257"/>
      <c r="D319" s="258"/>
      <c r="E319" s="258"/>
      <c r="F319" s="258"/>
      <c r="G319" s="258"/>
      <c r="H319" s="258"/>
      <c r="I319" s="258"/>
      <c r="J319" s="258"/>
      <c r="K319" s="258"/>
      <c r="L319" s="258"/>
      <c r="M319" s="258"/>
      <c r="N319" s="258"/>
    </row>
    <row r="320" customFormat="false" ht="30" hidden="false" customHeight="true" outlineLevel="0" collapsed="false">
      <c r="A320" s="257" t="s">
        <v>2504</v>
      </c>
      <c r="B320" s="257"/>
      <c r="C320" s="257"/>
      <c r="D320" s="258"/>
      <c r="E320" s="258"/>
      <c r="F320" s="258"/>
      <c r="G320" s="258"/>
      <c r="H320" s="258"/>
      <c r="I320" s="258"/>
      <c r="J320" s="258"/>
      <c r="K320" s="258"/>
      <c r="L320" s="258"/>
      <c r="M320" s="258"/>
      <c r="N320" s="258"/>
    </row>
    <row r="321" customFormat="false" ht="30" hidden="false" customHeight="true" outlineLevel="0" collapsed="false">
      <c r="A321" s="257" t="s">
        <v>2505</v>
      </c>
      <c r="B321" s="257"/>
      <c r="C321" s="257"/>
      <c r="D321" s="258"/>
      <c r="E321" s="258"/>
      <c r="F321" s="258"/>
      <c r="G321" s="258"/>
      <c r="H321" s="258"/>
      <c r="I321" s="258"/>
      <c r="J321" s="258"/>
      <c r="K321" s="258"/>
      <c r="L321" s="258"/>
      <c r="M321" s="258"/>
      <c r="N321" s="258"/>
    </row>
    <row r="322" customFormat="false" ht="30" hidden="false" customHeight="true" outlineLevel="0" collapsed="false">
      <c r="A322" s="257" t="s">
        <v>2506</v>
      </c>
      <c r="B322" s="257"/>
      <c r="C322" s="257"/>
      <c r="D322" s="258"/>
      <c r="E322" s="258"/>
      <c r="F322" s="258"/>
      <c r="G322" s="258"/>
      <c r="H322" s="258"/>
      <c r="I322" s="258"/>
      <c r="J322" s="258"/>
      <c r="K322" s="258"/>
      <c r="L322" s="258"/>
      <c r="M322" s="258"/>
      <c r="N322" s="258"/>
    </row>
    <row r="323" customFormat="false" ht="30" hidden="false" customHeight="true" outlineLevel="0" collapsed="false">
      <c r="A323" s="257" t="s">
        <v>2507</v>
      </c>
      <c r="B323" s="257"/>
      <c r="C323" s="257"/>
      <c r="D323" s="258"/>
      <c r="E323" s="258"/>
      <c r="F323" s="258"/>
      <c r="G323" s="258"/>
      <c r="H323" s="258"/>
      <c r="I323" s="258"/>
      <c r="J323" s="258"/>
      <c r="K323" s="258"/>
      <c r="L323" s="258"/>
      <c r="M323" s="258"/>
      <c r="N323" s="258"/>
    </row>
    <row r="324" customFormat="false" ht="30" hidden="false" customHeight="true" outlineLevel="0" collapsed="false">
      <c r="A324" s="257" t="s">
        <v>2508</v>
      </c>
      <c r="B324" s="257"/>
      <c r="C324" s="257"/>
      <c r="D324" s="258"/>
      <c r="E324" s="258"/>
      <c r="F324" s="258"/>
      <c r="G324" s="258"/>
      <c r="H324" s="258"/>
      <c r="I324" s="258"/>
      <c r="J324" s="258"/>
      <c r="K324" s="258"/>
      <c r="L324" s="258"/>
      <c r="M324" s="258"/>
      <c r="N324" s="258"/>
    </row>
    <row r="326" customFormat="false" ht="19.5" hidden="false" customHeight="true" outlineLevel="0" collapsed="false">
      <c r="A326" s="219" t="s">
        <v>2509</v>
      </c>
      <c r="B326" s="219"/>
      <c r="C326" s="219"/>
      <c r="D326" s="219"/>
      <c r="E326" s="219"/>
      <c r="F326" s="219"/>
      <c r="G326" s="219"/>
      <c r="H326" s="219"/>
      <c r="I326" s="219"/>
      <c r="J326" s="219"/>
      <c r="K326" s="219"/>
      <c r="L326" s="219"/>
      <c r="M326" s="219"/>
      <c r="N326" s="219"/>
    </row>
    <row r="327" customFormat="false" ht="25.5" hidden="false" customHeight="true" outlineLevel="0" collapsed="false">
      <c r="A327" s="224"/>
      <c r="B327" s="224"/>
      <c r="C327" s="224" t="s">
        <v>2510</v>
      </c>
      <c r="D327" s="224"/>
      <c r="E327" s="224"/>
      <c r="F327" s="224"/>
      <c r="G327" s="259"/>
      <c r="H327" s="259"/>
      <c r="I327" s="259"/>
      <c r="J327" s="259"/>
      <c r="K327" s="259"/>
      <c r="L327" s="259"/>
      <c r="M327" s="259"/>
      <c r="N327" s="259"/>
    </row>
    <row r="328" customFormat="false" ht="15" hidden="false" customHeight="true" outlineLevel="0" collapsed="false">
      <c r="A328" s="245" t="s">
        <v>2511</v>
      </c>
      <c r="B328" s="245"/>
      <c r="C328" s="260"/>
      <c r="D328" s="260"/>
      <c r="E328" s="260"/>
      <c r="F328" s="260"/>
      <c r="G328" s="260"/>
      <c r="H328" s="260"/>
      <c r="I328" s="260"/>
      <c r="J328" s="260"/>
      <c r="K328" s="260"/>
      <c r="L328" s="260"/>
      <c r="M328" s="260"/>
      <c r="N328" s="260"/>
    </row>
    <row r="329" customFormat="false" ht="15" hidden="false" customHeight="true" outlineLevel="0" collapsed="false">
      <c r="A329" s="245" t="s">
        <v>2512</v>
      </c>
      <c r="B329" s="245"/>
      <c r="C329" s="260"/>
      <c r="D329" s="260"/>
      <c r="E329" s="260"/>
      <c r="F329" s="260"/>
      <c r="G329" s="260"/>
      <c r="H329" s="260"/>
      <c r="I329" s="260"/>
      <c r="J329" s="260"/>
      <c r="K329" s="260"/>
      <c r="L329" s="260"/>
      <c r="M329" s="260"/>
      <c r="N329" s="260"/>
    </row>
    <row r="330" customFormat="false" ht="15" hidden="false" customHeight="true" outlineLevel="0" collapsed="false">
      <c r="A330" s="245" t="s">
        <v>2513</v>
      </c>
      <c r="B330" s="245"/>
      <c r="C330" s="260"/>
      <c r="D330" s="260"/>
      <c r="E330" s="260"/>
      <c r="F330" s="260"/>
      <c r="G330" s="260"/>
      <c r="H330" s="260"/>
      <c r="I330" s="260"/>
      <c r="J330" s="260"/>
      <c r="K330" s="260"/>
      <c r="L330" s="260"/>
      <c r="M330" s="260"/>
      <c r="N330" s="260"/>
    </row>
    <row r="331" customFormat="false" ht="30" hidden="false" customHeight="true" outlineLevel="0" collapsed="false">
      <c r="A331" s="245" t="s">
        <v>2514</v>
      </c>
      <c r="B331" s="245"/>
      <c r="C331" s="260"/>
      <c r="D331" s="260"/>
      <c r="E331" s="260"/>
      <c r="F331" s="260"/>
      <c r="G331" s="260"/>
      <c r="H331" s="260"/>
      <c r="I331" s="260"/>
      <c r="J331" s="260"/>
      <c r="K331" s="260"/>
      <c r="L331" s="260"/>
      <c r="M331" s="260"/>
      <c r="N331" s="260"/>
    </row>
    <row r="334" customFormat="false" ht="15" hidden="false" customHeight="true" outlineLevel="0" collapsed="false">
      <c r="A334" s="261" t="s">
        <v>2515</v>
      </c>
      <c r="B334" s="261"/>
      <c r="C334" s="261"/>
      <c r="D334" s="261"/>
      <c r="E334" s="261"/>
      <c r="F334" s="261"/>
      <c r="G334" s="261"/>
      <c r="H334" s="261"/>
      <c r="I334" s="261"/>
      <c r="J334" s="261"/>
      <c r="K334" s="261"/>
      <c r="L334" s="261"/>
      <c r="M334" s="261"/>
      <c r="N334" s="261"/>
    </row>
  </sheetData>
  <mergeCells count="252">
    <mergeCell ref="A1:N1"/>
    <mergeCell ref="A2:N2"/>
    <mergeCell ref="A3:N3"/>
    <mergeCell ref="A5:N5"/>
    <mergeCell ref="A9:N9"/>
    <mergeCell ref="A10:I10"/>
    <mergeCell ref="J10:N10"/>
    <mergeCell ref="A11:I11"/>
    <mergeCell ref="A12:I12"/>
    <mergeCell ref="A13:I13"/>
    <mergeCell ref="A14:I14"/>
    <mergeCell ref="A15:I15"/>
    <mergeCell ref="A16:I16"/>
    <mergeCell ref="A17:I17"/>
    <mergeCell ref="A18:I18"/>
    <mergeCell ref="A19:I19"/>
    <mergeCell ref="A20:I20"/>
    <mergeCell ref="A21:I21"/>
    <mergeCell ref="A22:I22"/>
    <mergeCell ref="A25:N25"/>
    <mergeCell ref="A26:D26"/>
    <mergeCell ref="E26:N26"/>
    <mergeCell ref="A27:D27"/>
    <mergeCell ref="E27:N27"/>
    <mergeCell ref="A28:D28"/>
    <mergeCell ref="E28:N28"/>
    <mergeCell ref="A29:D29"/>
    <mergeCell ref="E29:N29"/>
    <mergeCell ref="A30:D30"/>
    <mergeCell ref="E30:N30"/>
    <mergeCell ref="A31:D31"/>
    <mergeCell ref="E31:N31"/>
    <mergeCell ref="A32:D32"/>
    <mergeCell ref="E32:N32"/>
    <mergeCell ref="A33:D33"/>
    <mergeCell ref="E33:N33"/>
    <mergeCell ref="A34:D34"/>
    <mergeCell ref="E34:N34"/>
    <mergeCell ref="A35:D35"/>
    <mergeCell ref="E35:N35"/>
    <mergeCell ref="A36:D36"/>
    <mergeCell ref="E36:N36"/>
    <mergeCell ref="A37:D37"/>
    <mergeCell ref="E37:N37"/>
    <mergeCell ref="A39:N39"/>
    <mergeCell ref="A40:I40"/>
    <mergeCell ref="J40:N40"/>
    <mergeCell ref="A41:I41"/>
    <mergeCell ref="A42:I42"/>
    <mergeCell ref="A43:I43"/>
    <mergeCell ref="A44:I44"/>
    <mergeCell ref="A45:I45"/>
    <mergeCell ref="A46:I46"/>
    <mergeCell ref="A47:I47"/>
    <mergeCell ref="A48:I48"/>
    <mergeCell ref="A49:I49"/>
    <mergeCell ref="A51:N51"/>
    <mergeCell ref="A52:I52"/>
    <mergeCell ref="J52:N52"/>
    <mergeCell ref="A53:I53"/>
    <mergeCell ref="A54:I54"/>
    <mergeCell ref="A55:I55"/>
    <mergeCell ref="A56:I56"/>
    <mergeCell ref="A57:I57"/>
    <mergeCell ref="A58:I58"/>
    <mergeCell ref="A59:I59"/>
    <mergeCell ref="A60:I60"/>
    <mergeCell ref="A62:N62"/>
    <mergeCell ref="A80:N80"/>
    <mergeCell ref="A108:N108"/>
    <mergeCell ref="A109:E109"/>
    <mergeCell ref="F109:N109"/>
    <mergeCell ref="A110:E110"/>
    <mergeCell ref="F110:N110"/>
    <mergeCell ref="A111:E111"/>
    <mergeCell ref="F111:N111"/>
    <mergeCell ref="A112:E112"/>
    <mergeCell ref="F112:N112"/>
    <mergeCell ref="A113:E113"/>
    <mergeCell ref="F113:N113"/>
    <mergeCell ref="A114:E114"/>
    <mergeCell ref="F114:N114"/>
    <mergeCell ref="A115:E115"/>
    <mergeCell ref="F115:N115"/>
    <mergeCell ref="A117:N117"/>
    <mergeCell ref="A160:N160"/>
    <mergeCell ref="A161:E161"/>
    <mergeCell ref="F161:N161"/>
    <mergeCell ref="A162:E162"/>
    <mergeCell ref="F162:N162"/>
    <mergeCell ref="A163:E163"/>
    <mergeCell ref="F163:N163"/>
    <mergeCell ref="A164:E164"/>
    <mergeCell ref="F164:N164"/>
    <mergeCell ref="A165:E165"/>
    <mergeCell ref="F165:N165"/>
    <mergeCell ref="A166:E166"/>
    <mergeCell ref="F166:N166"/>
    <mergeCell ref="A167:E167"/>
    <mergeCell ref="F167:N167"/>
    <mergeCell ref="A168:E168"/>
    <mergeCell ref="F168:N168"/>
    <mergeCell ref="A169:E169"/>
    <mergeCell ref="F169:N169"/>
    <mergeCell ref="A170:E170"/>
    <mergeCell ref="F170:N170"/>
    <mergeCell ref="A171:E171"/>
    <mergeCell ref="F171:N171"/>
    <mergeCell ref="A172:E172"/>
    <mergeCell ref="F172:N172"/>
    <mergeCell ref="A173:E173"/>
    <mergeCell ref="F173:N173"/>
    <mergeCell ref="A174:E174"/>
    <mergeCell ref="F174:N174"/>
    <mergeCell ref="A175:E175"/>
    <mergeCell ref="F175:N175"/>
    <mergeCell ref="A176:E176"/>
    <mergeCell ref="F176:N176"/>
    <mergeCell ref="A177:E177"/>
    <mergeCell ref="F177:N177"/>
    <mergeCell ref="A178:E178"/>
    <mergeCell ref="F178:N178"/>
    <mergeCell ref="A179:E179"/>
    <mergeCell ref="F179:N179"/>
    <mergeCell ref="A180:E180"/>
    <mergeCell ref="F180:N180"/>
    <mergeCell ref="A181:E181"/>
    <mergeCell ref="F181:N181"/>
    <mergeCell ref="A183:N183"/>
    <mergeCell ref="A184:I184"/>
    <mergeCell ref="J184:N184"/>
    <mergeCell ref="A185:I185"/>
    <mergeCell ref="A186:I186"/>
    <mergeCell ref="A187:I187"/>
    <mergeCell ref="A188:I188"/>
    <mergeCell ref="A189:I189"/>
    <mergeCell ref="A190:I190"/>
    <mergeCell ref="A191:I191"/>
    <mergeCell ref="A192:I192"/>
    <mergeCell ref="A194:N194"/>
    <mergeCell ref="A195:I195"/>
    <mergeCell ref="J195:N195"/>
    <mergeCell ref="A196:I196"/>
    <mergeCell ref="A197:I197"/>
    <mergeCell ref="A198:I198"/>
    <mergeCell ref="A199:I199"/>
    <mergeCell ref="A200:I200"/>
    <mergeCell ref="A201:I201"/>
    <mergeCell ref="A202:I202"/>
    <mergeCell ref="A203:I203"/>
    <mergeCell ref="A209:N209"/>
    <mergeCell ref="A210:I210"/>
    <mergeCell ref="J210:N210"/>
    <mergeCell ref="A211:I211"/>
    <mergeCell ref="A212:I212"/>
    <mergeCell ref="A213:I213"/>
    <mergeCell ref="A214:I214"/>
    <mergeCell ref="A215:I215"/>
    <mergeCell ref="A216:I216"/>
    <mergeCell ref="A217:I217"/>
    <mergeCell ref="A218:I218"/>
    <mergeCell ref="A219:I219"/>
    <mergeCell ref="A220:I220"/>
    <mergeCell ref="A221:I221"/>
    <mergeCell ref="A223:N223"/>
    <mergeCell ref="A225:N225"/>
    <mergeCell ref="A226:I226"/>
    <mergeCell ref="J226:N226"/>
    <mergeCell ref="A227:I227"/>
    <mergeCell ref="A228:I228"/>
    <mergeCell ref="A229:I229"/>
    <mergeCell ref="A230:I230"/>
    <mergeCell ref="A231:I231"/>
    <mergeCell ref="A232:I232"/>
    <mergeCell ref="A233:I233"/>
    <mergeCell ref="A234:I234"/>
    <mergeCell ref="A235:I235"/>
    <mergeCell ref="A237:N237"/>
    <mergeCell ref="A238:I238"/>
    <mergeCell ref="J238:N238"/>
    <mergeCell ref="A239:I239"/>
    <mergeCell ref="A240:I240"/>
    <mergeCell ref="A241:I241"/>
    <mergeCell ref="A242:I242"/>
    <mergeCell ref="A243:I243"/>
    <mergeCell ref="A244:I244"/>
    <mergeCell ref="A245:I245"/>
    <mergeCell ref="A246:I246"/>
    <mergeCell ref="A247:I247"/>
    <mergeCell ref="A248:I248"/>
    <mergeCell ref="A249:I249"/>
    <mergeCell ref="A251:N251"/>
    <mergeCell ref="A269:N269"/>
    <mergeCell ref="A270:I270"/>
    <mergeCell ref="J270:N270"/>
    <mergeCell ref="A271:I271"/>
    <mergeCell ref="A272:I272"/>
    <mergeCell ref="A273:I273"/>
    <mergeCell ref="A274:I274"/>
    <mergeCell ref="A275:I275"/>
    <mergeCell ref="A276:I276"/>
    <mergeCell ref="A277:I277"/>
    <mergeCell ref="A279:N279"/>
    <mergeCell ref="A280:I280"/>
    <mergeCell ref="J280:N280"/>
    <mergeCell ref="A281:I281"/>
    <mergeCell ref="A282:I282"/>
    <mergeCell ref="A283:I283"/>
    <mergeCell ref="A284:I284"/>
    <mergeCell ref="A285:I285"/>
    <mergeCell ref="A286:I286"/>
    <mergeCell ref="A287:I287"/>
    <mergeCell ref="A288:I288"/>
    <mergeCell ref="A289:I289"/>
    <mergeCell ref="A290:I290"/>
    <mergeCell ref="A292:N292"/>
    <mergeCell ref="A293:N293"/>
    <mergeCell ref="A318:N318"/>
    <mergeCell ref="A319:C319"/>
    <mergeCell ref="D319:N319"/>
    <mergeCell ref="A320:C320"/>
    <mergeCell ref="D320:N320"/>
    <mergeCell ref="A321:C321"/>
    <mergeCell ref="D321:N321"/>
    <mergeCell ref="A322:C322"/>
    <mergeCell ref="D322:N322"/>
    <mergeCell ref="A323:C323"/>
    <mergeCell ref="D323:N323"/>
    <mergeCell ref="A324:C324"/>
    <mergeCell ref="D324:N324"/>
    <mergeCell ref="A326:N326"/>
    <mergeCell ref="A327:B327"/>
    <mergeCell ref="C327:F327"/>
    <mergeCell ref="G327:J327"/>
    <mergeCell ref="K327:N327"/>
    <mergeCell ref="A328:B328"/>
    <mergeCell ref="C328:F328"/>
    <mergeCell ref="G328:J328"/>
    <mergeCell ref="K328:N328"/>
    <mergeCell ref="A329:B329"/>
    <mergeCell ref="C329:F329"/>
    <mergeCell ref="G329:J329"/>
    <mergeCell ref="K329:N329"/>
    <mergeCell ref="A330:B330"/>
    <mergeCell ref="C330:F330"/>
    <mergeCell ref="G330:J330"/>
    <mergeCell ref="K330:N330"/>
    <mergeCell ref="A331:B331"/>
    <mergeCell ref="C331:F331"/>
    <mergeCell ref="G331:J331"/>
    <mergeCell ref="K331:N331"/>
    <mergeCell ref="A334:N334"/>
  </mergeCells>
  <dataValidations count="3">
    <dataValidation allowBlank="true" errorStyle="stop" operator="between" showDropDown="false" showErrorMessage="false" showInputMessage="false" sqref="C6" type="list">
      <formula1>"2024,2025,2026,2027,2028,2029,2030,2031,2032,2033,Total"</formula1>
      <formula2>0</formula2>
    </dataValidation>
    <dataValidation allowBlank="true" errorStyle="stop" operator="between" showDropDown="false" showErrorMessage="false" showInputMessage="false" sqref="G6" type="list">
      <formula1>Liste_ActivitesIDProjets</formula1>
      <formula2>0</formula2>
    </dataValidation>
    <dataValidation allowBlank="true" errorStyle="stop" operator="between" showDropDown="false" showErrorMessage="false" showInputMessage="false" sqref="L6" type="list">
      <formula1>Liste_DonateursID</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&amp;CO.N.G BK — Rapports Analyses</oddHeader>
    <oddFooter>&amp;LGenere le &amp;D&amp;RPage &amp;P /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5A"/>
    <pageSetUpPr fitToPage="true"/>
  </sheetPr>
  <dimension ref="B1:BP241"/>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5" min="2" style="1" width="18"/>
    <col collapsed="false" customWidth="true" hidden="false" outlineLevel="0" max="26" min="26" style="1" width="3"/>
    <col collapsed="false" customWidth="true" hidden="true" outlineLevel="0" max="68" min="27" style="1" width="13"/>
  </cols>
  <sheetData>
    <row r="1" customFormat="false" ht="30" hidden="false" customHeight="true" outlineLevel="0" collapsed="false">
      <c r="B1" s="262" t="s">
        <v>2516</v>
      </c>
      <c r="C1" s="262"/>
      <c r="D1" s="262"/>
      <c r="E1" s="262"/>
      <c r="F1" s="262"/>
      <c r="G1" s="262"/>
      <c r="H1" s="262"/>
      <c r="I1" s="262"/>
      <c r="J1" s="262"/>
      <c r="K1" s="262"/>
      <c r="L1" s="262"/>
      <c r="M1" s="262"/>
      <c r="N1" s="262"/>
      <c r="O1" s="262"/>
      <c r="P1" s="262"/>
      <c r="Q1" s="262"/>
      <c r="R1" s="262"/>
      <c r="S1" s="262"/>
      <c r="T1" s="262"/>
      <c r="U1" s="262"/>
      <c r="V1" s="262"/>
      <c r="W1" s="262"/>
      <c r="X1" s="262"/>
      <c r="AA1" s="1" t="s">
        <v>2517</v>
      </c>
      <c r="AB1" s="1" t="s">
        <v>2518</v>
      </c>
      <c r="AC1" s="1" t="s">
        <v>2519</v>
      </c>
      <c r="AE1" s="1" t="s">
        <v>69</v>
      </c>
      <c r="AF1" s="1" t="n">
        <f aca="false">IF($C$7="Toutes les années",IF($K$7="Tous",SUMIFS(RECETTES!$AB$39:$AB$88,RECETTES!$X$39:$X$88,AE1),SUMIFS(RECETTES!$AB$39:$AB$88,RECETTES!$X$39:$X$88,AE1,RECETTES!$J$39:$J$88,$K$7)),IF($K$7="Tous",SUMIFS(RECETTES!$AB$39:$AB$88,RECETTES!$V$39:$V$88,$C$7,RECETTES!$X$39:$X$88,AE1),SUMIFS(RECETTES!$AB$39:$AB$88,RECETTES!$V$39:$V$88,$C$7,RECETTES!$X$39:$X$88,AE1,RECETTES!$J$39:$J$88,$K$7)))</f>
        <v>0</v>
      </c>
      <c r="AG1" s="1" t="n">
        <f aca="false">IF($C$7="Toutes les années",IF($K$7="Tous",SUMIFS(DEPENSES!$AG$119:$AG$168,DEPENSES!$BO$119:$BO$168,AE1),SUMIFS(DEPENSES!$AG$119:$AG$168,DEPENSES!$BO$119:$BO$168,AE1,DEPENSES!$G$119:$G$168,$K$7)),IF($K$7="Tous",SUMIFS(DEPENSES!$AG$119:$AG$168,DEPENSES!$BM$119:$BM$168,$C$7,DEPENSES!$BO$119:$BO$168,AE1),SUMIFS(DEPENSES!$AG$119:$AG$168,DEPENSES!$BM$119:$BM$168,$C$7,DEPENSES!$BO$119:$BO$168,AE1,DEPENSES!$G$119:$G$168,$K$7)))</f>
        <v>0</v>
      </c>
      <c r="AI1" s="1" t="s">
        <v>2520</v>
      </c>
      <c r="AJ1" s="1" t="n">
        <f aca="false">IF($C$7="Toutes les années",IF($K$7="Tous",COUNTIFS(PROJETS!$A$56:$A$95,"PROJ*",PROJETS!$AD$56:$AD$95,"En preparation"),COUNTIFS(PROJETS!$A$56:$A$95,"PROJ*",PROJETS!$J$56:$J$95,$K$7,PROJETS!$AD$56:$AD$95,"En preparation")),IF($K$7="Tous",COUNTIFS(PROJETS!$A$56:$A$95,"PROJ*",PROJETS!$AD$56:$AD$95,"En preparation",PROJETS!$X$56:$X$95,"&gt;="&amp;DATE($C$7,1,1),PROJETS!$X$56:$X$95,"&lt;"&amp;DATE($C$7+1,1,1)),COUNTIFS(PROJETS!$A$56:$A$95,"PROJ*",PROJETS!$J$56:$J$95,$K$7,PROJETS!$AD$56:$AD$95,"En preparation",PROJETS!$X$56:$X$95,"&gt;="&amp;DATE($C$7,1,1),PROJETS!$X$56:$X$95,"&lt;"&amp;DATE($C$7+1,1,1))))</f>
        <v>0</v>
      </c>
      <c r="AL1" s="1" t="s">
        <v>432</v>
      </c>
      <c r="AM1" s="1" t="n">
        <f aca="false">IF($C$7="Toutes les années",IF($K$7="Tous",COUNTIFS(BENEFICIAIRES!$A$56:$A$115,"BEN*",BENEFICIAIRES!$H$56:$H$115,AL1),COUNTIFS(BENEFICIAIRES!$A$56:$A$115,"BEN*",BENEFICIAIRES!$H$56:$H$115,AL1,BENEFICIAIRES!$BA$56:$BA$115,$K$7)),IF($K$7="Tous",COUNTIFS(BENEFICIAIRES!$A$56:$A$115,"BEN*",BENEFICIAIRES!$H$56:$H$115,AL1,BENEFICIAIRES!$BB$56:$BB$115,"&gt;="&amp;DATE($C$7,1,1),BENEFICIAIRES!$BB$56:$BB$115,"&lt;"&amp;DATE($C$7+1,1,1)),COUNTIFS(BENEFICIAIRES!$A$56:$A$115,"BEN*",BENEFICIAIRES!$H$56:$H$115,AL1,BENEFICIAIRES!$BA$56:$BA$115,$K$7,BENEFICIAIRES!$BB$56:$BB$115,"&gt;="&amp;DATE($C$7,1,1),BENEFICIAIRES!$BB$56:$BB$115,"&lt;"&amp;DATE($C$7+1,1,1))))</f>
        <v>0</v>
      </c>
      <c r="AO1" s="1" t="s">
        <v>2521</v>
      </c>
      <c r="AP1" s="1" t="n">
        <f aca="false">IF($C$7="Toutes les années",IF($K$7="Tous",COUNTIFS(ACTIVITES!$A$56:$A$105,"ACT*",ACTIVITES!$Z$56:$Z$105,"Planifiee"),COUNTIFS(ACTIVITES!$A$56:$A$105,"ACT*",ACTIVITES!$K$56:$K$105,$K$7,ACTIVITES!$Z$56:$Z$105,"Planifiee")),IF($K$7="Tous",COUNTIFS(ACTIVITES!$A$56:$A$105,"ACT*",ACTIVITES!$S$56:$S$105,$C$7,ACTIVITES!$Z$56:$Z$105,"Planifiee"),COUNTIFS(ACTIVITES!$A$56:$A$105,"ACT*",ACTIVITES!$K$56:$K$105,$K$7,ACTIVITES!$S$56:$S$105,$C$7,ACTIVITES!$Z$56:$Z$105,"Planifiee")))</f>
        <v>0</v>
      </c>
      <c r="AR1" s="263" t="s">
        <v>2522</v>
      </c>
      <c r="AS1" s="263" t="s">
        <v>2478</v>
      </c>
      <c r="AT1" s="263" t="s">
        <v>2523</v>
      </c>
      <c r="AU1" s="263" t="s">
        <v>2524</v>
      </c>
      <c r="AV1" s="263" t="s">
        <v>2525</v>
      </c>
      <c r="AW1" s="263" t="s">
        <v>2526</v>
      </c>
      <c r="AX1" s="263" t="s">
        <v>2522</v>
      </c>
      <c r="AY1" s="263" t="s">
        <v>2478</v>
      </c>
      <c r="AZ1" s="263" t="s">
        <v>67</v>
      </c>
      <c r="BA1" s="263" t="s">
        <v>2524</v>
      </c>
      <c r="BB1" s="263" t="s">
        <v>2525</v>
      </c>
      <c r="BC1" s="263" t="s">
        <v>2527</v>
      </c>
      <c r="BD1" s="264"/>
      <c r="BE1" s="264" t="s">
        <v>67</v>
      </c>
      <c r="BF1" s="264" t="s">
        <v>2524</v>
      </c>
      <c r="BG1" s="264" t="s">
        <v>2525</v>
      </c>
      <c r="BH1" s="264"/>
      <c r="BI1" s="264" t="s">
        <v>2528</v>
      </c>
      <c r="BJ1" s="264" t="s">
        <v>2089</v>
      </c>
      <c r="BK1" s="264"/>
      <c r="BL1" s="264" t="s">
        <v>1470</v>
      </c>
      <c r="BM1" s="264" t="s">
        <v>2089</v>
      </c>
      <c r="BN1" s="264"/>
      <c r="BO1" s="264" t="s">
        <v>2529</v>
      </c>
      <c r="BP1" s="264" t="s">
        <v>2089</v>
      </c>
    </row>
    <row r="2" customFormat="false" ht="25.5" hidden="false" customHeight="true" outlineLevel="0" collapsed="false">
      <c r="B2" s="262"/>
      <c r="C2" s="262"/>
      <c r="D2" s="262"/>
      <c r="E2" s="262"/>
      <c r="F2" s="262"/>
      <c r="G2" s="262"/>
      <c r="H2" s="262"/>
      <c r="I2" s="262"/>
      <c r="J2" s="262"/>
      <c r="K2" s="262"/>
      <c r="L2" s="262"/>
      <c r="M2" s="262"/>
      <c r="N2" s="262"/>
      <c r="O2" s="262"/>
      <c r="P2" s="262"/>
      <c r="Q2" s="262"/>
      <c r="R2" s="262"/>
      <c r="S2" s="262"/>
      <c r="T2" s="262"/>
      <c r="U2" s="262"/>
      <c r="V2" s="262"/>
      <c r="W2" s="262"/>
      <c r="X2" s="262"/>
      <c r="AA2" s="1" t="n">
        <v>2024</v>
      </c>
      <c r="AB2" s="1" t="s">
        <v>69</v>
      </c>
      <c r="AC2" s="1" t="s">
        <v>146</v>
      </c>
      <c r="AE2" s="1" t="s">
        <v>2530</v>
      </c>
      <c r="AF2" s="1" t="n">
        <f aca="false">IF($C$7="Toutes les années",IF($K$7="Tous",SUMIFS(RECETTES!$AB$39:$AB$88,RECETTES!$X$39:$X$88,AE2),SUMIFS(RECETTES!$AB$39:$AB$88,RECETTES!$X$39:$X$88,AE2,RECETTES!$J$39:$J$88,$K$7)),IF($K$7="Tous",SUMIFS(RECETTES!$AB$39:$AB$88,RECETTES!$V$39:$V$88,$C$7,RECETTES!$X$39:$X$88,AE2),SUMIFS(RECETTES!$AB$39:$AB$88,RECETTES!$V$39:$V$88,$C$7,RECETTES!$X$39:$X$88,AE2,RECETTES!$J$39:$J$88,$K$7)))</f>
        <v>0</v>
      </c>
      <c r="AG2" s="1" t="n">
        <f aca="false">IF($C$7="Toutes les années",IF($K$7="Tous",SUMIFS(DEPENSES!$AG$119:$AG$168,DEPENSES!$BO$119:$BO$168,AE2),SUMIFS(DEPENSES!$AG$119:$AG$168,DEPENSES!$BO$119:$BO$168,AE2,DEPENSES!$G$119:$G$168,$K$7)),IF($K$7="Tous",SUMIFS(DEPENSES!$AG$119:$AG$168,DEPENSES!$BM$119:$BM$168,$C$7,DEPENSES!$BO$119:$BO$168,AE2),SUMIFS(DEPENSES!$AG$119:$AG$168,DEPENSES!$BM$119:$BM$168,$C$7,DEPENSES!$BO$119:$BO$168,AE2,DEPENSES!$G$119:$G$168,$K$7)))</f>
        <v>0</v>
      </c>
      <c r="AI2" s="1" t="s">
        <v>114</v>
      </c>
      <c r="AJ2" s="1" t="n">
        <f aca="false">IF($C$7="Toutes les années",IF($K$7="Tous",COUNTIFS(PROJETS!$A$56:$A$95,"PROJ*",PROJETS!$AD$56:$AD$95,"En cours"),COUNTIFS(PROJETS!$A$56:$A$95,"PROJ*",PROJETS!$J$56:$J$95,$K$7,PROJETS!$AD$56:$AD$95,"En cours")),IF($K$7="Tous",COUNTIFS(PROJETS!$A$56:$A$95,"PROJ*",PROJETS!$AD$56:$AD$95,"En cours",PROJETS!$X$56:$X$95,"&gt;="&amp;DATE($C$7,1,1),PROJETS!$X$56:$X$95,"&lt;"&amp;DATE($C$7+1,1,1)),COUNTIFS(PROJETS!$A$56:$A$95,"PROJ*",PROJETS!$J$56:$J$95,$K$7,PROJETS!$AD$56:$AD$95,"En cours",PROJETS!$X$56:$X$95,"&gt;="&amp;DATE($C$7,1,1),PROJETS!$X$56:$X$95,"&lt;"&amp;DATE($C$7+1,1,1))))</f>
        <v>1</v>
      </c>
      <c r="AL2" s="1" t="s">
        <v>434</v>
      </c>
      <c r="AM2" s="1" t="n">
        <f aca="false">IF($C$7="Toutes les années",IF($K$7="Tous",COUNTIFS(BENEFICIAIRES!$A$56:$A$115,"BEN*",BENEFICIAIRES!$H$56:$H$115,AL2),COUNTIFS(BENEFICIAIRES!$A$56:$A$115,"BEN*",BENEFICIAIRES!$H$56:$H$115,AL2,BENEFICIAIRES!$BA$56:$BA$115,$K$7)),IF($K$7="Tous",COUNTIFS(BENEFICIAIRES!$A$56:$A$115,"BEN*",BENEFICIAIRES!$H$56:$H$115,AL2,BENEFICIAIRES!$BB$56:$BB$115,"&gt;="&amp;DATE($C$7,1,1),BENEFICIAIRES!$BB$56:$BB$115,"&lt;"&amp;DATE($C$7+1,1,1)),COUNTIFS(BENEFICIAIRES!$A$56:$A$115,"BEN*",BENEFICIAIRES!$H$56:$H$115,AL2,BENEFICIAIRES!$BA$56:$BA$115,$K$7,BENEFICIAIRES!$BB$56:$BB$115,"&gt;="&amp;DATE($C$7,1,1),BENEFICIAIRES!$BB$56:$BB$115,"&lt;"&amp;DATE($C$7+1,1,1))))</f>
        <v>1</v>
      </c>
      <c r="AO2" s="1" t="s">
        <v>114</v>
      </c>
      <c r="AP2" s="1" t="n">
        <f aca="false">IF($C$7="Toutes les années",IF($K$7="Tous",COUNTIFS(ACTIVITES!$A$56:$A$105,"ACT*",ACTIVITES!$Z$56:$Z$105,"En cours"),COUNTIFS(ACTIVITES!$A$56:$A$105,"ACT*",ACTIVITES!$K$56:$K$105,$K$7,ACTIVITES!$Z$56:$Z$105,"En cours")),IF($K$7="Tous",COUNTIFS(ACTIVITES!$A$56:$A$105,"ACT*",ACTIVITES!$S$56:$S$105,$C$7,ACTIVITES!$Z$56:$Z$105,"En cours"),COUNTIFS(ACTIVITES!$A$56:$A$105,"ACT*",ACTIVITES!$K$56:$K$105,$K$7,ACTIVITES!$S$56:$S$105,$C$7,ACTIVITES!$Z$56:$Z$105,"En cours")))</f>
        <v>1</v>
      </c>
      <c r="AR2" s="263" t="n">
        <v>2024</v>
      </c>
      <c r="AS2" s="263" t="n">
        <f aca="false">COUNTIFS(PROJETS!$A$56:$A$95,"PROJ*",PROJETS!$X$56:$X$95,"&gt;="&amp;DATE(AR2,1,1),PROJETS!$X$56:$X$95,"&lt;"&amp;DATE(AR2+1,1,1))</f>
        <v>1</v>
      </c>
      <c r="AT2" s="263" t="n">
        <f aca="false">COUNTIFS(BENEFICIAIRES!$A$56:$A$115,"BEN*",BENEFICIAIRES!$BB$56:$BB$115,"&gt;="&amp;DATE(AR2,1,1),BENEFICIAIRES!$BB$56:$BB$115,"&lt;"&amp;DATE(AR2+1,1,1))</f>
        <v>0</v>
      </c>
      <c r="AU2" s="263" t="n">
        <f aca="false">SUMIFS(RECETTES!$AB$39:$AB$88,RECETTES!$V$39:$V$88,AR2)</f>
        <v>0</v>
      </c>
      <c r="AV2" s="263" t="n">
        <f aca="false">SUMIFS(DEPENSES!$AG$119:$AG$168,DEPENSES!$BM$119:$BM$168,AR2)</f>
        <v>0</v>
      </c>
      <c r="AW2" s="263" t="n">
        <f aca="false">COUNTIFS(ACTIVITES!$A$56:$A$105,"ACT*",ACTIVITES!$S$56:$S$105,AR2,ACTIVITES!$Z$56:$Z$105,"Realisee")</f>
        <v>0</v>
      </c>
      <c r="AX2" s="263" t="str">
        <f aca="false">AR1</f>
        <v>Année</v>
      </c>
      <c r="AY2" s="263" t="str">
        <f aca="false">AS1</f>
        <v>Projets</v>
      </c>
      <c r="AZ2" s="263" t="s">
        <v>69</v>
      </c>
      <c r="BA2" s="263" t="n">
        <f aca="false">IF($C$7="Toutes les années",SUMIFS(RECETTES!$AB$39:$AB$88,RECETTES!$V$39:$V$88,2026,RECETTES!$W$39:$W$88,1),SUMIFS(RECETTES!$AB$39:$AB$88,RECETTES!$V$39:$V$88,$C$7,RECETTES!$W$39:$W$88,1))</f>
        <v>0</v>
      </c>
      <c r="BB2" s="263" t="n">
        <f aca="false">IF($C$7="Toutes les années",SUMIFS(DEPENSES!$AG$119:$AG$168,DEPENSES!$BM$119:$BM$168,2026,DEPENSES!$BN$119:$BN$168,1),SUMIFS(DEPENSES!$AG$119:$AG$168,DEPENSES!$BM$119:$BM$168,$C$7,DEPENSES!$BN$119:$BN$168,1))</f>
        <v>0</v>
      </c>
      <c r="BC2" s="263" t="n">
        <f aca="false">BA2-BB2</f>
        <v>0</v>
      </c>
      <c r="BD2" s="264"/>
      <c r="BE2" s="264" t="str">
        <f aca="false">AE1</f>
        <v>Janvier</v>
      </c>
      <c r="BF2" s="264" t="n">
        <f aca="false">AF1</f>
        <v>0</v>
      </c>
      <c r="BG2" s="264" t="n">
        <f aca="false">AG1</f>
        <v>0</v>
      </c>
      <c r="BH2" s="264"/>
      <c r="BI2" s="264" t="str">
        <f aca="false">AI1</f>
        <v>En préparation</v>
      </c>
      <c r="BJ2" s="264" t="n">
        <f aca="false">AJ1</f>
        <v>0</v>
      </c>
      <c r="BK2" s="264"/>
      <c r="BL2" s="264" t="str">
        <f aca="false">AL1</f>
        <v>Masculin</v>
      </c>
      <c r="BM2" s="264" t="n">
        <f aca="false">AM1</f>
        <v>0</v>
      </c>
      <c r="BN2" s="264"/>
      <c r="BO2" s="264" t="str">
        <f aca="false">AO1</f>
        <v>Planifiée</v>
      </c>
      <c r="BP2" s="264" t="n">
        <f aca="false">AP1</f>
        <v>0</v>
      </c>
    </row>
    <row r="3" customFormat="false" ht="19.5" hidden="false" customHeight="true" outlineLevel="0" collapsed="false">
      <c r="B3" s="265" t="s">
        <v>2531</v>
      </c>
      <c r="C3" s="265"/>
      <c r="D3" s="265"/>
      <c r="E3" s="265"/>
      <c r="F3" s="265"/>
      <c r="G3" s="265"/>
      <c r="H3" s="265"/>
      <c r="I3" s="265"/>
      <c r="J3" s="265"/>
      <c r="K3" s="265"/>
      <c r="L3" s="265"/>
      <c r="M3" s="265"/>
      <c r="N3" s="265"/>
      <c r="O3" s="265"/>
      <c r="P3" s="265"/>
      <c r="Q3" s="265"/>
      <c r="R3" s="265"/>
      <c r="S3" s="265"/>
      <c r="T3" s="265"/>
      <c r="U3" s="265"/>
      <c r="V3" s="265"/>
      <c r="W3" s="265"/>
      <c r="X3" s="265"/>
      <c r="AA3" s="1" t="n">
        <v>2025</v>
      </c>
      <c r="AB3" s="1" t="s">
        <v>2530</v>
      </c>
      <c r="AC3" s="1" t="s">
        <v>150</v>
      </c>
      <c r="AE3" s="1" t="s">
        <v>72</v>
      </c>
      <c r="AF3" s="1" t="n">
        <f aca="false">IF($C$7="Toutes les années",IF($K$7="Tous",SUMIFS(RECETTES!$AB$39:$AB$88,RECETTES!$X$39:$X$88,AE3),SUMIFS(RECETTES!$AB$39:$AB$88,RECETTES!$X$39:$X$88,AE3,RECETTES!$J$39:$J$88,$K$7)),IF($K$7="Tous",SUMIFS(RECETTES!$AB$39:$AB$88,RECETTES!$V$39:$V$88,$C$7,RECETTES!$X$39:$X$88,AE3),SUMIFS(RECETTES!$AB$39:$AB$88,RECETTES!$V$39:$V$88,$C$7,RECETTES!$X$39:$X$88,AE3,RECETTES!$J$39:$J$88,$K$7)))</f>
        <v>0</v>
      </c>
      <c r="AG3" s="1" t="n">
        <f aca="false">IF($C$7="Toutes les années",IF($K$7="Tous",SUMIFS(DEPENSES!$AG$119:$AG$168,DEPENSES!$BO$119:$BO$168,AE3),SUMIFS(DEPENSES!$AG$119:$AG$168,DEPENSES!$BO$119:$BO$168,AE3,DEPENSES!$G$119:$G$168,$K$7)),IF($K$7="Tous",SUMIFS(DEPENSES!$AG$119:$AG$168,DEPENSES!$BM$119:$BM$168,$C$7,DEPENSES!$BO$119:$BO$168,AE3),SUMIFS(DEPENSES!$AG$119:$AG$168,DEPENSES!$BM$119:$BM$168,$C$7,DEPENSES!$BO$119:$BO$168,AE3,DEPENSES!$G$119:$G$168,$K$7)))</f>
        <v>0</v>
      </c>
      <c r="AI3" s="1" t="s">
        <v>2532</v>
      </c>
      <c r="AJ3" s="1" t="n">
        <f aca="false">IF($C$7="Toutes les années",IF($K$7="Tous",COUNTIFS(PROJETS!$A$56:$A$95,"PROJ*",PROJETS!$AD$56:$AD$95,"Termine"),COUNTIFS(PROJETS!$A$56:$A$95,"PROJ*",PROJETS!$J$56:$J$95,$K$7,PROJETS!$AD$56:$AD$95,"Termine")),IF($K$7="Tous",COUNTIFS(PROJETS!$A$56:$A$95,"PROJ*",PROJETS!$AD$56:$AD$95,"Termine",PROJETS!$X$56:$X$95,"&gt;="&amp;DATE($C$7,1,1),PROJETS!$X$56:$X$95,"&lt;"&amp;DATE($C$7+1,1,1)),COUNTIFS(PROJETS!$A$56:$A$95,"PROJ*",PROJETS!$J$56:$J$95,$K$7,PROJETS!$AD$56:$AD$95,"Termine",PROJETS!$X$56:$X$95,"&gt;="&amp;DATE($C$7,1,1),PROJETS!$X$56:$X$95,"&lt;"&amp;DATE($C$7+1,1,1))))</f>
        <v>0</v>
      </c>
      <c r="AO3" s="1" t="s">
        <v>2533</v>
      </c>
      <c r="AP3" s="1" t="n">
        <f aca="false">IF($C$7="Toutes les années",IF($K$7="Tous",COUNTIFS(ACTIVITES!$A$56:$A$105,"ACT*",ACTIVITES!$Z$56:$Z$105,"Realisee"),COUNTIFS(ACTIVITES!$A$56:$A$105,"ACT*",ACTIVITES!$K$56:$K$105,$K$7,ACTIVITES!$Z$56:$Z$105,"Realisee")),IF($K$7="Tous",COUNTIFS(ACTIVITES!$A$56:$A$105,"ACT*",ACTIVITES!$S$56:$S$105,$C$7,ACTIVITES!$Z$56:$Z$105,"Realisee"),COUNTIFS(ACTIVITES!$A$56:$A$105,"ACT*",ACTIVITES!$K$56:$K$105,$K$7,ACTIVITES!$S$56:$S$105,$C$7,ACTIVITES!$Z$56:$Z$105,"Realisee")))</f>
        <v>0</v>
      </c>
      <c r="AR3" s="263" t="n">
        <v>2025</v>
      </c>
      <c r="AS3" s="263" t="n">
        <f aca="false">COUNTIFS(PROJETS!$A$56:$A$95,"PROJ*",PROJETS!$X$56:$X$95,"&gt;="&amp;DATE(AR3,1,1),PROJETS!$X$56:$X$95,"&lt;"&amp;DATE(AR3+1,1,1))</f>
        <v>0</v>
      </c>
      <c r="AT3" s="263" t="n">
        <f aca="false">COUNTIFS(BENEFICIAIRES!$A$56:$A$115,"BEN*",BENEFICIAIRES!$BB$56:$BB$115,"&gt;="&amp;DATE(AR3,1,1),BENEFICIAIRES!$BB$56:$BB$115,"&lt;"&amp;DATE(AR3+1,1,1))</f>
        <v>0</v>
      </c>
      <c r="AU3" s="263" t="n">
        <f aca="false">SUMIFS(RECETTES!$AB$39:$AB$88,RECETTES!$V$39:$V$88,AR3)</f>
        <v>0</v>
      </c>
      <c r="AV3" s="263" t="n">
        <f aca="false">SUMIFS(DEPENSES!$AG$119:$AG$168,DEPENSES!$BM$119:$BM$168,AR3)</f>
        <v>0</v>
      </c>
      <c r="AW3" s="263" t="n">
        <f aca="false">COUNTIFS(ACTIVITES!$A$56:$A$105,"ACT*",ACTIVITES!$S$56:$S$105,AR3,ACTIVITES!$Z$56:$Z$105,"Realisee")</f>
        <v>0</v>
      </c>
      <c r="AX3" s="263" t="n">
        <f aca="false">AR2</f>
        <v>2024</v>
      </c>
      <c r="AY3" s="263" t="n">
        <f aca="false">AS2</f>
        <v>1</v>
      </c>
      <c r="AZ3" s="263" t="s">
        <v>2530</v>
      </c>
      <c r="BA3" s="263" t="n">
        <f aca="false">IF($C$7="Toutes les années",SUMIFS(RECETTES!$AB$39:$AB$88,RECETTES!$V$39:$V$88,2026,RECETTES!$W$39:$W$88,2),SUMIFS(RECETTES!$AB$39:$AB$88,RECETTES!$V$39:$V$88,$C$7,RECETTES!$W$39:$W$88,2))</f>
        <v>0</v>
      </c>
      <c r="BB3" s="263" t="n">
        <f aca="false">IF($C$7="Toutes les années",SUMIFS(DEPENSES!$AG$119:$AG$168,DEPENSES!$BM$119:$BM$168,2026,DEPENSES!$BN$119:$BN$168,2),SUMIFS(DEPENSES!$AG$119:$AG$168,DEPENSES!$BM$119:$BM$168,$C$7,DEPENSES!$BN$119:$BN$168,2))</f>
        <v>0</v>
      </c>
      <c r="BC3" s="263" t="n">
        <f aca="false">BA3-BB3</f>
        <v>0</v>
      </c>
      <c r="BD3" s="264"/>
      <c r="BE3" s="264" t="str">
        <f aca="false">AE2</f>
        <v>Février</v>
      </c>
      <c r="BF3" s="264" t="n">
        <f aca="false">AF2</f>
        <v>0</v>
      </c>
      <c r="BG3" s="264" t="n">
        <f aca="false">AG2</f>
        <v>0</v>
      </c>
      <c r="BH3" s="264"/>
      <c r="BI3" s="264" t="str">
        <f aca="false">AI2</f>
        <v>En cours</v>
      </c>
      <c r="BJ3" s="264" t="n">
        <f aca="false">AJ2</f>
        <v>1</v>
      </c>
      <c r="BK3" s="264"/>
      <c r="BL3" s="264" t="str">
        <f aca="false">AL2</f>
        <v>Feminin</v>
      </c>
      <c r="BM3" s="264" t="n">
        <f aca="false">AM2</f>
        <v>1</v>
      </c>
      <c r="BN3" s="264"/>
      <c r="BO3" s="264" t="str">
        <f aca="false">AO2</f>
        <v>En cours</v>
      </c>
      <c r="BP3" s="264" t="n">
        <f aca="false">AP2</f>
        <v>1</v>
      </c>
    </row>
    <row r="4" customFormat="false" ht="19.5" hidden="false" customHeight="true" outlineLevel="0" collapsed="false">
      <c r="AA4" s="1" t="n">
        <v>2026</v>
      </c>
      <c r="AB4" s="1" t="s">
        <v>72</v>
      </c>
      <c r="AC4" s="1" t="s">
        <v>153</v>
      </c>
      <c r="AE4" s="1" t="s">
        <v>73</v>
      </c>
      <c r="AF4" s="1" t="n">
        <f aca="false">IF($C$7="Toutes les années",IF($K$7="Tous",SUMIFS(RECETTES!$AB$39:$AB$88,RECETTES!$X$39:$X$88,AE4),SUMIFS(RECETTES!$AB$39:$AB$88,RECETTES!$X$39:$X$88,AE4,RECETTES!$J$39:$J$88,$K$7)),IF($K$7="Tous",SUMIFS(RECETTES!$AB$39:$AB$88,RECETTES!$V$39:$V$88,$C$7,RECETTES!$X$39:$X$88,AE4),SUMIFS(RECETTES!$AB$39:$AB$88,RECETTES!$V$39:$V$88,$C$7,RECETTES!$X$39:$X$88,AE4,RECETTES!$J$39:$J$88,$K$7)))</f>
        <v>0</v>
      </c>
      <c r="AG4" s="1" t="n">
        <f aca="false">IF($C$7="Toutes les années",IF($K$7="Tous",SUMIFS(DEPENSES!$AG$119:$AG$168,DEPENSES!$BO$119:$BO$168,AE4),SUMIFS(DEPENSES!$AG$119:$AG$168,DEPENSES!$BO$119:$BO$168,AE4,DEPENSES!$G$119:$G$168,$K$7)),IF($K$7="Tous",SUMIFS(DEPENSES!$AG$119:$AG$168,DEPENSES!$BM$119:$BM$168,$C$7,DEPENSES!$BO$119:$BO$168,AE4),SUMIFS(DEPENSES!$AG$119:$AG$168,DEPENSES!$BM$119:$BM$168,$C$7,DEPENSES!$BO$119:$BO$168,AE4,DEPENSES!$G$119:$G$168,$K$7)))</f>
        <v>0</v>
      </c>
      <c r="AI4" s="1" t="s">
        <v>116</v>
      </c>
      <c r="AJ4" s="1" t="n">
        <f aca="false">IF($C$7="Toutes les années",IF($K$7="Tous",COUNTIFS(PROJETS!$A$56:$A$95,"PROJ*",PROJETS!$AD$56:$AD$95,"Suspendu"),COUNTIFS(PROJETS!$A$56:$A$95,"PROJ*",PROJETS!$J$56:$J$95,$K$7,PROJETS!$AD$56:$AD$95,"Suspendu")),IF($K$7="Tous",COUNTIFS(PROJETS!$A$56:$A$95,"PROJ*",PROJETS!$AD$56:$AD$95,"Suspendu",PROJETS!$X$56:$X$95,"&gt;="&amp;DATE($C$7,1,1),PROJETS!$X$56:$X$95,"&lt;"&amp;DATE($C$7+1,1,1)),COUNTIFS(PROJETS!$A$56:$A$95,"PROJ*",PROJETS!$J$56:$J$95,$K$7,PROJETS!$AD$56:$AD$95,"Suspendu",PROJETS!$X$56:$X$95,"&gt;="&amp;DATE($C$7,1,1),PROJETS!$X$56:$X$95,"&lt;"&amp;DATE($C$7+1,1,1))))</f>
        <v>0</v>
      </c>
      <c r="AO4" s="1" t="s">
        <v>2534</v>
      </c>
      <c r="AP4" s="1" t="n">
        <f aca="false">IF($C$7="Toutes les années",IF($K$7="Tous",COUNTIFS(ACTIVITES!$A$56:$A$105,"ACT*",ACTIVITES!$Z$56:$Z$105,"Reportee"),COUNTIFS(ACTIVITES!$A$56:$A$105,"ACT*",ACTIVITES!$K$56:$K$105,$K$7,ACTIVITES!$Z$56:$Z$105,"Reportee")),IF($K$7="Tous",COUNTIFS(ACTIVITES!$A$56:$A$105,"ACT*",ACTIVITES!$S$56:$S$105,$C$7,ACTIVITES!$Z$56:$Z$105,"Reportee"),COUNTIFS(ACTIVITES!$A$56:$A$105,"ACT*",ACTIVITES!$K$56:$K$105,$K$7,ACTIVITES!$S$56:$S$105,$C$7,ACTIVITES!$Z$56:$Z$105,"Reportee")))</f>
        <v>0</v>
      </c>
      <c r="AR4" s="263" t="n">
        <v>2026</v>
      </c>
      <c r="AS4" s="263" t="n">
        <f aca="false">COUNTIFS(PROJETS!$A$56:$A$95,"PROJ*",PROJETS!$X$56:$X$95,"&gt;="&amp;DATE(AR4,1,1),PROJETS!$X$56:$X$95,"&lt;"&amp;DATE(AR4+1,1,1))</f>
        <v>0</v>
      </c>
      <c r="AT4" s="263" t="n">
        <f aca="false">COUNTIFS(BENEFICIAIRES!$A$56:$A$115,"BEN*",BENEFICIAIRES!$BB$56:$BB$115,"&gt;="&amp;DATE(AR4,1,1),BENEFICIAIRES!$BB$56:$BB$115,"&lt;"&amp;DATE(AR4+1,1,1))</f>
        <v>0</v>
      </c>
      <c r="AU4" s="263" t="n">
        <f aca="false">SUMIFS(RECETTES!$AB$39:$AB$88,RECETTES!$V$39:$V$88,AR4)</f>
        <v>0</v>
      </c>
      <c r="AV4" s="263" t="n">
        <f aca="false">SUMIFS(DEPENSES!$AG$119:$AG$168,DEPENSES!$BM$119:$BM$168,AR4)</f>
        <v>0</v>
      </c>
      <c r="AW4" s="263" t="n">
        <f aca="false">COUNTIFS(ACTIVITES!$A$56:$A$105,"ACT*",ACTIVITES!$S$56:$S$105,AR4,ACTIVITES!$Z$56:$Z$105,"Realisee")</f>
        <v>0</v>
      </c>
      <c r="AX4" s="263" t="n">
        <f aca="false">AR3</f>
        <v>2025</v>
      </c>
      <c r="AY4" s="263" t="n">
        <f aca="false">AS3</f>
        <v>0</v>
      </c>
      <c r="AZ4" s="263" t="s">
        <v>72</v>
      </c>
      <c r="BA4" s="263" t="n">
        <f aca="false">IF($C$7="Toutes les années",SUMIFS(RECETTES!$AB$39:$AB$88,RECETTES!$V$39:$V$88,2026,RECETTES!$W$39:$W$88,3),SUMIFS(RECETTES!$AB$39:$AB$88,RECETTES!$V$39:$V$88,$C$7,RECETTES!$W$39:$W$88,3))</f>
        <v>0</v>
      </c>
      <c r="BB4" s="263" t="n">
        <f aca="false">IF($C$7="Toutes les années",SUMIFS(DEPENSES!$AG$119:$AG$168,DEPENSES!$BM$119:$BM$168,2026,DEPENSES!$BN$119:$BN$168,3),SUMIFS(DEPENSES!$AG$119:$AG$168,DEPENSES!$BM$119:$BM$168,$C$7,DEPENSES!$BN$119:$BN$168,3))</f>
        <v>0</v>
      </c>
      <c r="BC4" s="263" t="n">
        <f aca="false">BA4-BB4</f>
        <v>0</v>
      </c>
      <c r="BD4" s="264"/>
      <c r="BE4" s="264" t="str">
        <f aca="false">AE3</f>
        <v>Mars</v>
      </c>
      <c r="BF4" s="264" t="n">
        <f aca="false">AF3</f>
        <v>0</v>
      </c>
      <c r="BG4" s="264" t="n">
        <f aca="false">AG3</f>
        <v>0</v>
      </c>
      <c r="BH4" s="264"/>
      <c r="BI4" s="264" t="str">
        <f aca="false">AI3</f>
        <v>Terminé</v>
      </c>
      <c r="BJ4" s="264" t="n">
        <f aca="false">AJ3</f>
        <v>0</v>
      </c>
      <c r="BK4" s="264"/>
      <c r="BL4" s="264"/>
      <c r="BM4" s="264"/>
      <c r="BN4" s="264"/>
      <c r="BO4" s="264" t="str">
        <f aca="false">AO3</f>
        <v>Réalisée</v>
      </c>
      <c r="BP4" s="264" t="n">
        <f aca="false">AP3</f>
        <v>0</v>
      </c>
    </row>
    <row r="5" customFormat="false" ht="24" hidden="false" customHeight="true" outlineLevel="0" collapsed="false">
      <c r="B5" s="266" t="s">
        <v>2535</v>
      </c>
      <c r="C5" s="266"/>
      <c r="D5" s="266"/>
      <c r="E5" s="266"/>
      <c r="F5" s="266"/>
      <c r="G5" s="266"/>
      <c r="H5" s="266"/>
      <c r="I5" s="266"/>
      <c r="J5" s="266"/>
      <c r="K5" s="266"/>
      <c r="L5" s="266"/>
      <c r="M5" s="266"/>
      <c r="N5" s="266"/>
      <c r="O5" s="266"/>
      <c r="P5" s="266"/>
      <c r="Q5" s="266"/>
      <c r="R5" s="266"/>
      <c r="S5" s="266"/>
      <c r="T5" s="266"/>
      <c r="U5" s="266"/>
      <c r="V5" s="266"/>
      <c r="W5" s="266"/>
      <c r="X5" s="266"/>
      <c r="AA5" s="1" t="n">
        <v>2027</v>
      </c>
      <c r="AB5" s="1" t="s">
        <v>73</v>
      </c>
      <c r="AC5" s="1" t="s">
        <v>156</v>
      </c>
      <c r="AE5" s="1" t="s">
        <v>75</v>
      </c>
      <c r="AF5" s="1" t="n">
        <f aca="false">IF($C$7="Toutes les années",IF($K$7="Tous",SUMIFS(RECETTES!$AB$39:$AB$88,RECETTES!$X$39:$X$88,AE5),SUMIFS(RECETTES!$AB$39:$AB$88,RECETTES!$X$39:$X$88,AE5,RECETTES!$J$39:$J$88,$K$7)),IF($K$7="Tous",SUMIFS(RECETTES!$AB$39:$AB$88,RECETTES!$V$39:$V$88,$C$7,RECETTES!$X$39:$X$88,AE5),SUMIFS(RECETTES!$AB$39:$AB$88,RECETTES!$V$39:$V$88,$C$7,RECETTES!$X$39:$X$88,AE5,RECETTES!$J$39:$J$88,$K$7)))</f>
        <v>0</v>
      </c>
      <c r="AG5" s="1" t="n">
        <f aca="false">IF($C$7="Toutes les années",IF($K$7="Tous",SUMIFS(DEPENSES!$AG$119:$AG$168,DEPENSES!$BO$119:$BO$168,AE5),SUMIFS(DEPENSES!$AG$119:$AG$168,DEPENSES!$BO$119:$BO$168,AE5,DEPENSES!$G$119:$G$168,$K$7)),IF($K$7="Tous",SUMIFS(DEPENSES!$AG$119:$AG$168,DEPENSES!$BM$119:$BM$168,$C$7,DEPENSES!$BO$119:$BO$168,AE5),SUMIFS(DEPENSES!$AG$119:$AG$168,DEPENSES!$BM$119:$BM$168,$C$7,DEPENSES!$BO$119:$BO$168,AE5,DEPENSES!$G$119:$G$168,$K$7)))</f>
        <v>0</v>
      </c>
      <c r="AI5" s="1" t="s">
        <v>2536</v>
      </c>
      <c r="AJ5" s="1" t="n">
        <f aca="false">IF($C$7="Toutes les années",IF($K$7="Tous",COUNTIFS(PROJETS!$A$56:$A$95,"PROJ*",PROJETS!$AD$56:$AD$95,"Annule"),COUNTIFS(PROJETS!$A$56:$A$95,"PROJ*",PROJETS!$J$56:$J$95,$K$7,PROJETS!$AD$56:$AD$95,"Annule")),IF($K$7="Tous",COUNTIFS(PROJETS!$A$56:$A$95,"PROJ*",PROJETS!$AD$56:$AD$95,"Annule",PROJETS!$X$56:$X$95,"&gt;="&amp;DATE($C$7,1,1),PROJETS!$X$56:$X$95,"&lt;"&amp;DATE($C$7+1,1,1)),COUNTIFS(PROJETS!$A$56:$A$95,"PROJ*",PROJETS!$J$56:$J$95,$K$7,PROJETS!$AD$56:$AD$95,"Annule",PROJETS!$X$56:$X$95,"&gt;="&amp;DATE($C$7,1,1),PROJETS!$X$56:$X$95,"&lt;"&amp;DATE($C$7+1,1,1))))</f>
        <v>0</v>
      </c>
      <c r="AO5" s="1" t="s">
        <v>2537</v>
      </c>
      <c r="AP5" s="1" t="n">
        <f aca="false">IF($C$7="Toutes les années",IF($K$7="Tous",COUNTIFS(ACTIVITES!$A$56:$A$105,"ACT*",ACTIVITES!$Z$56:$Z$105,"Annulee"),COUNTIFS(ACTIVITES!$A$56:$A$105,"ACT*",ACTIVITES!$K$56:$K$105,$K$7,ACTIVITES!$Z$56:$Z$105,"Annulee")),IF($K$7="Tous",COUNTIFS(ACTIVITES!$A$56:$A$105,"ACT*",ACTIVITES!$S$56:$S$105,$C$7,ACTIVITES!$Z$56:$Z$105,"Annulee"),COUNTIFS(ACTIVITES!$A$56:$A$105,"ACT*",ACTIVITES!$K$56:$K$105,$K$7,ACTIVITES!$S$56:$S$105,$C$7,ACTIVITES!$Z$56:$Z$105,"Annulee")))</f>
        <v>0</v>
      </c>
      <c r="AR5" s="263" t="n">
        <v>2027</v>
      </c>
      <c r="AS5" s="263" t="n">
        <f aca="false">COUNTIFS(PROJETS!$A$56:$A$95,"PROJ*",PROJETS!$X$56:$X$95,"&gt;="&amp;DATE(AR5,1,1),PROJETS!$X$56:$X$95,"&lt;"&amp;DATE(AR5+1,1,1))</f>
        <v>0</v>
      </c>
      <c r="AT5" s="263" t="n">
        <f aca="false">COUNTIFS(BENEFICIAIRES!$A$56:$A$115,"BEN*",BENEFICIAIRES!$BB$56:$BB$115,"&gt;="&amp;DATE(AR5,1,1),BENEFICIAIRES!$BB$56:$BB$115,"&lt;"&amp;DATE(AR5+1,1,1))</f>
        <v>0</v>
      </c>
      <c r="AU5" s="263" t="n">
        <f aca="false">SUMIFS(RECETTES!$AB$39:$AB$88,RECETTES!$V$39:$V$88,AR5)</f>
        <v>0</v>
      </c>
      <c r="AV5" s="263" t="n">
        <f aca="false">SUMIFS(DEPENSES!$AG$119:$AG$168,DEPENSES!$BM$119:$BM$168,AR5)</f>
        <v>0</v>
      </c>
      <c r="AW5" s="263" t="n">
        <f aca="false">COUNTIFS(ACTIVITES!$A$56:$A$105,"ACT*",ACTIVITES!$S$56:$S$105,AR5,ACTIVITES!$Z$56:$Z$105,"Realisee")</f>
        <v>0</v>
      </c>
      <c r="AX5" s="263" t="n">
        <f aca="false">AR4</f>
        <v>2026</v>
      </c>
      <c r="AY5" s="263" t="n">
        <f aca="false">AS4</f>
        <v>0</v>
      </c>
      <c r="AZ5" s="263" t="s">
        <v>73</v>
      </c>
      <c r="BA5" s="263" t="n">
        <f aca="false">IF($C$7="Toutes les années",SUMIFS(RECETTES!$AB$39:$AB$88,RECETTES!$V$39:$V$88,2026,RECETTES!$W$39:$W$88,4),SUMIFS(RECETTES!$AB$39:$AB$88,RECETTES!$V$39:$V$88,$C$7,RECETTES!$W$39:$W$88,4))</f>
        <v>0</v>
      </c>
      <c r="BB5" s="263" t="n">
        <f aca="false">IF($C$7="Toutes les années",SUMIFS(DEPENSES!$AG$119:$AG$168,DEPENSES!$BM$119:$BM$168,2026,DEPENSES!$BN$119:$BN$168,4),SUMIFS(DEPENSES!$AG$119:$AG$168,DEPENSES!$BM$119:$BM$168,$C$7,DEPENSES!$BN$119:$BN$168,4))</f>
        <v>0</v>
      </c>
      <c r="BC5" s="263" t="n">
        <f aca="false">BA5-BB5</f>
        <v>0</v>
      </c>
      <c r="BD5" s="264"/>
      <c r="BE5" s="264" t="str">
        <f aca="false">AE4</f>
        <v>Avril</v>
      </c>
      <c r="BF5" s="264" t="n">
        <f aca="false">AF4</f>
        <v>0</v>
      </c>
      <c r="BG5" s="264" t="n">
        <f aca="false">AG4</f>
        <v>0</v>
      </c>
      <c r="BH5" s="264"/>
      <c r="BI5" s="264" t="str">
        <f aca="false">AI4</f>
        <v>Suspendu</v>
      </c>
      <c r="BJ5" s="264" t="n">
        <f aca="false">AJ4</f>
        <v>0</v>
      </c>
      <c r="BK5" s="264"/>
      <c r="BL5" s="264"/>
      <c r="BM5" s="264"/>
      <c r="BN5" s="264"/>
      <c r="BO5" s="264" t="str">
        <f aca="false">AO4</f>
        <v>Reportée</v>
      </c>
      <c r="BP5" s="264" t="n">
        <f aca="false">AP4</f>
        <v>0</v>
      </c>
    </row>
    <row r="6" customFormat="false" ht="24" hidden="false" customHeight="true" outlineLevel="0" collapsed="false">
      <c r="B6" s="267" t="s">
        <v>2538</v>
      </c>
      <c r="C6" s="267"/>
      <c r="F6" s="267" t="s">
        <v>2539</v>
      </c>
      <c r="G6" s="267"/>
      <c r="J6" s="267" t="s">
        <v>2540</v>
      </c>
      <c r="K6" s="267"/>
      <c r="N6" s="268" t="s">
        <v>2541</v>
      </c>
      <c r="O6" s="268"/>
      <c r="P6" s="268"/>
      <c r="Q6" s="268"/>
      <c r="R6" s="268"/>
      <c r="S6" s="268"/>
      <c r="T6" s="268"/>
      <c r="U6" s="268"/>
      <c r="V6" s="268"/>
      <c r="W6" s="268"/>
      <c r="X6" s="268"/>
      <c r="AA6" s="1" t="n">
        <v>2028</v>
      </c>
      <c r="AB6" s="1" t="s">
        <v>75</v>
      </c>
      <c r="AC6" s="1" t="s">
        <v>159</v>
      </c>
      <c r="AE6" s="1" t="s">
        <v>76</v>
      </c>
      <c r="AF6" s="1" t="n">
        <f aca="false">IF($C$7="Toutes les années",IF($K$7="Tous",SUMIFS(RECETTES!$AB$39:$AB$88,RECETTES!$X$39:$X$88,AE6),SUMIFS(RECETTES!$AB$39:$AB$88,RECETTES!$X$39:$X$88,AE6,RECETTES!$J$39:$J$88,$K$7)),IF($K$7="Tous",SUMIFS(RECETTES!$AB$39:$AB$88,RECETTES!$V$39:$V$88,$C$7,RECETTES!$X$39:$X$88,AE6),SUMIFS(RECETTES!$AB$39:$AB$88,RECETTES!$V$39:$V$88,$C$7,RECETTES!$X$39:$X$88,AE6,RECETTES!$J$39:$J$88,$K$7)))</f>
        <v>0</v>
      </c>
      <c r="AG6" s="1" t="n">
        <f aca="false">IF($C$7="Toutes les années",IF($K$7="Tous",SUMIFS(DEPENSES!$AG$119:$AG$168,DEPENSES!$BO$119:$BO$168,AE6),SUMIFS(DEPENSES!$AG$119:$AG$168,DEPENSES!$BO$119:$BO$168,AE6,DEPENSES!$G$119:$G$168,$K$7)),IF($K$7="Tous",SUMIFS(DEPENSES!$AG$119:$AG$168,DEPENSES!$BM$119:$BM$168,$C$7,DEPENSES!$BO$119:$BO$168,AE6),SUMIFS(DEPENSES!$AG$119:$AG$168,DEPENSES!$BM$119:$BM$168,$C$7,DEPENSES!$BO$119:$BO$168,AE6,DEPENSES!$G$119:$G$168,$K$7)))</f>
        <v>0</v>
      </c>
      <c r="AR6" s="263" t="n">
        <v>2028</v>
      </c>
      <c r="AS6" s="263" t="n">
        <f aca="false">COUNTIFS(PROJETS!$A$56:$A$95,"PROJ*",PROJETS!$X$56:$X$95,"&gt;="&amp;DATE(AR6,1,1),PROJETS!$X$56:$X$95,"&lt;"&amp;DATE(AR6+1,1,1))</f>
        <v>0</v>
      </c>
      <c r="AT6" s="263" t="n">
        <f aca="false">COUNTIFS(BENEFICIAIRES!$A$56:$A$115,"BEN*",BENEFICIAIRES!$BB$56:$BB$115,"&gt;="&amp;DATE(AR6,1,1),BENEFICIAIRES!$BB$56:$BB$115,"&lt;"&amp;DATE(AR6+1,1,1))</f>
        <v>0</v>
      </c>
      <c r="AU6" s="263" t="n">
        <f aca="false">SUMIFS(RECETTES!$AB$39:$AB$88,RECETTES!$V$39:$V$88,AR6)</f>
        <v>0</v>
      </c>
      <c r="AV6" s="263" t="n">
        <f aca="false">SUMIFS(DEPENSES!$AG$119:$AG$168,DEPENSES!$BM$119:$BM$168,AR6)</f>
        <v>0</v>
      </c>
      <c r="AW6" s="263" t="n">
        <f aca="false">COUNTIFS(ACTIVITES!$A$56:$A$105,"ACT*",ACTIVITES!$S$56:$S$105,AR6,ACTIVITES!$Z$56:$Z$105,"Realisee")</f>
        <v>0</v>
      </c>
      <c r="AX6" s="263" t="n">
        <f aca="false">AR5</f>
        <v>2027</v>
      </c>
      <c r="AY6" s="263" t="n">
        <f aca="false">AS5</f>
        <v>0</v>
      </c>
      <c r="AZ6" s="263" t="s">
        <v>75</v>
      </c>
      <c r="BA6" s="263" t="n">
        <f aca="false">IF($C$7="Toutes les années",SUMIFS(RECETTES!$AB$39:$AB$88,RECETTES!$V$39:$V$88,2026,RECETTES!$W$39:$W$88,5),SUMIFS(RECETTES!$AB$39:$AB$88,RECETTES!$V$39:$V$88,$C$7,RECETTES!$W$39:$W$88,5))</f>
        <v>0</v>
      </c>
      <c r="BB6" s="263" t="n">
        <f aca="false">IF($C$7="Toutes les années",SUMIFS(DEPENSES!$AG$119:$AG$168,DEPENSES!$BM$119:$BM$168,2026,DEPENSES!$BN$119:$BN$168,5),SUMIFS(DEPENSES!$AG$119:$AG$168,DEPENSES!$BM$119:$BM$168,$C$7,DEPENSES!$BN$119:$BN$168,5))</f>
        <v>0</v>
      </c>
      <c r="BC6" s="263" t="n">
        <f aca="false">BA6-BB6</f>
        <v>0</v>
      </c>
      <c r="BD6" s="264"/>
      <c r="BE6" s="264" t="str">
        <f aca="false">AE5</f>
        <v>Mai</v>
      </c>
      <c r="BF6" s="264" t="n">
        <f aca="false">AF5</f>
        <v>0</v>
      </c>
      <c r="BG6" s="264" t="n">
        <f aca="false">AG5</f>
        <v>0</v>
      </c>
      <c r="BH6" s="264"/>
      <c r="BI6" s="264" t="str">
        <f aca="false">AI5</f>
        <v>Annulé</v>
      </c>
      <c r="BJ6" s="264" t="n">
        <f aca="false">AJ5</f>
        <v>0</v>
      </c>
      <c r="BK6" s="264"/>
      <c r="BL6" s="264"/>
      <c r="BM6" s="264"/>
      <c r="BN6" s="264"/>
      <c r="BO6" s="264" t="str">
        <f aca="false">AO5</f>
        <v>Annulée</v>
      </c>
      <c r="BP6" s="264" t="n">
        <f aca="false">AP5</f>
        <v>0</v>
      </c>
    </row>
    <row r="7" customFormat="false" ht="22.5" hidden="false" customHeight="true" outlineLevel="0" collapsed="false">
      <c r="C7" s="269" t="s">
        <v>2517</v>
      </c>
      <c r="G7" s="269" t="s">
        <v>2518</v>
      </c>
      <c r="K7" s="269" t="s">
        <v>2519</v>
      </c>
      <c r="N7" s="268"/>
      <c r="O7" s="268"/>
      <c r="P7" s="268"/>
      <c r="Q7" s="268"/>
      <c r="R7" s="268"/>
      <c r="S7" s="268"/>
      <c r="T7" s="268"/>
      <c r="U7" s="268"/>
      <c r="V7" s="268"/>
      <c r="W7" s="268"/>
      <c r="X7" s="268"/>
      <c r="AA7" s="1" t="n">
        <v>2029</v>
      </c>
      <c r="AB7" s="1" t="s">
        <v>76</v>
      </c>
      <c r="AC7" s="1" t="s">
        <v>162</v>
      </c>
      <c r="AE7" s="1" t="s">
        <v>77</v>
      </c>
      <c r="AF7" s="1" t="n">
        <f aca="false">IF($C$7="Toutes les années",IF($K$7="Tous",SUMIFS(RECETTES!$AB$39:$AB$88,RECETTES!$X$39:$X$88,AE7),SUMIFS(RECETTES!$AB$39:$AB$88,RECETTES!$X$39:$X$88,AE7,RECETTES!$J$39:$J$88,$K$7)),IF($K$7="Tous",SUMIFS(RECETTES!$AB$39:$AB$88,RECETTES!$V$39:$V$88,$C$7,RECETTES!$X$39:$X$88,AE7),SUMIFS(RECETTES!$AB$39:$AB$88,RECETTES!$V$39:$V$88,$C$7,RECETTES!$X$39:$X$88,AE7,RECETTES!$J$39:$J$88,$K$7)))</f>
        <v>0</v>
      </c>
      <c r="AG7" s="1" t="n">
        <f aca="false">IF($C$7="Toutes les années",IF($K$7="Tous",SUMIFS(DEPENSES!$AG$119:$AG$168,DEPENSES!$BO$119:$BO$168,AE7),SUMIFS(DEPENSES!$AG$119:$AG$168,DEPENSES!$BO$119:$BO$168,AE7,DEPENSES!$G$119:$G$168,$K$7)),IF($K$7="Tous",SUMIFS(DEPENSES!$AG$119:$AG$168,DEPENSES!$BM$119:$BM$168,$C$7,DEPENSES!$BO$119:$BO$168,AE7),SUMIFS(DEPENSES!$AG$119:$AG$168,DEPENSES!$BM$119:$BM$168,$C$7,DEPENSES!$BO$119:$BO$168,AE7,DEPENSES!$G$119:$G$168,$K$7)))</f>
        <v>0</v>
      </c>
      <c r="AR7" s="263" t="n">
        <v>2029</v>
      </c>
      <c r="AS7" s="263" t="n">
        <f aca="false">COUNTIFS(PROJETS!$A$56:$A$95,"PROJ*",PROJETS!$X$56:$X$95,"&gt;="&amp;DATE(AR7,1,1),PROJETS!$X$56:$X$95,"&lt;"&amp;DATE(AR7+1,1,1))</f>
        <v>0</v>
      </c>
      <c r="AT7" s="263" t="n">
        <f aca="false">COUNTIFS(BENEFICIAIRES!$A$56:$A$115,"BEN*",BENEFICIAIRES!$BB$56:$BB$115,"&gt;="&amp;DATE(AR7,1,1),BENEFICIAIRES!$BB$56:$BB$115,"&lt;"&amp;DATE(AR7+1,1,1))</f>
        <v>0</v>
      </c>
      <c r="AU7" s="263" t="n">
        <f aca="false">SUMIFS(RECETTES!$AB$39:$AB$88,RECETTES!$V$39:$V$88,AR7)</f>
        <v>0</v>
      </c>
      <c r="AV7" s="263" t="n">
        <f aca="false">SUMIFS(DEPENSES!$AG$119:$AG$168,DEPENSES!$BM$119:$BM$168,AR7)</f>
        <v>0</v>
      </c>
      <c r="AW7" s="263" t="n">
        <f aca="false">COUNTIFS(ACTIVITES!$A$56:$A$105,"ACT*",ACTIVITES!$S$56:$S$105,AR7,ACTIVITES!$Z$56:$Z$105,"Realisee")</f>
        <v>0</v>
      </c>
      <c r="AX7" s="263" t="n">
        <f aca="false">AR6</f>
        <v>2028</v>
      </c>
      <c r="AY7" s="263" t="n">
        <f aca="false">AS6</f>
        <v>0</v>
      </c>
      <c r="AZ7" s="263" t="s">
        <v>76</v>
      </c>
      <c r="BA7" s="263" t="n">
        <f aca="false">IF($C$7="Toutes les années",SUMIFS(RECETTES!$AB$39:$AB$88,RECETTES!$V$39:$V$88,2026,RECETTES!$W$39:$W$88,6),SUMIFS(RECETTES!$AB$39:$AB$88,RECETTES!$V$39:$V$88,$C$7,RECETTES!$W$39:$W$88,6))</f>
        <v>0</v>
      </c>
      <c r="BB7" s="263" t="n">
        <f aca="false">IF($C$7="Toutes les années",SUMIFS(DEPENSES!$AG$119:$AG$168,DEPENSES!$BM$119:$BM$168,2026,DEPENSES!$BN$119:$BN$168,6),SUMIFS(DEPENSES!$AG$119:$AG$168,DEPENSES!$BM$119:$BM$168,$C$7,DEPENSES!$BN$119:$BN$168,6))</f>
        <v>0</v>
      </c>
      <c r="BC7" s="263" t="n">
        <f aca="false">BA7-BB7</f>
        <v>0</v>
      </c>
      <c r="BD7" s="264"/>
      <c r="BE7" s="264" t="str">
        <f aca="false">AE6</f>
        <v>Juin</v>
      </c>
      <c r="BF7" s="264" t="n">
        <f aca="false">AF6</f>
        <v>0</v>
      </c>
      <c r="BG7" s="264" t="n">
        <f aca="false">AG6</f>
        <v>0</v>
      </c>
      <c r="BH7" s="264"/>
      <c r="BI7" s="264"/>
      <c r="BJ7" s="264"/>
      <c r="BK7" s="264"/>
      <c r="BL7" s="264"/>
      <c r="BM7" s="264"/>
      <c r="BN7" s="264"/>
      <c r="BO7" s="264"/>
      <c r="BP7" s="264"/>
    </row>
    <row r="8" customFormat="false" ht="21.75" hidden="false" customHeight="true" outlineLevel="0" collapsed="false">
      <c r="AA8" s="1" t="n">
        <v>2030</v>
      </c>
      <c r="AB8" s="1" t="s">
        <v>77</v>
      </c>
      <c r="AC8" s="1" t="s">
        <v>165</v>
      </c>
      <c r="AE8" s="1" t="s">
        <v>2542</v>
      </c>
      <c r="AF8" s="1" t="n">
        <f aca="false">IF($C$7="Toutes les années",IF($K$7="Tous",SUMIFS(RECETTES!$AB$39:$AB$88,RECETTES!$X$39:$X$88,AE8),SUMIFS(RECETTES!$AB$39:$AB$88,RECETTES!$X$39:$X$88,AE8,RECETTES!$J$39:$J$88,$K$7)),IF($K$7="Tous",SUMIFS(RECETTES!$AB$39:$AB$88,RECETTES!$V$39:$V$88,$C$7,RECETTES!$X$39:$X$88,AE8),SUMIFS(RECETTES!$AB$39:$AB$88,RECETTES!$V$39:$V$88,$C$7,RECETTES!$X$39:$X$88,AE8,RECETTES!$J$39:$J$88,$K$7)))</f>
        <v>0</v>
      </c>
      <c r="AG8" s="1" t="n">
        <f aca="false">IF($C$7="Toutes les années",IF($K$7="Tous",SUMIFS(DEPENSES!$AG$119:$AG$168,DEPENSES!$BO$119:$BO$168,AE8),SUMIFS(DEPENSES!$AG$119:$AG$168,DEPENSES!$BO$119:$BO$168,AE8,DEPENSES!$G$119:$G$168,$K$7)),IF($K$7="Tous",SUMIFS(DEPENSES!$AG$119:$AG$168,DEPENSES!$BM$119:$BM$168,$C$7,DEPENSES!$BO$119:$BO$168,AE8),SUMIFS(DEPENSES!$AG$119:$AG$168,DEPENSES!$BM$119:$BM$168,$C$7,DEPENSES!$BO$119:$BO$168,AE8,DEPENSES!$G$119:$G$168,$K$7)))</f>
        <v>0</v>
      </c>
      <c r="AR8" s="263" t="n">
        <v>2030</v>
      </c>
      <c r="AS8" s="263" t="n">
        <f aca="false">COUNTIFS(PROJETS!$A$56:$A$95,"PROJ*",PROJETS!$X$56:$X$95,"&gt;="&amp;DATE(AR8,1,1),PROJETS!$X$56:$X$95,"&lt;"&amp;DATE(AR8+1,1,1))</f>
        <v>0</v>
      </c>
      <c r="AT8" s="263" t="n">
        <f aca="false">COUNTIFS(BENEFICIAIRES!$A$56:$A$115,"BEN*",BENEFICIAIRES!$BB$56:$BB$115,"&gt;="&amp;DATE(AR8,1,1),BENEFICIAIRES!$BB$56:$BB$115,"&lt;"&amp;DATE(AR8+1,1,1))</f>
        <v>0</v>
      </c>
      <c r="AU8" s="263" t="n">
        <f aca="false">SUMIFS(RECETTES!$AB$39:$AB$88,RECETTES!$V$39:$V$88,AR8)</f>
        <v>0</v>
      </c>
      <c r="AV8" s="263" t="n">
        <f aca="false">SUMIFS(DEPENSES!$AG$119:$AG$168,DEPENSES!$BM$119:$BM$168,AR8)</f>
        <v>0</v>
      </c>
      <c r="AW8" s="263" t="n">
        <f aca="false">COUNTIFS(ACTIVITES!$A$56:$A$105,"ACT*",ACTIVITES!$S$56:$S$105,AR8,ACTIVITES!$Z$56:$Z$105,"Realisee")</f>
        <v>0</v>
      </c>
      <c r="AX8" s="263" t="n">
        <f aca="false">AR7</f>
        <v>2029</v>
      </c>
      <c r="AY8" s="263" t="n">
        <f aca="false">AS7</f>
        <v>0</v>
      </c>
      <c r="AZ8" s="263" t="s">
        <v>77</v>
      </c>
      <c r="BA8" s="263" t="n">
        <f aca="false">IF($C$7="Toutes les années",SUMIFS(RECETTES!$AB$39:$AB$88,RECETTES!$V$39:$V$88,2026,RECETTES!$W$39:$W$88,7),SUMIFS(RECETTES!$AB$39:$AB$88,RECETTES!$V$39:$V$88,$C$7,RECETTES!$W$39:$W$88,7))</f>
        <v>0</v>
      </c>
      <c r="BB8" s="263" t="n">
        <f aca="false">IF($C$7="Toutes les années",SUMIFS(DEPENSES!$AG$119:$AG$168,DEPENSES!$BM$119:$BM$168,2026,DEPENSES!$BN$119:$BN$168,7),SUMIFS(DEPENSES!$AG$119:$AG$168,DEPENSES!$BM$119:$BM$168,$C$7,DEPENSES!$BN$119:$BN$168,7))</f>
        <v>0</v>
      </c>
      <c r="BC8" s="263" t="n">
        <f aca="false">BA8-BB8</f>
        <v>0</v>
      </c>
      <c r="BD8" s="264"/>
      <c r="BE8" s="264" t="str">
        <f aca="false">AE7</f>
        <v>Juillet</v>
      </c>
      <c r="BF8" s="264" t="n">
        <f aca="false">AF7</f>
        <v>0</v>
      </c>
      <c r="BG8" s="264" t="n">
        <f aca="false">AG7</f>
        <v>0</v>
      </c>
      <c r="BH8" s="264"/>
      <c r="BI8" s="264"/>
      <c r="BJ8" s="264"/>
      <c r="BK8" s="264"/>
      <c r="BL8" s="264"/>
      <c r="BM8" s="264"/>
      <c r="BN8" s="264"/>
      <c r="BO8" s="264"/>
      <c r="BP8" s="264"/>
    </row>
    <row r="9" customFormat="false" ht="19.5" hidden="false" customHeight="true" outlineLevel="0" collapsed="false">
      <c r="AA9" s="1" t="n">
        <v>2031</v>
      </c>
      <c r="AB9" s="1" t="s">
        <v>2542</v>
      </c>
      <c r="AC9" s="1" t="s">
        <v>168</v>
      </c>
      <c r="AE9" s="1" t="s">
        <v>80</v>
      </c>
      <c r="AF9" s="1" t="n">
        <f aca="false">IF($C$7="Toutes les années",IF($K$7="Tous",SUMIFS(RECETTES!$AB$39:$AB$88,RECETTES!$X$39:$X$88,AE9),SUMIFS(RECETTES!$AB$39:$AB$88,RECETTES!$X$39:$X$88,AE9,RECETTES!$J$39:$J$88,$K$7)),IF($K$7="Tous",SUMIFS(RECETTES!$AB$39:$AB$88,RECETTES!$V$39:$V$88,$C$7,RECETTES!$X$39:$X$88,AE9),SUMIFS(RECETTES!$AB$39:$AB$88,RECETTES!$V$39:$V$88,$C$7,RECETTES!$X$39:$X$88,AE9,RECETTES!$J$39:$J$88,$K$7)))</f>
        <v>0</v>
      </c>
      <c r="AG9" s="1" t="n">
        <f aca="false">IF($C$7="Toutes les années",IF($K$7="Tous",SUMIFS(DEPENSES!$AG$119:$AG$168,DEPENSES!$BO$119:$BO$168,AE9),SUMIFS(DEPENSES!$AG$119:$AG$168,DEPENSES!$BO$119:$BO$168,AE9,DEPENSES!$G$119:$G$168,$K$7)),IF($K$7="Tous",SUMIFS(DEPENSES!$AG$119:$AG$168,DEPENSES!$BM$119:$BM$168,$C$7,DEPENSES!$BO$119:$BO$168,AE9),SUMIFS(DEPENSES!$AG$119:$AG$168,DEPENSES!$BM$119:$BM$168,$C$7,DEPENSES!$BO$119:$BO$168,AE9,DEPENSES!$G$119:$G$168,$K$7)))</f>
        <v>0</v>
      </c>
      <c r="AR9" s="263" t="n">
        <v>2031</v>
      </c>
      <c r="AS9" s="263" t="n">
        <f aca="false">COUNTIFS(PROJETS!$A$56:$A$95,"PROJ*",PROJETS!$X$56:$X$95,"&gt;="&amp;DATE(AR9,1,1),PROJETS!$X$56:$X$95,"&lt;"&amp;DATE(AR9+1,1,1))</f>
        <v>0</v>
      </c>
      <c r="AT9" s="263" t="n">
        <f aca="false">COUNTIFS(BENEFICIAIRES!$A$56:$A$115,"BEN*",BENEFICIAIRES!$BB$56:$BB$115,"&gt;="&amp;DATE(AR9,1,1),BENEFICIAIRES!$BB$56:$BB$115,"&lt;"&amp;DATE(AR9+1,1,1))</f>
        <v>0</v>
      </c>
      <c r="AU9" s="263" t="n">
        <f aca="false">SUMIFS(RECETTES!$AB$39:$AB$88,RECETTES!$V$39:$V$88,AR9)</f>
        <v>0</v>
      </c>
      <c r="AV9" s="263" t="n">
        <f aca="false">SUMIFS(DEPENSES!$AG$119:$AG$168,DEPENSES!$BM$119:$BM$168,AR9)</f>
        <v>0</v>
      </c>
      <c r="AW9" s="263" t="n">
        <f aca="false">COUNTIFS(ACTIVITES!$A$56:$A$105,"ACT*",ACTIVITES!$S$56:$S$105,AR9,ACTIVITES!$Z$56:$Z$105,"Realisee")</f>
        <v>0</v>
      </c>
      <c r="AX9" s="263" t="n">
        <f aca="false">AR8</f>
        <v>2030</v>
      </c>
      <c r="AY9" s="263" t="n">
        <f aca="false">AS8</f>
        <v>0</v>
      </c>
      <c r="AZ9" s="263" t="s">
        <v>2542</v>
      </c>
      <c r="BA9" s="263" t="n">
        <f aca="false">IF($C$7="Toutes les années",SUMIFS(RECETTES!$AB$39:$AB$88,RECETTES!$V$39:$V$88,2026,RECETTES!$W$39:$W$88,8),SUMIFS(RECETTES!$AB$39:$AB$88,RECETTES!$V$39:$V$88,$C$7,RECETTES!$W$39:$W$88,8))</f>
        <v>0</v>
      </c>
      <c r="BB9" s="263" t="n">
        <f aca="false">IF($C$7="Toutes les années",SUMIFS(DEPENSES!$AG$119:$AG$168,DEPENSES!$BM$119:$BM$168,2026,DEPENSES!$BN$119:$BN$168,8),SUMIFS(DEPENSES!$AG$119:$AG$168,DEPENSES!$BM$119:$BM$168,$C$7,DEPENSES!$BN$119:$BN$168,8))</f>
        <v>0</v>
      </c>
      <c r="BC9" s="263" t="n">
        <f aca="false">BA9-BB9</f>
        <v>0</v>
      </c>
      <c r="BD9" s="264"/>
      <c r="BE9" s="264" t="str">
        <f aca="false">AE8</f>
        <v>Août</v>
      </c>
      <c r="BF9" s="264" t="n">
        <f aca="false">AF8</f>
        <v>0</v>
      </c>
      <c r="BG9" s="264" t="n">
        <f aca="false">AG8</f>
        <v>0</v>
      </c>
      <c r="BH9" s="264"/>
      <c r="BI9" s="264"/>
      <c r="BJ9" s="264"/>
      <c r="BK9" s="264"/>
      <c r="BL9" s="264"/>
      <c r="BM9" s="264"/>
      <c r="BN9" s="264"/>
      <c r="BO9" s="264"/>
      <c r="BP9" s="264"/>
    </row>
    <row r="10" customFormat="false" ht="19.5" hidden="false" customHeight="true" outlineLevel="0" collapsed="false">
      <c r="B10" s="270" t="s">
        <v>2543</v>
      </c>
      <c r="C10" s="270"/>
      <c r="D10" s="270"/>
      <c r="F10" s="271" t="s">
        <v>2544</v>
      </c>
      <c r="G10" s="271"/>
      <c r="H10" s="271"/>
      <c r="J10" s="272" t="s">
        <v>2545</v>
      </c>
      <c r="K10" s="272"/>
      <c r="L10" s="272"/>
      <c r="N10" s="273" t="s">
        <v>2546</v>
      </c>
      <c r="O10" s="273"/>
      <c r="P10" s="273"/>
      <c r="R10" s="274" t="s">
        <v>2547</v>
      </c>
      <c r="S10" s="274"/>
      <c r="T10" s="274"/>
      <c r="V10" s="275" t="s">
        <v>2548</v>
      </c>
      <c r="W10" s="275"/>
      <c r="X10" s="275"/>
      <c r="AA10" s="1" t="n">
        <v>2032</v>
      </c>
      <c r="AB10" s="1" t="s">
        <v>80</v>
      </c>
      <c r="AC10" s="1" t="s">
        <v>171</v>
      </c>
      <c r="AE10" s="1" t="s">
        <v>81</v>
      </c>
      <c r="AF10" s="1" t="n">
        <f aca="false">IF($C$7="Toutes les années",IF($K$7="Tous",SUMIFS(RECETTES!$AB$39:$AB$88,RECETTES!$X$39:$X$88,AE10),SUMIFS(RECETTES!$AB$39:$AB$88,RECETTES!$X$39:$X$88,AE10,RECETTES!$J$39:$J$88,$K$7)),IF($K$7="Tous",SUMIFS(RECETTES!$AB$39:$AB$88,RECETTES!$V$39:$V$88,$C$7,RECETTES!$X$39:$X$88,AE10),SUMIFS(RECETTES!$AB$39:$AB$88,RECETTES!$V$39:$V$88,$C$7,RECETTES!$X$39:$X$88,AE10,RECETTES!$J$39:$J$88,$K$7)))</f>
        <v>0</v>
      </c>
      <c r="AG10" s="1" t="n">
        <f aca="false">IF($C$7="Toutes les années",IF($K$7="Tous",SUMIFS(DEPENSES!$AG$119:$AG$168,DEPENSES!$BO$119:$BO$168,AE10),SUMIFS(DEPENSES!$AG$119:$AG$168,DEPENSES!$BO$119:$BO$168,AE10,DEPENSES!$G$119:$G$168,$K$7)),IF($K$7="Tous",SUMIFS(DEPENSES!$AG$119:$AG$168,DEPENSES!$BM$119:$BM$168,$C$7,DEPENSES!$BO$119:$BO$168,AE10),SUMIFS(DEPENSES!$AG$119:$AG$168,DEPENSES!$BM$119:$BM$168,$C$7,DEPENSES!$BO$119:$BO$168,AE10,DEPENSES!$G$119:$G$168,$K$7)))</f>
        <v>0</v>
      </c>
      <c r="AR10" s="263" t="n">
        <v>2032</v>
      </c>
      <c r="AS10" s="263" t="n">
        <f aca="false">COUNTIFS(PROJETS!$A$56:$A$95,"PROJ*",PROJETS!$X$56:$X$95,"&gt;="&amp;DATE(AR10,1,1),PROJETS!$X$56:$X$95,"&lt;"&amp;DATE(AR10+1,1,1))</f>
        <v>0</v>
      </c>
      <c r="AT10" s="263" t="n">
        <f aca="false">COUNTIFS(BENEFICIAIRES!$A$56:$A$115,"BEN*",BENEFICIAIRES!$BB$56:$BB$115,"&gt;="&amp;DATE(AR10,1,1),BENEFICIAIRES!$BB$56:$BB$115,"&lt;"&amp;DATE(AR10+1,1,1))</f>
        <v>0</v>
      </c>
      <c r="AU10" s="263" t="n">
        <f aca="false">SUMIFS(RECETTES!$AB$39:$AB$88,RECETTES!$V$39:$V$88,AR10)</f>
        <v>0</v>
      </c>
      <c r="AV10" s="263" t="n">
        <f aca="false">SUMIFS(DEPENSES!$AG$119:$AG$168,DEPENSES!$BM$119:$BM$168,AR10)</f>
        <v>0</v>
      </c>
      <c r="AW10" s="263" t="n">
        <f aca="false">COUNTIFS(ACTIVITES!$A$56:$A$105,"ACT*",ACTIVITES!$S$56:$S$105,AR10,ACTIVITES!$Z$56:$Z$105,"Realisee")</f>
        <v>0</v>
      </c>
      <c r="AX10" s="263" t="n">
        <f aca="false">AR9</f>
        <v>2031</v>
      </c>
      <c r="AY10" s="263" t="n">
        <f aca="false">AS9</f>
        <v>0</v>
      </c>
      <c r="AZ10" s="263" t="s">
        <v>80</v>
      </c>
      <c r="BA10" s="263" t="n">
        <f aca="false">IF($C$7="Toutes les années",SUMIFS(RECETTES!$AB$39:$AB$88,RECETTES!$V$39:$V$88,2026,RECETTES!$W$39:$W$88,9),SUMIFS(RECETTES!$AB$39:$AB$88,RECETTES!$V$39:$V$88,$C$7,RECETTES!$W$39:$W$88,9))</f>
        <v>0</v>
      </c>
      <c r="BB10" s="263" t="n">
        <f aca="false">IF($C$7="Toutes les années",SUMIFS(DEPENSES!$AG$119:$AG$168,DEPENSES!$BM$119:$BM$168,2026,DEPENSES!$BN$119:$BN$168,9),SUMIFS(DEPENSES!$AG$119:$AG$168,DEPENSES!$BM$119:$BM$168,$C$7,DEPENSES!$BN$119:$BN$168,9))</f>
        <v>0</v>
      </c>
      <c r="BC10" s="263" t="n">
        <f aca="false">BA10-BB10</f>
        <v>0</v>
      </c>
      <c r="BD10" s="264"/>
      <c r="BE10" s="264" t="str">
        <f aca="false">AE9</f>
        <v>Septembre</v>
      </c>
      <c r="BF10" s="264" t="n">
        <f aca="false">AF9</f>
        <v>0</v>
      </c>
      <c r="BG10" s="264" t="n">
        <f aca="false">AG9</f>
        <v>0</v>
      </c>
      <c r="BH10" s="264"/>
      <c r="BI10" s="264"/>
      <c r="BJ10" s="264"/>
      <c r="BK10" s="264"/>
      <c r="BL10" s="264"/>
      <c r="BM10" s="264"/>
      <c r="BN10" s="264"/>
      <c r="BO10" s="264"/>
      <c r="BP10" s="264"/>
    </row>
    <row r="11" customFormat="false" ht="24" hidden="false" customHeight="true" outlineLevel="0" collapsed="false">
      <c r="B11" s="276" t="n">
        <f aca="false">IF($C$7="Toutes les années",IF($K$7="Tous",COUNTIF(PROJETS!$A$56:$A$95,"PROJ*"),COUNTIFS(PROJETS!$A$56:$A$95,"PROJ*",PROJETS!$J$56:$J$95,$K$7)),IF($K$7="Tous",COUNTIFS(PROJETS!$A$56:$A$95,"PROJ*",PROJETS!$X$56:$X$95,"&gt;="&amp;DATE($C$7,1,1),PROJETS!$X$56:$X$95,"&lt;"&amp;DATE($C$7+1,1,1)),COUNTIFS(PROJETS!$A$56:$A$95,"PROJ*",PROJETS!$J$56:$J$95,$K$7,PROJETS!$X$56:$X$95,"&gt;="&amp;DATE($C$7,1,1),PROJETS!$X$56:$X$95,"&lt;"&amp;DATE($C$7+1,1,1))))</f>
        <v>1</v>
      </c>
      <c r="C11" s="276"/>
      <c r="D11" s="276"/>
      <c r="F11" s="276" t="n">
        <f aca="false">IF($C$7="Toutes les années",IF($K$7="Tous",COUNTIF(BENEFICIAIRES!$A$56:$A$115,"BEN*"),COUNTIFS(BENEFICIAIRES!$A$56:$A$115,"BEN*",BENEFICIAIRES!$BA$56:$BA$115,$K$7)),IF($K$7="Tous",COUNTIFS(BENEFICIAIRES!$A$56:$A$115,"BEN*",BENEFICIAIRES!$BB$56:$BB$115,"&gt;="&amp;DATE($C$7,1,1),BENEFICIAIRES!$BB$56:$BB$115,"&lt;"&amp;DATE($C$7+1,1,1)),COUNTIFS(BENEFICIAIRES!$A$56:$A$115,"BEN*",BENEFICIAIRES!$BA$56:$BA$115,$K$7,BENEFICIAIRES!$BB$56:$BB$115,"&gt;="&amp;DATE($C$7,1,1),BENEFICIAIRES!$BB$56:$BB$115,"&lt;"&amp;DATE($C$7+1,1,1))))</f>
        <v>1</v>
      </c>
      <c r="G11" s="276"/>
      <c r="H11" s="276"/>
      <c r="J11" s="276" t="n">
        <f aca="false">IF($C$7="Toutes les années",IF($K$7="Tous",COUNTIFS(ACTIVITES!$A$56:$A$105,"ACT*",ACTIVITES!$Z$56:$Z$105,"Realisee"),COUNTIFS(ACTIVITES!$A$56:$A$105,"ACT*",ACTIVITES!$K$56:$K$105,$K$7,ACTIVITES!$Z$56:$Z$105,"Realisee")),IF($K$7="Tous",IF($G$7="Tous les mois",COUNTIFS(ACTIVITES!$A$56:$A$105,"ACT*",ACTIVITES!$S$56:$S$105,$C$7,ACTIVITES!$Z$56:$Z$105,"Realisee"),COUNTIFS(ACTIVITES!$A$56:$A$105,"ACT*",ACTIVITES!$S$56:$S$105,$C$7,ACTIVITES!$Q$56:$Q$105,$G$7,ACTIVITES!$Z$56:$Z$105,"Realisee")),IF($G$7="Tous les mois",COUNTIFS(ACTIVITES!$A$56:$A$105,"ACT*",ACTIVITES!$K$56:$K$105,$K$7,ACTIVITES!$S$56:$S$105,$C$7,ACTIVITES!$Z$56:$Z$105,"Realisee"),COUNTIFS(ACTIVITES!$A$56:$A$105,"ACT*",ACTIVITES!$K$56:$K$105,$K$7,ACTIVITES!$S$56:$S$105,$C$7,ACTIVITES!$Q$56:$Q$105,$G$7,ACTIVITES!$Z$56:$Z$105,"Realisee"))))</f>
        <v>0</v>
      </c>
      <c r="K11" s="276"/>
      <c r="L11" s="276"/>
      <c r="N11" s="277" t="n">
        <f aca="false">IF($C$7="Toutes les années",IF($K$7="Tous",SUM(BUDGET!$AB$28:$AB$67),SUMIFS(BUDGET!$AB$28:$AB$67,BUDGET!$J$28:$J$67,$K$7)),IF($K$7="Tous",SUMIFS(BUDGET!$AB$28:$AB$67,BUDGET!$B$28:$B$67,$C$7),SUMIFS(BUDGET!$AB$28:$AB$67,BUDGET!$B$28:$B$67,$C$7,BUDGET!$J$28:$J$67,$K$7)))</f>
        <v>0</v>
      </c>
      <c r="O11" s="277"/>
      <c r="P11" s="277"/>
      <c r="R11" s="277" t="n">
        <f aca="false">IF($C$7="Toutes les années",IF($K$7="Tous",SUM(RECETTES!$AB$39:$AB$88),SUMIFS(RECETTES!$AB$39:$AB$88,RECETTES!$J$39:$J$88,$K$7)),IF($K$7="Tous",SUMIFS(RECETTES!$AB$39:$AB$88,RECETTES!$V$39:$V$88,$C$7),SUMIFS(RECETTES!$AB$39:$AB$88,RECETTES!$V$39:$V$88,$C$7,RECETTES!$J$39:$J$88,$K$7)))</f>
        <v>0</v>
      </c>
      <c r="S11" s="277"/>
      <c r="T11" s="277"/>
      <c r="V11" s="277" t="n">
        <f aca="false">IF($C$7="Toutes les années",IF($K$7="Tous",SUM(DEPENSES!$AG$119:$AG$168),SUMIFS(DEPENSES!$AG$119:$AG$168,DEPENSES!$G$119:$G$168,$K$7)),IF($K$7="Tous",SUMIFS(DEPENSES!$AG$119:$AG$168,DEPENSES!$BM$119:$BM$168,$C$7),SUMIFS(DEPENSES!$AG$119:$AG$168,DEPENSES!$BM$119:$BM$168,$C$7,DEPENSES!$G$119:$G$168,$K$7)))</f>
        <v>29999</v>
      </c>
      <c r="W11" s="277"/>
      <c r="X11" s="277"/>
      <c r="AA11" s="1" t="n">
        <v>2033</v>
      </c>
      <c r="AB11" s="1" t="s">
        <v>81</v>
      </c>
      <c r="AC11" s="1" t="s">
        <v>174</v>
      </c>
      <c r="AE11" s="1" t="s">
        <v>83</v>
      </c>
      <c r="AF11" s="1" t="n">
        <f aca="false">IF($C$7="Toutes les années",IF($K$7="Tous",SUMIFS(RECETTES!$AB$39:$AB$88,RECETTES!$X$39:$X$88,AE11),SUMIFS(RECETTES!$AB$39:$AB$88,RECETTES!$X$39:$X$88,AE11,RECETTES!$J$39:$J$88,$K$7)),IF($K$7="Tous",SUMIFS(RECETTES!$AB$39:$AB$88,RECETTES!$V$39:$V$88,$C$7,RECETTES!$X$39:$X$88,AE11),SUMIFS(RECETTES!$AB$39:$AB$88,RECETTES!$V$39:$V$88,$C$7,RECETTES!$X$39:$X$88,AE11,RECETTES!$J$39:$J$88,$K$7)))</f>
        <v>0</v>
      </c>
      <c r="AG11" s="1" t="n">
        <f aca="false">IF($C$7="Toutes les années",IF($K$7="Tous",SUMIFS(DEPENSES!$AG$119:$AG$168,DEPENSES!$BO$119:$BO$168,AE11),SUMIFS(DEPENSES!$AG$119:$AG$168,DEPENSES!$BO$119:$BO$168,AE11,DEPENSES!$G$119:$G$168,$K$7)),IF($K$7="Tous",SUMIFS(DEPENSES!$AG$119:$AG$168,DEPENSES!$BM$119:$BM$168,$C$7,DEPENSES!$BO$119:$BO$168,AE11),SUMIFS(DEPENSES!$AG$119:$AG$168,DEPENSES!$BM$119:$BM$168,$C$7,DEPENSES!$BO$119:$BO$168,AE11,DEPENSES!$G$119:$G$168,$K$7)))</f>
        <v>0</v>
      </c>
      <c r="AR11" s="278" t="n">
        <v>2033</v>
      </c>
      <c r="AS11" s="278" t="n">
        <f aca="false">COUNTIFS(PROJETS!$A$56:$A$95,"PROJ*",PROJETS!$X$56:$X$95,"&gt;="&amp;DATE(AR11,1,1),PROJETS!$X$56:$X$95,"&lt;"&amp;DATE(AR11+1,1,1))</f>
        <v>0</v>
      </c>
      <c r="AT11" s="278" t="n">
        <f aca="false">COUNTIFS(BENEFICIAIRES!$A$56:$A$115,"BEN*",BENEFICIAIRES!$BB$56:$BB$115,"&gt;="&amp;DATE(AR11,1,1),BENEFICIAIRES!$BB$56:$BB$115,"&lt;"&amp;DATE(AR11+1,1,1))</f>
        <v>0</v>
      </c>
      <c r="AU11" s="278" t="n">
        <f aca="false">SUMIFS(RECETTES!$AB$39:$AB$88,RECETTES!$V$39:$V$88,AR11)</f>
        <v>0</v>
      </c>
      <c r="AV11" s="278" t="n">
        <f aca="false">SUMIFS(DEPENSES!$AG$119:$AG$168,DEPENSES!$BM$119:$BM$168,AR11)</f>
        <v>0</v>
      </c>
      <c r="AW11" s="278" t="n">
        <f aca="false">COUNTIFS(ACTIVITES!$A$56:$A$105,"ACT*",ACTIVITES!$S$56:$S$105,AR11,ACTIVITES!$Z$56:$Z$105,"Realisee")</f>
        <v>0</v>
      </c>
      <c r="AX11" s="263" t="n">
        <f aca="false">AR10</f>
        <v>2032</v>
      </c>
      <c r="AY11" s="263" t="n">
        <f aca="false">AS10</f>
        <v>0</v>
      </c>
      <c r="AZ11" s="263" t="s">
        <v>81</v>
      </c>
      <c r="BA11" s="263" t="n">
        <f aca="false">IF($C$7="Toutes les années",SUMIFS(RECETTES!$AB$39:$AB$88,RECETTES!$V$39:$V$88,2026,RECETTES!$W$39:$W$88,10),SUMIFS(RECETTES!$AB$39:$AB$88,RECETTES!$V$39:$V$88,$C$7,RECETTES!$W$39:$W$88,10))</f>
        <v>0</v>
      </c>
      <c r="BB11" s="263" t="n">
        <f aca="false">IF($C$7="Toutes les années",SUMIFS(DEPENSES!$AG$119:$AG$168,DEPENSES!$BM$119:$BM$168,2026,DEPENSES!$BN$119:$BN$168,10),SUMIFS(DEPENSES!$AG$119:$AG$168,DEPENSES!$BM$119:$BM$168,$C$7,DEPENSES!$BN$119:$BN$168,10))</f>
        <v>0</v>
      </c>
      <c r="BC11" s="263" t="n">
        <f aca="false">BA11-BB11</f>
        <v>0</v>
      </c>
      <c r="BD11" s="264"/>
      <c r="BE11" s="264" t="str">
        <f aca="false">AE10</f>
        <v>Octobre</v>
      </c>
      <c r="BF11" s="264" t="n">
        <f aca="false">AF10</f>
        <v>0</v>
      </c>
      <c r="BG11" s="264" t="n">
        <f aca="false">AG10</f>
        <v>0</v>
      </c>
      <c r="BH11" s="264"/>
      <c r="BI11" s="264"/>
      <c r="BJ11" s="264"/>
      <c r="BK11" s="264"/>
      <c r="BL11" s="264"/>
      <c r="BM11" s="264"/>
      <c r="BN11" s="264"/>
      <c r="BO11" s="264"/>
      <c r="BP11" s="264"/>
    </row>
    <row r="12" customFormat="false" ht="18" hidden="false" customHeight="true" outlineLevel="0" collapsed="false">
      <c r="B12" s="276"/>
      <c r="C12" s="276"/>
      <c r="D12" s="276"/>
      <c r="F12" s="276"/>
      <c r="G12" s="276"/>
      <c r="H12" s="276"/>
      <c r="J12" s="276"/>
      <c r="K12" s="276"/>
      <c r="L12" s="276"/>
      <c r="N12" s="277"/>
      <c r="O12" s="277"/>
      <c r="P12" s="277"/>
      <c r="R12" s="277"/>
      <c r="S12" s="277"/>
      <c r="T12" s="277"/>
      <c r="V12" s="277"/>
      <c r="W12" s="277"/>
      <c r="X12" s="277"/>
      <c r="AB12" s="1" t="s">
        <v>83</v>
      </c>
      <c r="AC12" s="1" t="s">
        <v>178</v>
      </c>
      <c r="AE12" s="1" t="s">
        <v>2549</v>
      </c>
      <c r="AF12" s="1" t="n">
        <f aca="false">IF($C$7="Toutes les années",IF($K$7="Tous",SUMIFS(RECETTES!$AB$39:$AB$88,RECETTES!$X$39:$X$88,AE12),SUMIFS(RECETTES!$AB$39:$AB$88,RECETTES!$X$39:$X$88,AE12,RECETTES!$J$39:$J$88,$K$7)),IF($K$7="Tous",SUMIFS(RECETTES!$AB$39:$AB$88,RECETTES!$V$39:$V$88,$C$7,RECETTES!$X$39:$X$88,AE12),SUMIFS(RECETTES!$AB$39:$AB$88,RECETTES!$V$39:$V$88,$C$7,RECETTES!$X$39:$X$88,AE12,RECETTES!$J$39:$J$88,$K$7)))</f>
        <v>0</v>
      </c>
      <c r="AG12" s="1" t="n">
        <f aca="false">IF($C$7="Toutes les années",IF($K$7="Tous",SUMIFS(DEPENSES!$AG$119:$AG$168,DEPENSES!$BO$119:$BO$168,AE12),SUMIFS(DEPENSES!$AG$119:$AG$168,DEPENSES!$BO$119:$BO$168,AE12,DEPENSES!$G$119:$G$168,$K$7)),IF($K$7="Tous",SUMIFS(DEPENSES!$AG$119:$AG$168,DEPENSES!$BM$119:$BM$168,$C$7,DEPENSES!$BO$119:$BO$168,AE12),SUMIFS(DEPENSES!$AG$119:$AG$168,DEPENSES!$BM$119:$BM$168,$C$7,DEPENSES!$BO$119:$BO$168,AE12,DEPENSES!$G$119:$G$168,$K$7)))</f>
        <v>0</v>
      </c>
      <c r="AR12" s="278"/>
      <c r="AS12" s="278"/>
      <c r="AT12" s="278"/>
      <c r="AU12" s="278"/>
      <c r="AV12" s="278"/>
      <c r="AW12" s="278"/>
      <c r="AX12" s="263"/>
      <c r="AY12" s="263"/>
      <c r="AZ12" s="263" t="s">
        <v>83</v>
      </c>
      <c r="BA12" s="263" t="n">
        <f aca="false">IF($C$7="Toutes les années",SUMIFS(RECETTES!$AB$39:$AB$88,RECETTES!$V$39:$V$88,2026,RECETTES!$W$39:$W$88,11),SUMIFS(RECETTES!$AB$39:$AB$88,RECETTES!$V$39:$V$88,$C$7,RECETTES!$W$39:$W$88,11))</f>
        <v>0</v>
      </c>
      <c r="BB12" s="263" t="n">
        <f aca="false">IF($C$7="Toutes les années",SUMIFS(DEPENSES!$AG$119:$AG$168,DEPENSES!$BM$119:$BM$168,2026,DEPENSES!$BN$119:$BN$168,11),SUMIFS(DEPENSES!$AG$119:$AG$168,DEPENSES!$BM$119:$BM$168,$C$7,DEPENSES!$BN$119:$BN$168,11))</f>
        <v>0</v>
      </c>
      <c r="BC12" s="263" t="n">
        <f aca="false">BA12-BB12</f>
        <v>0</v>
      </c>
      <c r="BD12" s="264"/>
      <c r="BE12" s="264" t="str">
        <f aca="false">AE11</f>
        <v>Novembre</v>
      </c>
      <c r="BF12" s="264" t="n">
        <f aca="false">AF11</f>
        <v>0</v>
      </c>
      <c r="BG12" s="264" t="n">
        <f aca="false">AG11</f>
        <v>0</v>
      </c>
      <c r="BH12" s="264"/>
      <c r="BI12" s="264"/>
      <c r="BJ12" s="264"/>
      <c r="BK12" s="264"/>
      <c r="BL12" s="264"/>
      <c r="BM12" s="264"/>
      <c r="BN12" s="264"/>
      <c r="BO12" s="264"/>
      <c r="BP12" s="264"/>
    </row>
    <row r="13" customFormat="false" ht="19.5" hidden="false" customHeight="true" outlineLevel="0" collapsed="false">
      <c r="B13" s="276"/>
      <c r="C13" s="276"/>
      <c r="D13" s="276"/>
      <c r="F13" s="276"/>
      <c r="G13" s="276"/>
      <c r="H13" s="276"/>
      <c r="J13" s="276"/>
      <c r="K13" s="276"/>
      <c r="L13" s="276"/>
      <c r="N13" s="277"/>
      <c r="O13" s="277"/>
      <c r="P13" s="277"/>
      <c r="R13" s="277"/>
      <c r="S13" s="277"/>
      <c r="T13" s="277"/>
      <c r="V13" s="277"/>
      <c r="W13" s="277"/>
      <c r="X13" s="277"/>
      <c r="AB13" s="1" t="s">
        <v>2549</v>
      </c>
      <c r="AC13" s="1" t="s">
        <v>181</v>
      </c>
      <c r="AR13" s="278"/>
      <c r="AS13" s="278"/>
      <c r="AT13" s="278"/>
      <c r="AU13" s="278"/>
      <c r="AV13" s="278"/>
      <c r="AW13" s="278"/>
      <c r="AX13" s="263"/>
      <c r="AY13" s="263"/>
      <c r="AZ13" s="263" t="s">
        <v>2549</v>
      </c>
      <c r="BA13" s="263" t="n">
        <f aca="false">IF($C$7="Toutes les années",SUMIFS(RECETTES!$AB$39:$AB$88,RECETTES!$V$39:$V$88,2026,RECETTES!$W$39:$W$88,12),SUMIFS(RECETTES!$AB$39:$AB$88,RECETTES!$V$39:$V$88,$C$7,RECETTES!$W$39:$W$88,12))</f>
        <v>0</v>
      </c>
      <c r="BB13" s="263" t="n">
        <f aca="false">IF($C$7="Toutes les années",SUMIFS(DEPENSES!$AG$119:$AG$168,DEPENSES!$BM$119:$BM$168,2026,DEPENSES!$BN$119:$BN$168,12),SUMIFS(DEPENSES!$AG$119:$AG$168,DEPENSES!$BM$119:$BM$168,$C$7,DEPENSES!$BN$119:$BN$168,12))</f>
        <v>0</v>
      </c>
      <c r="BC13" s="263" t="n">
        <f aca="false">BA13-BB13</f>
        <v>0</v>
      </c>
      <c r="BD13" s="264"/>
      <c r="BE13" s="264" t="str">
        <f aca="false">AE12</f>
        <v>Décembre</v>
      </c>
      <c r="BF13" s="264" t="n">
        <f aca="false">AF12</f>
        <v>0</v>
      </c>
      <c r="BG13" s="264" t="n">
        <f aca="false">AG12</f>
        <v>0</v>
      </c>
      <c r="BH13" s="264"/>
      <c r="BI13" s="264"/>
      <c r="BJ13" s="264"/>
      <c r="BK13" s="264"/>
      <c r="BL13" s="264"/>
      <c r="BM13" s="264"/>
      <c r="BN13" s="264"/>
      <c r="BO13" s="264"/>
      <c r="BP13" s="264"/>
    </row>
    <row r="14" customFormat="false" ht="19.5" hidden="false" customHeight="true" outlineLevel="0" collapsed="false">
      <c r="AC14" s="1" t="s">
        <v>184</v>
      </c>
    </row>
    <row r="15" customFormat="false" ht="19.5" hidden="false" customHeight="true" outlineLevel="0" collapsed="false">
      <c r="B15" s="279" t="s">
        <v>2550</v>
      </c>
      <c r="C15" s="279"/>
      <c r="D15" s="279"/>
      <c r="F15" s="270" t="s">
        <v>2551</v>
      </c>
      <c r="G15" s="270"/>
      <c r="H15" s="270"/>
      <c r="J15" s="272" t="s">
        <v>2552</v>
      </c>
      <c r="K15" s="272"/>
      <c r="L15" s="272"/>
      <c r="N15" s="273" t="s">
        <v>2553</v>
      </c>
      <c r="O15" s="273"/>
      <c r="P15" s="273"/>
      <c r="R15" s="274" t="s">
        <v>2554</v>
      </c>
      <c r="S15" s="274"/>
      <c r="T15" s="274"/>
      <c r="V15" s="271" t="s">
        <v>2555</v>
      </c>
      <c r="W15" s="271"/>
      <c r="X15" s="271"/>
      <c r="AC15" s="1" t="s">
        <v>187</v>
      </c>
    </row>
    <row r="16" customFormat="false" ht="19.5" hidden="false" customHeight="true" outlineLevel="0" collapsed="false">
      <c r="B16" s="280" t="n">
        <f aca="false">N11-V11</f>
        <v>-29999</v>
      </c>
      <c r="C16" s="280"/>
      <c r="D16" s="280"/>
      <c r="F16" s="281" t="n">
        <f aca="false">IFERROR(V11/N11,0)</f>
        <v>0</v>
      </c>
      <c r="G16" s="281"/>
      <c r="H16" s="281"/>
      <c r="J16" s="281" t="n">
        <f aca="false">IF($C$7="Toutes les années",IFERROR(AVERAGEIF(PROJETS!$A$56:$A$95,"PROJ*",PROJETS!$BD$56:$BD$95),0),IFERROR(AVERAGEIFS(PROJETS!$BD$56:$BD$95,PROJETS!$A$56:$A$95,"PROJ*",PROJETS!$X$56:$X$95,"&gt;="&amp;DATE($C$7,1,1),PROJETS!$X$56:$X$95,"&lt;"&amp;DATE($C$7+1,1,1)),0))</f>
        <v>0.45</v>
      </c>
      <c r="K16" s="281"/>
      <c r="L16" s="281"/>
      <c r="N16" s="282" t="n">
        <f aca="false">COUNTIFS(PARTENAIRES!$A$56:$A$115,"PART*",PARTENAIRES!$AN$56:$AN$115,"Actif")</f>
        <v>0</v>
      </c>
      <c r="O16" s="282"/>
      <c r="P16" s="282"/>
      <c r="R16" s="282" t="n">
        <f aca="false">COUNTIFS(DONATEURS!$A$56:$A$205,"DON*",DONATEURS!$AB$56:$AB$205,"Actif")</f>
        <v>0</v>
      </c>
      <c r="S16" s="282"/>
      <c r="T16" s="282"/>
      <c r="V16" s="282" t="n">
        <f aca="false">COUNTIFS('RESSOURCES HUMAINES'!$A$27:$A$76,"RH*",'RESSOURCES HUMAINES'!$P$27:$P$76,"Actif")</f>
        <v>0</v>
      </c>
      <c r="W16" s="282"/>
      <c r="X16" s="282"/>
      <c r="AC16" s="1" t="s">
        <v>190</v>
      </c>
    </row>
    <row r="17" customFormat="false" ht="19.5" hidden="false" customHeight="true" outlineLevel="0" collapsed="false">
      <c r="B17" s="280"/>
      <c r="C17" s="280"/>
      <c r="D17" s="280"/>
      <c r="F17" s="281"/>
      <c r="G17" s="281"/>
      <c r="H17" s="281"/>
      <c r="J17" s="281"/>
      <c r="K17" s="281"/>
      <c r="L17" s="281"/>
      <c r="N17" s="282"/>
      <c r="O17" s="282"/>
      <c r="P17" s="282"/>
      <c r="R17" s="282"/>
      <c r="S17" s="282"/>
      <c r="T17" s="282"/>
      <c r="V17" s="282"/>
      <c r="W17" s="282"/>
      <c r="X17" s="282"/>
      <c r="AC17" s="1" t="s">
        <v>193</v>
      </c>
    </row>
    <row r="18" customFormat="false" ht="19.5" hidden="false" customHeight="true" outlineLevel="0" collapsed="false">
      <c r="B18" s="280"/>
      <c r="C18" s="280"/>
      <c r="D18" s="280"/>
      <c r="F18" s="281"/>
      <c r="G18" s="281"/>
      <c r="H18" s="281"/>
      <c r="J18" s="281"/>
      <c r="K18" s="281"/>
      <c r="L18" s="281"/>
      <c r="N18" s="282"/>
      <c r="O18" s="282"/>
      <c r="P18" s="282"/>
      <c r="R18" s="282"/>
      <c r="S18" s="282"/>
      <c r="T18" s="282"/>
      <c r="V18" s="282"/>
      <c r="W18" s="282"/>
      <c r="X18" s="282"/>
      <c r="AC18" s="1" t="s">
        <v>196</v>
      </c>
    </row>
    <row r="19" customFormat="false" ht="19.5" hidden="false" customHeight="true" outlineLevel="0" collapsed="false">
      <c r="AC19" s="1" t="s">
        <v>199</v>
      </c>
    </row>
    <row r="20" customFormat="false" ht="21.75" hidden="false" customHeight="true" outlineLevel="0" collapsed="false">
      <c r="B20" s="283" t="s">
        <v>2556</v>
      </c>
      <c r="C20" s="283"/>
      <c r="D20" s="283"/>
      <c r="E20" s="283"/>
      <c r="F20" s="283"/>
      <c r="G20" s="283"/>
      <c r="H20" s="283"/>
      <c r="I20" s="283"/>
      <c r="J20" s="283"/>
      <c r="K20" s="283"/>
      <c r="L20" s="283"/>
      <c r="M20" s="283"/>
      <c r="N20" s="283" t="s">
        <v>2557</v>
      </c>
      <c r="O20" s="283"/>
      <c r="P20" s="283"/>
      <c r="Q20" s="283"/>
      <c r="R20" s="283"/>
      <c r="S20" s="283"/>
      <c r="T20" s="283"/>
      <c r="U20" s="283"/>
      <c r="V20" s="283"/>
      <c r="W20" s="283"/>
      <c r="X20" s="283"/>
      <c r="AC20" s="1" t="s">
        <v>202</v>
      </c>
    </row>
    <row r="21" customFormat="false" ht="19.5" hidden="false" customHeight="true" outlineLevel="0" collapsed="false">
      <c r="AC21" s="1" t="s">
        <v>205</v>
      </c>
    </row>
    <row r="22" customFormat="false" ht="19.5" hidden="false" customHeight="true" outlineLevel="0" collapsed="false">
      <c r="AC22" s="1" t="s">
        <v>208</v>
      </c>
    </row>
    <row r="23" customFormat="false" ht="19.5" hidden="false" customHeight="true" outlineLevel="0" collapsed="false">
      <c r="AC23" s="1" t="s">
        <v>211</v>
      </c>
    </row>
    <row r="24" customFormat="false" ht="19.5" hidden="false" customHeight="true" outlineLevel="0" collapsed="false">
      <c r="AC24" s="1" t="s">
        <v>214</v>
      </c>
    </row>
    <row r="25" customFormat="false" ht="19.5" hidden="false" customHeight="true" outlineLevel="0" collapsed="false">
      <c r="AC25" s="1" t="s">
        <v>217</v>
      </c>
    </row>
    <row r="26" customFormat="false" ht="19.5" hidden="false" customHeight="true" outlineLevel="0" collapsed="false">
      <c r="AC26" s="1" t="s">
        <v>220</v>
      </c>
    </row>
    <row r="27" customFormat="false" ht="19.5" hidden="false" customHeight="true" outlineLevel="0" collapsed="false">
      <c r="AC27" s="1" t="s">
        <v>223</v>
      </c>
    </row>
    <row r="28" customFormat="false" ht="19.5" hidden="false" customHeight="true" outlineLevel="0" collapsed="false">
      <c r="AC28" s="1" t="s">
        <v>226</v>
      </c>
    </row>
    <row r="29" customFormat="false" ht="19.5" hidden="false" customHeight="true" outlineLevel="0" collapsed="false">
      <c r="AC29" s="1" t="s">
        <v>229</v>
      </c>
    </row>
    <row r="30" customFormat="false" ht="19.5" hidden="false" customHeight="true" outlineLevel="0" collapsed="false">
      <c r="AC30" s="1" t="s">
        <v>232</v>
      </c>
    </row>
    <row r="31" customFormat="false" ht="19.5" hidden="false" customHeight="true" outlineLevel="0" collapsed="false">
      <c r="AC31" s="1" t="s">
        <v>235</v>
      </c>
    </row>
    <row r="32" customFormat="false" ht="19.5" hidden="false" customHeight="true" outlineLevel="0" collapsed="false">
      <c r="AC32" s="1" t="s">
        <v>238</v>
      </c>
    </row>
    <row r="33" customFormat="false" ht="19.5" hidden="false" customHeight="true" outlineLevel="0" collapsed="false">
      <c r="AC33" s="1" t="s">
        <v>241</v>
      </c>
    </row>
    <row r="34" customFormat="false" ht="19.5" hidden="false" customHeight="true" outlineLevel="0" collapsed="false">
      <c r="AC34" s="1" t="s">
        <v>244</v>
      </c>
    </row>
    <row r="35" customFormat="false" ht="19.5" hidden="false" customHeight="true" outlineLevel="0" collapsed="false">
      <c r="AC35" s="1" t="s">
        <v>247</v>
      </c>
    </row>
    <row r="36" customFormat="false" ht="21.75" hidden="false" customHeight="true" outlineLevel="0" collapsed="false">
      <c r="B36" s="283" t="s">
        <v>2558</v>
      </c>
      <c r="C36" s="283"/>
      <c r="D36" s="283"/>
      <c r="E36" s="283"/>
      <c r="F36" s="283"/>
      <c r="G36" s="283"/>
      <c r="H36" s="283"/>
      <c r="I36" s="283"/>
      <c r="J36" s="283"/>
      <c r="K36" s="283"/>
      <c r="L36" s="283"/>
      <c r="M36" s="284"/>
      <c r="N36" s="283" t="s">
        <v>2559</v>
      </c>
      <c r="O36" s="283"/>
      <c r="P36" s="283"/>
      <c r="Q36" s="283"/>
      <c r="R36" s="283"/>
      <c r="S36" s="283"/>
      <c r="T36" s="283"/>
      <c r="U36" s="283"/>
      <c r="V36" s="283"/>
      <c r="W36" s="283"/>
      <c r="X36" s="283"/>
      <c r="AC36" s="1" t="s">
        <v>250</v>
      </c>
    </row>
    <row r="37" customFormat="false" ht="19.5" hidden="false" customHeight="true" outlineLevel="0" collapsed="false">
      <c r="AC37" s="1" t="s">
        <v>253</v>
      </c>
    </row>
    <row r="38" customFormat="false" ht="19.5" hidden="false" customHeight="true" outlineLevel="0" collapsed="false">
      <c r="AC38" s="1" t="s">
        <v>256</v>
      </c>
    </row>
    <row r="39" customFormat="false" ht="19.5" hidden="false" customHeight="true" outlineLevel="0" collapsed="false">
      <c r="AC39" s="1" t="s">
        <v>259</v>
      </c>
    </row>
    <row r="40" customFormat="false" ht="19.5" hidden="false" customHeight="true" outlineLevel="0" collapsed="false">
      <c r="AC40" s="1" t="s">
        <v>262</v>
      </c>
    </row>
    <row r="41" customFormat="false" ht="19.5" hidden="false" customHeight="true" outlineLevel="0" collapsed="false">
      <c r="AC41" s="1" t="s">
        <v>265</v>
      </c>
    </row>
    <row r="42" customFormat="false" ht="19.5" hidden="false" customHeight="true" outlineLevel="0" collapsed="false"/>
    <row r="43" customFormat="false" ht="19.5" hidden="false" customHeight="true" outlineLevel="0" collapsed="false"/>
    <row r="44" customFormat="false" ht="19.5" hidden="false" customHeight="true" outlineLevel="0" collapsed="false"/>
    <row r="45" customFormat="false" ht="19.5" hidden="false" customHeight="true" outlineLevel="0" collapsed="false"/>
    <row r="46" customFormat="false" ht="19.5" hidden="false" customHeight="true" outlineLevel="0" collapsed="false"/>
    <row r="47" customFormat="false" ht="19.5" hidden="false" customHeight="true" outlineLevel="0" collapsed="false"/>
    <row r="48" customFormat="false" ht="19.5" hidden="false" customHeight="true" outlineLevel="0" collapsed="false"/>
    <row r="49" customFormat="false" ht="19.5" hidden="false" customHeight="true" outlineLevel="0" collapsed="false"/>
    <row r="50" customFormat="false" ht="19.5" hidden="false" customHeight="true" outlineLevel="0" collapsed="false"/>
    <row r="51" customFormat="false" ht="19.5" hidden="false" customHeight="true" outlineLevel="0" collapsed="false"/>
    <row r="52" customFormat="false" ht="21.75" hidden="false" customHeight="true" outlineLevel="0" collapsed="false">
      <c r="B52" s="283" t="s">
        <v>2560</v>
      </c>
      <c r="C52" s="283"/>
      <c r="D52" s="283"/>
      <c r="E52" s="283"/>
      <c r="F52" s="283"/>
      <c r="G52" s="283"/>
      <c r="H52" s="283"/>
      <c r="I52" s="283"/>
      <c r="J52" s="283"/>
      <c r="K52" s="283"/>
      <c r="L52" s="283"/>
      <c r="M52" s="283"/>
      <c r="N52" s="283"/>
      <c r="O52" s="283"/>
      <c r="P52" s="283"/>
      <c r="Q52" s="283"/>
      <c r="R52" s="283"/>
      <c r="S52" s="283"/>
      <c r="T52" s="283"/>
      <c r="U52" s="283"/>
      <c r="V52" s="283"/>
      <c r="W52" s="283"/>
      <c r="X52" s="283"/>
    </row>
    <row r="53" customFormat="false" ht="19.5" hidden="false" customHeight="true" outlineLevel="0" collapsed="false">
      <c r="B53" s="285" t="s">
        <v>2561</v>
      </c>
      <c r="C53" s="285"/>
      <c r="D53" s="285"/>
      <c r="E53" s="285"/>
      <c r="F53" s="285"/>
      <c r="G53" s="285"/>
      <c r="H53" s="285"/>
      <c r="J53" s="285" t="s">
        <v>2562</v>
      </c>
      <c r="K53" s="285"/>
      <c r="L53" s="285"/>
      <c r="M53" s="285"/>
      <c r="N53" s="285"/>
      <c r="O53" s="285"/>
      <c r="P53" s="285"/>
      <c r="R53" s="285" t="s">
        <v>2563</v>
      </c>
      <c r="S53" s="285"/>
      <c r="T53" s="285"/>
      <c r="U53" s="285"/>
      <c r="V53" s="285"/>
      <c r="W53" s="285"/>
      <c r="X53" s="285"/>
    </row>
    <row r="54" customFormat="false" ht="19.5" hidden="false" customHeight="true" outlineLevel="0" collapsed="false">
      <c r="B54" s="286" t="n">
        <f aca="false">COUNTIFS(PROJETS!$A$56:$A$95,"PROJ*",PROJETS!$BE$56:$BE$95,"Oui")</f>
        <v>1</v>
      </c>
      <c r="C54" s="286"/>
      <c r="D54" s="286"/>
      <c r="E54" s="286"/>
      <c r="F54" s="286"/>
      <c r="G54" s="286"/>
      <c r="H54" s="286"/>
      <c r="J54" s="286" t="n">
        <f aca="false">COUNTIFS(PROJETS!$A$56:$A$95,"PROJ*",PROJETS!$BG$56:$BG$95,"Oui")</f>
        <v>0</v>
      </c>
      <c r="K54" s="286"/>
      <c r="L54" s="286"/>
      <c r="M54" s="286"/>
      <c r="N54" s="286"/>
      <c r="O54" s="286"/>
      <c r="P54" s="286"/>
      <c r="R54" s="286" t="n">
        <f aca="false">COUNTIFS(DEPENSES!$A$119:$A$168,"DEP*",DEPENSES!$BS$119:$BS$168,"&lt;&gt;Normal",DEPENSES!$BS$119:$BS$168,"&lt;&gt;")</f>
        <v>0</v>
      </c>
      <c r="S54" s="286"/>
      <c r="T54" s="286"/>
      <c r="U54" s="286"/>
      <c r="V54" s="286"/>
      <c r="W54" s="286"/>
      <c r="X54" s="286"/>
    </row>
    <row r="55" customFormat="false" ht="19.5" hidden="false" customHeight="true" outlineLevel="0" collapsed="false">
      <c r="B55" s="286"/>
      <c r="C55" s="286"/>
      <c r="D55" s="286"/>
      <c r="E55" s="286"/>
      <c r="F55" s="286"/>
      <c r="G55" s="286"/>
      <c r="H55" s="286"/>
      <c r="J55" s="286"/>
      <c r="K55" s="286"/>
      <c r="L55" s="286"/>
      <c r="M55" s="286"/>
      <c r="N55" s="286"/>
      <c r="O55" s="286"/>
      <c r="P55" s="286"/>
      <c r="R55" s="286"/>
      <c r="S55" s="286"/>
      <c r="T55" s="286"/>
      <c r="U55" s="286"/>
      <c r="V55" s="286"/>
      <c r="W55" s="286"/>
      <c r="X55" s="286"/>
    </row>
    <row r="56" customFormat="false" ht="19.5" hidden="false" customHeight="true" outlineLevel="0" collapsed="false">
      <c r="B56" s="285" t="s">
        <v>2564</v>
      </c>
      <c r="C56" s="285"/>
      <c r="D56" s="285"/>
      <c r="E56" s="285"/>
      <c r="F56" s="285"/>
      <c r="G56" s="285"/>
      <c r="H56" s="285"/>
      <c r="J56" s="285" t="s">
        <v>2565</v>
      </c>
      <c r="K56" s="285"/>
      <c r="L56" s="285"/>
      <c r="M56" s="285"/>
      <c r="N56" s="285"/>
      <c r="O56" s="285"/>
      <c r="P56" s="285"/>
      <c r="R56" s="285" t="s">
        <v>2566</v>
      </c>
      <c r="S56" s="285"/>
      <c r="T56" s="285"/>
      <c r="U56" s="285"/>
      <c r="V56" s="285"/>
      <c r="W56" s="285"/>
      <c r="X56" s="285"/>
    </row>
    <row r="57" customFormat="false" ht="19.5" hidden="false" customHeight="true" outlineLevel="0" collapsed="false">
      <c r="B57" s="286" t="n">
        <f aca="false">COUNTIFS('SUIVI-EVALUATION'!$AY$55:$AY$104,"Oui")</f>
        <v>0</v>
      </c>
      <c r="C57" s="286"/>
      <c r="D57" s="286"/>
      <c r="E57" s="286"/>
      <c r="F57" s="286"/>
      <c r="G57" s="286"/>
      <c r="H57" s="286"/>
      <c r="J57" s="286" t="n">
        <f aca="false">COUNTIFS(ACTIVITES!$A$56:$A$105,"ACT*",ACTIVITES!$AB$56:$AB$105,"Oui")</f>
        <v>0</v>
      </c>
      <c r="K57" s="286"/>
      <c r="L57" s="286"/>
      <c r="M57" s="286"/>
      <c r="N57" s="286"/>
      <c r="O57" s="286"/>
      <c r="P57" s="286"/>
      <c r="R57" s="286" t="n">
        <f aca="false">COUNTIFS(DONATEURS!$AV$56:$AV$205,"Oui")</f>
        <v>0</v>
      </c>
      <c r="S57" s="286"/>
      <c r="T57" s="286"/>
      <c r="U57" s="286"/>
      <c r="V57" s="286"/>
      <c r="W57" s="286"/>
      <c r="X57" s="286"/>
    </row>
    <row r="58" customFormat="false" ht="19.5" hidden="false" customHeight="true" outlineLevel="0" collapsed="false">
      <c r="B58" s="286"/>
      <c r="C58" s="286"/>
      <c r="D58" s="286"/>
      <c r="E58" s="286"/>
      <c r="F58" s="286"/>
      <c r="G58" s="286"/>
      <c r="H58" s="286"/>
      <c r="J58" s="286"/>
      <c r="K58" s="286"/>
      <c r="L58" s="286"/>
      <c r="M58" s="286"/>
      <c r="N58" s="286"/>
      <c r="O58" s="286"/>
      <c r="P58" s="286"/>
      <c r="R58" s="286"/>
      <c r="S58" s="286"/>
      <c r="T58" s="286"/>
      <c r="U58" s="286"/>
      <c r="V58" s="286"/>
      <c r="W58" s="286"/>
      <c r="X58" s="286"/>
    </row>
    <row r="59" customFormat="false" ht="19.5" hidden="false" customHeight="true" outlineLevel="0" collapsed="false"/>
    <row r="60" customFormat="false" ht="22.5" hidden="false" customHeight="true" outlineLevel="0" collapsed="false">
      <c r="B60" s="287" t="s">
        <v>2567</v>
      </c>
      <c r="C60" s="287"/>
      <c r="D60" s="287"/>
      <c r="E60" s="287"/>
      <c r="F60" s="287"/>
      <c r="G60" s="287"/>
      <c r="H60" s="287"/>
      <c r="I60" s="287"/>
      <c r="J60" s="287"/>
      <c r="K60" s="287"/>
      <c r="L60" s="287"/>
      <c r="M60" s="287"/>
      <c r="N60" s="287"/>
      <c r="O60" s="287"/>
      <c r="P60" s="287"/>
      <c r="Q60" s="287"/>
      <c r="R60" s="287"/>
      <c r="S60" s="287"/>
      <c r="T60" s="287"/>
      <c r="U60" s="287"/>
      <c r="V60" s="287"/>
      <c r="W60" s="287"/>
      <c r="X60" s="287"/>
    </row>
    <row r="61" customFormat="false" ht="19.5" hidden="false" customHeight="true" outlineLevel="0" collapsed="false"/>
    <row r="62" customFormat="false" ht="19.5" hidden="false" customHeight="true" outlineLevel="0" collapsed="false"/>
    <row r="63" customFormat="false" ht="19.5" hidden="false" customHeight="true" outlineLevel="0" collapsed="false"/>
    <row r="64" customFormat="false" ht="19.5" hidden="false" customHeight="true" outlineLevel="0" collapsed="false"/>
    <row r="65" customFormat="false" ht="19.5" hidden="false" customHeight="true" outlineLevel="0" collapsed="false"/>
    <row r="66" customFormat="false" ht="19.5" hidden="false" customHeight="true" outlineLevel="0" collapsed="false"/>
    <row r="67" customFormat="false" ht="19.5" hidden="false" customHeight="true" outlineLevel="0" collapsed="false"/>
    <row r="68" customFormat="false" ht="19.5" hidden="false" customHeight="true" outlineLevel="0" collapsed="false"/>
    <row r="69" customFormat="false" ht="21.75" hidden="false" customHeight="true" outlineLevel="0" collapsed="false">
      <c r="B69" s="288" t="s">
        <v>2568</v>
      </c>
      <c r="C69" s="288"/>
      <c r="D69" s="288"/>
      <c r="E69" s="288"/>
      <c r="F69" s="288"/>
      <c r="G69" s="288"/>
      <c r="H69" s="288"/>
      <c r="I69" s="288"/>
      <c r="J69" s="288"/>
      <c r="K69" s="288"/>
      <c r="L69" s="288"/>
      <c r="M69" s="288"/>
      <c r="N69" s="288"/>
      <c r="O69" s="288"/>
      <c r="P69" s="288"/>
      <c r="Q69" s="288"/>
      <c r="R69" s="288"/>
      <c r="S69" s="288"/>
      <c r="T69" s="288"/>
      <c r="U69" s="288"/>
      <c r="V69" s="288"/>
      <c r="W69" s="288"/>
      <c r="X69" s="288"/>
    </row>
    <row r="70" customFormat="false" ht="21.75" hidden="false" customHeight="true" outlineLevel="0" collapsed="false">
      <c r="B70" s="288"/>
      <c r="C70" s="288"/>
      <c r="D70" s="288"/>
      <c r="E70" s="288"/>
      <c r="F70" s="288"/>
      <c r="G70" s="288"/>
      <c r="H70" s="288"/>
      <c r="I70" s="288"/>
      <c r="J70" s="288"/>
      <c r="K70" s="288"/>
      <c r="L70" s="288"/>
      <c r="M70" s="288"/>
      <c r="N70" s="288"/>
      <c r="O70" s="288"/>
      <c r="P70" s="288"/>
      <c r="Q70" s="288"/>
      <c r="R70" s="288"/>
      <c r="S70" s="288"/>
      <c r="T70" s="288"/>
      <c r="U70" s="288"/>
      <c r="V70" s="288"/>
      <c r="W70" s="288"/>
      <c r="X70" s="288"/>
    </row>
    <row r="76" customFormat="false" ht="21.75" hidden="false" customHeight="true" outlineLevel="0" collapsed="false"/>
    <row r="77" customFormat="false" ht="15.75" hidden="false" customHeight="true" outlineLevel="0" collapsed="false"/>
    <row r="114" customFormat="false" ht="6" hidden="false" customHeight="true" outlineLevel="0" collapsed="false"/>
    <row r="115" customFormat="false" ht="21.75" hidden="false" customHeight="true" outlineLevel="0" collapsed="false"/>
    <row r="116" customFormat="false" ht="18" hidden="false" customHeight="true" outlineLevel="0" collapsed="false"/>
    <row r="117" customFormat="false" ht="18" hidden="false" customHeight="true" outlineLevel="0" collapsed="false"/>
    <row r="118" customFormat="false" ht="18" hidden="false" customHeight="true" outlineLevel="0" collapsed="false"/>
    <row r="119" customFormat="false" ht="18" hidden="false" customHeight="true" outlineLevel="0" collapsed="false"/>
    <row r="120" customFormat="false" ht="18" hidden="false" customHeight="true" outlineLevel="0" collapsed="false"/>
    <row r="121" customFormat="false" ht="18" hidden="false" customHeight="true" outlineLevel="0" collapsed="false"/>
    <row r="135" customFormat="false" ht="6" hidden="false" customHeight="true" outlineLevel="0" collapsed="false"/>
    <row r="136" customFormat="false" ht="21.75" hidden="false" customHeight="true" outlineLevel="0" collapsed="false"/>
    <row r="137" customFormat="false" ht="18" hidden="false" customHeight="true" outlineLevel="0" collapsed="false"/>
    <row r="138" customFormat="false" ht="18" hidden="false" customHeight="true" outlineLevel="0" collapsed="false"/>
    <row r="139" customFormat="false" ht="18" hidden="false" customHeight="true" outlineLevel="0" collapsed="false"/>
    <row r="140" customFormat="false" ht="18" hidden="false" customHeight="true" outlineLevel="0" collapsed="false"/>
    <row r="141" customFormat="false" ht="18" hidden="false" customHeight="true" outlineLevel="0" collapsed="false"/>
    <row r="142" customFormat="false" ht="18" hidden="false" customHeight="true" outlineLevel="0" collapsed="false"/>
    <row r="143" customFormat="false" ht="18" hidden="false" customHeight="true" outlineLevel="0" collapsed="false"/>
    <row r="144" customFormat="false" ht="18" hidden="false" customHeight="true" outlineLevel="0" collapsed="false"/>
    <row r="156" customFormat="false" ht="6" hidden="false" customHeight="true" outlineLevel="0" collapsed="false"/>
    <row r="157" customFormat="false" ht="21.75" hidden="false" customHeight="true" outlineLevel="0" collapsed="false"/>
    <row r="158" customFormat="false" ht="18" hidden="false" customHeight="true" outlineLevel="0" collapsed="false"/>
    <row r="159" customFormat="false" ht="18" hidden="false" customHeight="true" outlineLevel="0" collapsed="false"/>
    <row r="160" customFormat="false" ht="18" hidden="false" customHeight="true" outlineLevel="0" collapsed="false"/>
    <row r="161" customFormat="false" ht="18" hidden="false" customHeight="true" outlineLevel="0" collapsed="false"/>
    <row r="162" customFormat="false" ht="18" hidden="false" customHeight="true" outlineLevel="0" collapsed="false"/>
    <row r="163" customFormat="false" ht="18" hidden="false" customHeight="true" outlineLevel="0" collapsed="false"/>
    <row r="164" customFormat="false" ht="30" hidden="false" customHeight="true" outlineLevel="0" collapsed="false"/>
    <row r="165" customFormat="false" ht="6" hidden="false" customHeight="true" outlineLevel="0" collapsed="false"/>
    <row r="166" customFormat="false" ht="21.75" hidden="false" customHeight="true" outlineLevel="0" collapsed="false"/>
    <row r="167" customFormat="false" ht="18" hidden="false" customHeight="true" outlineLevel="0" collapsed="false"/>
    <row r="168" customFormat="false" ht="18" hidden="false" customHeight="true" outlineLevel="0" collapsed="false"/>
    <row r="169" customFormat="false" ht="18" hidden="false" customHeight="true" outlineLevel="0" collapsed="false"/>
    <row r="170" customFormat="false" ht="18" hidden="false" customHeight="true" outlineLevel="0" collapsed="false"/>
    <row r="171" customFormat="false" ht="18" hidden="false" customHeight="true" outlineLevel="0" collapsed="false"/>
    <row r="172" customFormat="false" ht="18" hidden="false" customHeight="true" outlineLevel="0" collapsed="false"/>
    <row r="173" customFormat="false" ht="15.75" hidden="false" customHeight="true" outlineLevel="0" collapsed="false"/>
    <row r="174" customFormat="false" ht="6" hidden="false" customHeight="true" outlineLevel="0" collapsed="false"/>
    <row r="175" customFormat="false" ht="21.75" hidden="false" customHeight="true" outlineLevel="0" collapsed="false"/>
    <row r="176" customFormat="false" ht="16.5" hidden="false" customHeight="true" outlineLevel="0" collapsed="false"/>
    <row r="177" customFormat="false" ht="16.5" hidden="false" customHeight="true" outlineLevel="0" collapsed="false"/>
    <row r="178" customFormat="false" ht="16.5" hidden="false" customHeight="true" outlineLevel="0" collapsed="false"/>
    <row r="179" customFormat="false" ht="16.5" hidden="false" customHeight="true" outlineLevel="0" collapsed="false"/>
    <row r="180" customFormat="false" ht="16.5" hidden="false" customHeight="true" outlineLevel="0" collapsed="false"/>
    <row r="181" customFormat="false" ht="16.5" hidden="false" customHeight="true" outlineLevel="0" collapsed="false"/>
    <row r="182" customFormat="false" ht="16.5" hidden="false" customHeight="true" outlineLevel="0" collapsed="false"/>
    <row r="183" customFormat="false" ht="19.5" hidden="false" customHeight="true" outlineLevel="0" collapsed="false"/>
    <row r="184" customFormat="false" ht="6" hidden="false" customHeight="true" outlineLevel="0" collapsed="false"/>
    <row r="185" customFormat="false" ht="21.75" hidden="false" customHeight="true" outlineLevel="0" collapsed="false"/>
    <row r="192" customFormat="false" ht="6" hidden="false" customHeight="true" outlineLevel="0" collapsed="false"/>
    <row r="193" customFormat="false" ht="21.75" hidden="false" customHeight="true" outlineLevel="0" collapsed="false"/>
    <row r="231" customFormat="false" ht="6" hidden="false" customHeight="true" outlineLevel="0" collapsed="false"/>
    <row r="232" customFormat="false" ht="21.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21.75" hidden="false" customHeight="true" outlineLevel="0" collapsed="false"/>
    <row r="240" customFormat="false" ht="6" hidden="false" customHeight="true" outlineLevel="0" collapsed="false"/>
    <row r="241" customFormat="false" ht="21.75" hidden="false" customHeight="true" outlineLevel="0" collapsed="false"/>
  </sheetData>
  <mergeCells count="50">
    <mergeCell ref="B1:X2"/>
    <mergeCell ref="B3:X3"/>
    <mergeCell ref="B5:X5"/>
    <mergeCell ref="B6:C6"/>
    <mergeCell ref="F6:G6"/>
    <mergeCell ref="J6:K6"/>
    <mergeCell ref="N6:X7"/>
    <mergeCell ref="B10:D10"/>
    <mergeCell ref="F10:H10"/>
    <mergeCell ref="J10:L10"/>
    <mergeCell ref="N10:P10"/>
    <mergeCell ref="R10:T10"/>
    <mergeCell ref="V10:X10"/>
    <mergeCell ref="B11:D13"/>
    <mergeCell ref="F11:H13"/>
    <mergeCell ref="J11:L13"/>
    <mergeCell ref="N11:P13"/>
    <mergeCell ref="R11:T13"/>
    <mergeCell ref="V11:X13"/>
    <mergeCell ref="B15:D15"/>
    <mergeCell ref="F15:H15"/>
    <mergeCell ref="J15:L15"/>
    <mergeCell ref="N15:P15"/>
    <mergeCell ref="R15:T15"/>
    <mergeCell ref="V15:X15"/>
    <mergeCell ref="B16:D18"/>
    <mergeCell ref="F16:H18"/>
    <mergeCell ref="J16:L18"/>
    <mergeCell ref="N16:P18"/>
    <mergeCell ref="R16:T18"/>
    <mergeCell ref="V16:X18"/>
    <mergeCell ref="B20:M20"/>
    <mergeCell ref="N20:X20"/>
    <mergeCell ref="B36:L36"/>
    <mergeCell ref="N36:X36"/>
    <mergeCell ref="B52:X52"/>
    <mergeCell ref="B53:H53"/>
    <mergeCell ref="J53:P53"/>
    <mergeCell ref="R53:X53"/>
    <mergeCell ref="B54:H55"/>
    <mergeCell ref="J54:P55"/>
    <mergeCell ref="R54:X55"/>
    <mergeCell ref="B56:H56"/>
    <mergeCell ref="J56:P56"/>
    <mergeCell ref="R56:X56"/>
    <mergeCell ref="B57:H58"/>
    <mergeCell ref="J57:P58"/>
    <mergeCell ref="R57:X58"/>
    <mergeCell ref="B60:X60"/>
    <mergeCell ref="B69:X70"/>
  </mergeCells>
  <dataValidations count="3">
    <dataValidation allowBlank="false" errorStyle="stop" operator="between" showDropDown="false" showErrorMessage="false" showInputMessage="false" sqref="C7" type="list">
      <formula1>$AA$1:$AA$11</formula1>
      <formula2>0</formula2>
    </dataValidation>
    <dataValidation allowBlank="false" errorStyle="stop" operator="between" showDropDown="false" showErrorMessage="false" showInputMessage="false" sqref="G7" type="list">
      <formula1>$AB$1:$AB$13</formula1>
      <formula2>0</formula2>
    </dataValidation>
    <dataValidation allowBlank="false" errorStyle="stop" operator="between" showDropDown="false" showErrorMessage="false" showInputMessage="false" sqref="K7" type="list">
      <formula1>$AC$1:$AC$41</formula1>
      <formula2>0</formula2>
    </dataValidation>
  </dataValidations>
  <printOptions headings="false" gridLines="false" gridLinesSet="true" horizontalCentered="false" verticalCentered="false"/>
  <pageMargins left="0.2" right="0.2" top="0.3" bottom="0.3"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2026-08-30T11:34:58Z</dcterms:created>
  <dc:creator>openpyxl</dc:creator>
  <dc:description/>
  <dc:language>en-US</dc:language>
  <cp:lastModifiedBy/>
  <dcterms:modified xsi:type="dcterms:W3CDTF">2026-09-01T10:28:49Z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